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namedSheetViews/namedSheetView1.xml" ContentType="application/vnd.ms-excel.namedsheetview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pdhl-my.sharepoint.com/personal/stephen_talley_dhl_com/Documents/Desktop/KLS/Projects/Asset Management/"/>
    </mc:Choice>
  </mc:AlternateContent>
  <xr:revisionPtr revIDLastSave="1101" documentId="8_{209E6BD3-DB51-44DD-BEB8-2643C5AD52D8}" xr6:coauthVersionLast="47" xr6:coauthVersionMax="47" xr10:uidLastSave="{55F401E9-F424-43D5-885B-1CE2C273FCD2}"/>
  <bookViews>
    <workbookView xWindow="-108" yWindow="-108" windowWidth="23256" windowHeight="12456" tabRatio="838" firstSheet="4" activeTab="4" xr2:uid="{00000000-000D-0000-FFFF-FFFF00000000}"/>
  </bookViews>
  <sheets>
    <sheet name="Executive Summary" sheetId="1" r:id="rId1"/>
    <sheet name="Asset Detail" sheetId="2" r:id="rId2"/>
    <sheet name="IT Allocation Import" sheetId="17" r:id="rId3"/>
    <sheet name="PBI Import" sheetId="3" r:id="rId4"/>
    <sheet name="Scan Audit" sheetId="4" r:id="rId5"/>
    <sheet name="Lost Report" sheetId="5" r:id="rId6"/>
    <sheet name="RMA Report" sheetId="15" r:id="rId7"/>
    <sheet name="YOY Comparison" sheetId="6" r:id="rId8"/>
    <sheet name="MOM Comparison" sheetId="9" r:id="rId9"/>
    <sheet name="Dropdown Lists" sheetId="7" r:id="rId10"/>
    <sheet name="Instructions" sheetId="8" r:id="rId11"/>
  </sheets>
  <externalReferences>
    <externalReference r:id="rId12"/>
  </externalReferences>
  <definedNames>
    <definedName name="_xlnm._FilterDatabase" localSheetId="1" hidden="1">'Asset Detail'!$A$1:$L$1095</definedName>
    <definedName name="_xlnm._FilterDatabase" localSheetId="2" hidden="1">'IT Allocation Import'!$A$2:$AA$2</definedName>
    <definedName name="_xlnm._FilterDatabase" localSheetId="3" hidden="1">'PBI Import'!$A$9:$D$376</definedName>
    <definedName name="_xlnm._FilterDatabase" localSheetId="6" hidden="1">'RMA Report'!$A$9:$H$25</definedName>
    <definedName name="_xlnm._FilterDatabase" localSheetId="4" hidden="1">'Scan Audit'!$A$8:$I$1112</definedName>
  </definedNames>
  <calcPr calcId="191028"/>
  <pivotCaches>
    <pivotCache cacheId="42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0" i="4" l="1"/>
  <c r="F46" i="1"/>
  <c r="G46" i="1"/>
  <c r="H46" i="1"/>
  <c r="A7" i="3" l="1"/>
  <c r="A1109" i="4" l="1"/>
  <c r="E1109" i="4" s="1"/>
  <c r="G1109" i="4" a="1"/>
  <c r="G1109" i="4"/>
  <c r="A1110" i="4"/>
  <c r="E1110" i="4"/>
  <c r="F1110" i="4" a="1"/>
  <c r="F1110" i="4"/>
  <c r="G1110" i="4" a="1"/>
  <c r="G1110" i="4"/>
  <c r="A1111" i="4"/>
  <c r="F1111" i="4" s="1" a="1"/>
  <c r="F1111" i="4" s="1"/>
  <c r="E1111" i="4"/>
  <c r="A1112" i="4"/>
  <c r="E1112" i="4"/>
  <c r="F1112" i="4" a="1"/>
  <c r="F1112" i="4"/>
  <c r="G1112" i="4" a="1"/>
  <c r="G1112" i="4"/>
  <c r="A6" i="4"/>
  <c r="A1086" i="4"/>
  <c r="G1086" i="4" s="1" a="1"/>
  <c r="G1086" i="4" s="1"/>
  <c r="E1086" i="4"/>
  <c r="F1086" i="4" a="1"/>
  <c r="F1086" i="4" s="1"/>
  <c r="A1087" i="4"/>
  <c r="E1087" i="4" s="1"/>
  <c r="G1087" i="4" a="1"/>
  <c r="G1087" i="4" s="1"/>
  <c r="A1088" i="4"/>
  <c r="E1088" i="4"/>
  <c r="F1088" i="4" a="1"/>
  <c r="F1088" i="4" s="1"/>
  <c r="G1088" i="4" a="1"/>
  <c r="G1088" i="4" s="1"/>
  <c r="A1089" i="4"/>
  <c r="G1089" i="4" s="1" a="1"/>
  <c r="G1089" i="4" s="1"/>
  <c r="E1089" i="4"/>
  <c r="F1089" i="4" a="1"/>
  <c r="F1089" i="4" s="1"/>
  <c r="A1090" i="4"/>
  <c r="G1090" i="4" s="1" a="1"/>
  <c r="G1090" i="4" s="1"/>
  <c r="E1090" i="4"/>
  <c r="F1090" i="4" a="1"/>
  <c r="F1090" i="4" s="1"/>
  <c r="A1091" i="4"/>
  <c r="G1091" i="4" s="1" a="1"/>
  <c r="G1091" i="4" s="1"/>
  <c r="E1091" i="4"/>
  <c r="F1091" i="4" a="1"/>
  <c r="F1091" i="4" s="1"/>
  <c r="A1092" i="4"/>
  <c r="G1092" i="4" s="1" a="1"/>
  <c r="G1092" i="4" s="1"/>
  <c r="E1092" i="4"/>
  <c r="F1092" i="4" a="1"/>
  <c r="F1092" i="4"/>
  <c r="A1093" i="4"/>
  <c r="E1093" i="4"/>
  <c r="F1093" i="4" a="1"/>
  <c r="F1093" i="4" s="1"/>
  <c r="G1093" i="4" a="1"/>
  <c r="G1093" i="4" s="1"/>
  <c r="A1094" i="4"/>
  <c r="G1094" i="4" s="1" a="1"/>
  <c r="G1094" i="4" s="1"/>
  <c r="A1095" i="4"/>
  <c r="E1095" i="4"/>
  <c r="F1095" i="4" a="1"/>
  <c r="F1095" i="4" s="1"/>
  <c r="G1095" i="4" a="1"/>
  <c r="G1095" i="4" s="1"/>
  <c r="A1096" i="4"/>
  <c r="E1096" i="4"/>
  <c r="F1096" i="4" a="1"/>
  <c r="F1096" i="4"/>
  <c r="G1096" i="4" a="1"/>
  <c r="G1096" i="4" s="1"/>
  <c r="A1097" i="4"/>
  <c r="F1097" i="4" s="1" a="1"/>
  <c r="F1097" i="4" s="1"/>
  <c r="E1097" i="4"/>
  <c r="A1098" i="4"/>
  <c r="E1098" i="4"/>
  <c r="F1098" i="4" a="1"/>
  <c r="F1098" i="4"/>
  <c r="G1098" i="4" a="1"/>
  <c r="G1098" i="4" s="1"/>
  <c r="A1099" i="4"/>
  <c r="E1099" i="4"/>
  <c r="F1099" i="4" a="1"/>
  <c r="F1099" i="4" s="1"/>
  <c r="G1099" i="4" a="1"/>
  <c r="G1099" i="4" s="1"/>
  <c r="A1100" i="4"/>
  <c r="G1100" i="4" s="1" a="1"/>
  <c r="G1100" i="4" s="1"/>
  <c r="E1100" i="4"/>
  <c r="F1100" i="4" a="1"/>
  <c r="F1100" i="4" s="1"/>
  <c r="A1101" i="4"/>
  <c r="E1101" i="4"/>
  <c r="F1101" i="4" a="1"/>
  <c r="F1101" i="4" s="1"/>
  <c r="G1101" i="4" a="1"/>
  <c r="G1101" i="4" s="1"/>
  <c r="A1102" i="4"/>
  <c r="E1102" i="4" s="1"/>
  <c r="A1103" i="4"/>
  <c r="E1103" i="4"/>
  <c r="F1103" i="4" a="1"/>
  <c r="F1103" i="4" s="1"/>
  <c r="G1103" i="4" a="1"/>
  <c r="G1103" i="4" s="1"/>
  <c r="A1104" i="4"/>
  <c r="G1104" i="4" s="1" a="1"/>
  <c r="G1104" i="4" s="1"/>
  <c r="E1104" i="4"/>
  <c r="F1104" i="4" a="1"/>
  <c r="F1104" i="4" s="1"/>
  <c r="A1105" i="4"/>
  <c r="E1105" i="4" s="1"/>
  <c r="A1106" i="4"/>
  <c r="E1106" i="4"/>
  <c r="F1106" i="4" a="1"/>
  <c r="F1106" i="4"/>
  <c r="G1106" i="4" a="1"/>
  <c r="G1106" i="4" s="1"/>
  <c r="A1107" i="4"/>
  <c r="E1107" i="4"/>
  <c r="F1107" i="4" a="1"/>
  <c r="F1107" i="4"/>
  <c r="G1107" i="4" a="1"/>
  <c r="G1107" i="4" s="1"/>
  <c r="A1108" i="4"/>
  <c r="E1108" i="4" s="1"/>
  <c r="F1087" i="4" l="1" a="1"/>
  <c r="F1087" i="4" s="1"/>
  <c r="G1111" i="4" a="1"/>
  <c r="G1111" i="4" s="1"/>
  <c r="F1109" i="4" a="1"/>
  <c r="F1109" i="4" s="1"/>
  <c r="G1097" i="4" a="1"/>
  <c r="G1097" i="4" s="1"/>
  <c r="F1094" i="4" a="1"/>
  <c r="F1094" i="4" s="1"/>
  <c r="E1094" i="4"/>
  <c r="G1108" i="4" a="1"/>
  <c r="G1108" i="4" s="1"/>
  <c r="G1102" i="4" a="1"/>
  <c r="G1102" i="4" s="1"/>
  <c r="G1105" i="4" a="1"/>
  <c r="G1105" i="4" s="1"/>
  <c r="F1108" i="4" a="1"/>
  <c r="F1108" i="4" s="1"/>
  <c r="F1105" i="4" a="1"/>
  <c r="F1105" i="4" s="1"/>
  <c r="F1102" i="4" a="1"/>
  <c r="F1102" i="4" s="1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H41" i="1"/>
  <c r="H42" i="1"/>
  <c r="H43" i="1"/>
  <c r="H44" i="1"/>
  <c r="H45" i="1"/>
  <c r="H36" i="1"/>
  <c r="G37" i="1"/>
  <c r="H37" i="1" s="1"/>
  <c r="G38" i="1"/>
  <c r="H38" i="1" s="1"/>
  <c r="G39" i="1"/>
  <c r="H39" i="1" s="1"/>
  <c r="G40" i="1"/>
  <c r="H40" i="1" s="1"/>
  <c r="G41" i="1"/>
  <c r="G42" i="1"/>
  <c r="G43" i="1"/>
  <c r="G44" i="1"/>
  <c r="G45" i="1"/>
  <c r="G36" i="1"/>
  <c r="J18" i="1"/>
  <c r="A31" i="1"/>
  <c r="B46" i="1"/>
  <c r="I19" i="1"/>
  <c r="I20" i="1"/>
  <c r="I21" i="1"/>
  <c r="I22" i="1"/>
  <c r="I23" i="1"/>
  <c r="I24" i="1"/>
  <c r="I25" i="1"/>
  <c r="I18" i="1"/>
  <c r="B7" i="3" l="1"/>
  <c r="B26" i="1"/>
  <c r="A30" i="4" l="1"/>
  <c r="C5" i="15"/>
  <c r="D6" i="4"/>
  <c r="A1080" i="4"/>
  <c r="G1080" i="4" s="1" a="1"/>
  <c r="G1080" i="4" s="1"/>
  <c r="E1080" i="4"/>
  <c r="F1080" i="4" a="1"/>
  <c r="F1080" i="4" s="1"/>
  <c r="A1081" i="4"/>
  <c r="E1081" i="4" s="1"/>
  <c r="A1082" i="4"/>
  <c r="E1082" i="4" s="1"/>
  <c r="A1083" i="4"/>
  <c r="G1083" i="4" s="1" a="1"/>
  <c r="G1083" i="4" s="1"/>
  <c r="E1083" i="4"/>
  <c r="A1084" i="4"/>
  <c r="E1084" i="4" s="1"/>
  <c r="A1085" i="4"/>
  <c r="E1085" i="4" s="1"/>
  <c r="F1085" i="4" a="1"/>
  <c r="F1085" i="4" s="1"/>
  <c r="A1065" i="4"/>
  <c r="E1065" i="4" s="1"/>
  <c r="A1066" i="4"/>
  <c r="E1066" i="4" s="1"/>
  <c r="F1066" i="4" a="1"/>
  <c r="F1066" i="4" s="1"/>
  <c r="A1067" i="4"/>
  <c r="G1067" i="4" s="1" a="1"/>
  <c r="G1067" i="4" s="1"/>
  <c r="E1067" i="4"/>
  <c r="A1068" i="4"/>
  <c r="E1068" i="4" s="1"/>
  <c r="G1068" i="4" a="1"/>
  <c r="G1068" i="4" s="1"/>
  <c r="A1069" i="4"/>
  <c r="E1069" i="4" s="1"/>
  <c r="F1069" i="4" a="1"/>
  <c r="F1069" i="4" s="1"/>
  <c r="A1070" i="4"/>
  <c r="G1070" i="4" s="1" a="1"/>
  <c r="G1070" i="4" s="1"/>
  <c r="E1070" i="4"/>
  <c r="F1070" i="4" a="1"/>
  <c r="F1070" i="4" s="1"/>
  <c r="A1071" i="4"/>
  <c r="E1071" i="4" s="1"/>
  <c r="A1072" i="4"/>
  <c r="E1072" i="4" s="1"/>
  <c r="A1073" i="4"/>
  <c r="G1073" i="4" s="1" a="1"/>
  <c r="G1073" i="4" s="1"/>
  <c r="E1073" i="4"/>
  <c r="A1074" i="4"/>
  <c r="E1074" i="4" s="1"/>
  <c r="G1074" i="4" a="1"/>
  <c r="G1074" i="4" s="1"/>
  <c r="A1075" i="4"/>
  <c r="E1075" i="4" s="1"/>
  <c r="F1075" i="4" a="1"/>
  <c r="F1075" i="4" s="1"/>
  <c r="A1076" i="4"/>
  <c r="G1076" i="4" s="1" a="1"/>
  <c r="G1076" i="4" s="1"/>
  <c r="F1076" i="4" a="1"/>
  <c r="F1076" i="4" s="1"/>
  <c r="A1077" i="4"/>
  <c r="E1077" i="4" s="1"/>
  <c r="G1077" i="4" a="1"/>
  <c r="G1077" i="4" s="1"/>
  <c r="A1078" i="4"/>
  <c r="E1078" i="4" s="1"/>
  <c r="A1079" i="4"/>
  <c r="G1079" i="4" s="1" a="1"/>
  <c r="G1079" i="4" s="1"/>
  <c r="E1079" i="4"/>
  <c r="A1053" i="4"/>
  <c r="E1053" i="4" s="1"/>
  <c r="G1053" i="4" a="1"/>
  <c r="G1053" i="4" s="1"/>
  <c r="A1054" i="4"/>
  <c r="E1054" i="4" s="1"/>
  <c r="F1054" i="4" a="1"/>
  <c r="F1054" i="4" s="1"/>
  <c r="A1055" i="4"/>
  <c r="G1055" i="4" s="1" a="1"/>
  <c r="G1055" i="4" s="1"/>
  <c r="E1055" i="4"/>
  <c r="F1055" i="4" a="1"/>
  <c r="F1055" i="4" s="1"/>
  <c r="A1056" i="4"/>
  <c r="E1056" i="4" s="1"/>
  <c r="G1056" i="4" a="1"/>
  <c r="G1056" i="4" s="1"/>
  <c r="A1057" i="4"/>
  <c r="E1057" i="4" s="1"/>
  <c r="A1058" i="4"/>
  <c r="G1058" i="4" s="1" a="1"/>
  <c r="G1058" i="4" s="1"/>
  <c r="A1059" i="4"/>
  <c r="E1059" i="4" s="1"/>
  <c r="G1059" i="4" a="1"/>
  <c r="G1059" i="4" s="1"/>
  <c r="A1060" i="4"/>
  <c r="E1060" i="4" s="1"/>
  <c r="F1060" i="4" a="1"/>
  <c r="F1060" i="4" s="1"/>
  <c r="A1061" i="4"/>
  <c r="G1061" i="4" s="1" a="1"/>
  <c r="G1061" i="4" s="1"/>
  <c r="E1061" i="4"/>
  <c r="F1061" i="4" a="1"/>
  <c r="F1061" i="4" s="1"/>
  <c r="A1062" i="4"/>
  <c r="E1062" i="4" s="1"/>
  <c r="G1062" i="4" a="1"/>
  <c r="G1062" i="4" s="1"/>
  <c r="A1063" i="4"/>
  <c r="E1063" i="4" s="1"/>
  <c r="F1063" i="4" a="1"/>
  <c r="F1063" i="4" s="1"/>
  <c r="A1064" i="4"/>
  <c r="G1064" i="4" s="1" a="1"/>
  <c r="G1064" i="4" s="1"/>
  <c r="A1052" i="4"/>
  <c r="A1051" i="4"/>
  <c r="A1050" i="4"/>
  <c r="A1049" i="4"/>
  <c r="A1048" i="4"/>
  <c r="A1047" i="4"/>
  <c r="A1046" i="4"/>
  <c r="A1045" i="4"/>
  <c r="A1044" i="4"/>
  <c r="A1043" i="4"/>
  <c r="A1042" i="4"/>
  <c r="A1041" i="4"/>
  <c r="A1040" i="4"/>
  <c r="A1039" i="4"/>
  <c r="A1038" i="4"/>
  <c r="A1037" i="4"/>
  <c r="A1036" i="4"/>
  <c r="A1035" i="4"/>
  <c r="A1034" i="4"/>
  <c r="A1033" i="4"/>
  <c r="A1032" i="4"/>
  <c r="A1031" i="4"/>
  <c r="A1030" i="4"/>
  <c r="A1029" i="4"/>
  <c r="A1028" i="4"/>
  <c r="A1027" i="4"/>
  <c r="A1026" i="4"/>
  <c r="A1025" i="4"/>
  <c r="A1024" i="4"/>
  <c r="A1023" i="4"/>
  <c r="A1022" i="4"/>
  <c r="A1021" i="4"/>
  <c r="A1020" i="4"/>
  <c r="A1019" i="4"/>
  <c r="A1018" i="4"/>
  <c r="A1017" i="4"/>
  <c r="A1016" i="4"/>
  <c r="A1015" i="4"/>
  <c r="A1014" i="4"/>
  <c r="A1013" i="4"/>
  <c r="A1012" i="4"/>
  <c r="A1011" i="4"/>
  <c r="A1010" i="4"/>
  <c r="A1009" i="4"/>
  <c r="A1008" i="4"/>
  <c r="A1007" i="4"/>
  <c r="A1006" i="4"/>
  <c r="A1005" i="4"/>
  <c r="A1004" i="4"/>
  <c r="A1003" i="4"/>
  <c r="A1002" i="4"/>
  <c r="A1001" i="4"/>
  <c r="A1000" i="4"/>
  <c r="A999" i="4"/>
  <c r="A998" i="4"/>
  <c r="A997" i="4"/>
  <c r="A996" i="4"/>
  <c r="A995" i="4"/>
  <c r="A994" i="4"/>
  <c r="A993" i="4"/>
  <c r="A992" i="4"/>
  <c r="A991" i="4"/>
  <c r="A990" i="4"/>
  <c r="A989" i="4"/>
  <c r="A988" i="4"/>
  <c r="A987" i="4"/>
  <c r="A986" i="4"/>
  <c r="A985" i="4"/>
  <c r="A984" i="4"/>
  <c r="A983" i="4"/>
  <c r="A982" i="4"/>
  <c r="A981" i="4"/>
  <c r="A980" i="4"/>
  <c r="A979" i="4"/>
  <c r="A978" i="4"/>
  <c r="A977" i="4"/>
  <c r="A9" i="4"/>
  <c r="F9" i="4" s="1" a="1"/>
  <c r="F9" i="4" s="1"/>
  <c r="F10" i="4" a="1"/>
  <c r="F10" i="4" s="1"/>
  <c r="A11" i="4"/>
  <c r="G11" i="4" s="1" a="1"/>
  <c r="G11" i="4" s="1"/>
  <c r="E11" i="4"/>
  <c r="F11" i="4" a="1"/>
  <c r="F11" i="4" s="1"/>
  <c r="A12" i="4"/>
  <c r="F12" i="4" s="1" a="1"/>
  <c r="F12" i="4" s="1"/>
  <c r="A13" i="4"/>
  <c r="E13" i="4" s="1"/>
  <c r="A14" i="4"/>
  <c r="F14" i="4" s="1" a="1"/>
  <c r="F14" i="4" s="1"/>
  <c r="A15" i="4"/>
  <c r="F15" i="4" s="1" a="1"/>
  <c r="F15" i="4" s="1"/>
  <c r="E15" i="4"/>
  <c r="A16" i="4"/>
  <c r="F16" i="4" s="1" a="1"/>
  <c r="F16" i="4" s="1"/>
  <c r="A17" i="4"/>
  <c r="E17" i="4" s="1"/>
  <c r="F17" i="4" a="1"/>
  <c r="F17" i="4" s="1"/>
  <c r="A18" i="4"/>
  <c r="F18" i="4" s="1" a="1"/>
  <c r="F18" i="4" s="1"/>
  <c r="A19" i="4"/>
  <c r="E19" i="4" s="1"/>
  <c r="A20" i="4"/>
  <c r="F20" i="4" s="1" a="1"/>
  <c r="F20" i="4" s="1"/>
  <c r="E20" i="4"/>
  <c r="G20" i="4" a="1"/>
  <c r="G20" i="4" s="1"/>
  <c r="A21" i="4"/>
  <c r="F21" i="4" s="1" a="1"/>
  <c r="F21" i="4" s="1"/>
  <c r="A22" i="4"/>
  <c r="F22" i="4" s="1" a="1"/>
  <c r="F22" i="4" s="1"/>
  <c r="A23" i="4"/>
  <c r="E23" i="4" s="1"/>
  <c r="A24" i="4"/>
  <c r="F24" i="4" s="1" a="1"/>
  <c r="F24" i="4" s="1"/>
  <c r="A25" i="4"/>
  <c r="E25" i="4" s="1"/>
  <c r="A26" i="4"/>
  <c r="F26" i="4" s="1" a="1"/>
  <c r="F26" i="4"/>
  <c r="A27" i="4"/>
  <c r="F27" i="4" s="1" a="1"/>
  <c r="F27" i="4" s="1"/>
  <c r="E27" i="4"/>
  <c r="A28" i="4"/>
  <c r="F28" i="4" s="1" a="1"/>
  <c r="F28" i="4" s="1"/>
  <c r="A29" i="4"/>
  <c r="F29" i="4" s="1" a="1"/>
  <c r="F29" i="4" s="1"/>
  <c r="F30" i="4" a="1"/>
  <c r="F30" i="4" s="1"/>
  <c r="E30" i="4"/>
  <c r="G30" i="4" a="1"/>
  <c r="G30" i="4" s="1"/>
  <c r="A31" i="4"/>
  <c r="E31" i="4" s="1"/>
  <c r="A32" i="4"/>
  <c r="F32" i="4" s="1" a="1"/>
  <c r="F32" i="4" s="1"/>
  <c r="G32" i="4" a="1"/>
  <c r="G32" i="4" s="1"/>
  <c r="A33" i="4"/>
  <c r="E33" i="4"/>
  <c r="F33" i="4" a="1"/>
  <c r="F33" i="4" s="1"/>
  <c r="G33" i="4" a="1"/>
  <c r="G33" i="4" s="1"/>
  <c r="A34" i="4"/>
  <c r="F34" i="4" s="1" a="1"/>
  <c r="F34" i="4" s="1"/>
  <c r="A35" i="4"/>
  <c r="E35" i="4" s="1"/>
  <c r="A36" i="4"/>
  <c r="F36" i="4" s="1" a="1"/>
  <c r="F36" i="4" s="1"/>
  <c r="E36" i="4"/>
  <c r="G36" i="4" a="1"/>
  <c r="G36" i="4" s="1"/>
  <c r="A37" i="4"/>
  <c r="E37" i="4" s="1"/>
  <c r="A38" i="4"/>
  <c r="F38" i="4" s="1" a="1"/>
  <c r="F38" i="4" s="1"/>
  <c r="A39" i="4"/>
  <c r="F39" i="4" s="1" a="1"/>
  <c r="F39" i="4" s="1"/>
  <c r="A40" i="4"/>
  <c r="F40" i="4" s="1" a="1"/>
  <c r="F40" i="4" s="1"/>
  <c r="A41" i="4"/>
  <c r="E41" i="4" s="1"/>
  <c r="F41" i="4" a="1"/>
  <c r="F41" i="4" s="1"/>
  <c r="A42" i="4"/>
  <c r="F42" i="4" s="1" a="1"/>
  <c r="F42" i="4" s="1"/>
  <c r="E42" i="4"/>
  <c r="A43" i="4"/>
  <c r="E43" i="4" s="1"/>
  <c r="G43" i="4" a="1"/>
  <c r="G43" i="4" s="1"/>
  <c r="A44" i="4"/>
  <c r="F44" i="4" s="1" a="1"/>
  <c r="F44" i="4" s="1"/>
  <c r="A45" i="4"/>
  <c r="E45" i="4" s="1"/>
  <c r="A46" i="4"/>
  <c r="F46" i="4" s="1" a="1"/>
  <c r="F46" i="4" s="1"/>
  <c r="A47" i="4"/>
  <c r="E47" i="4" s="1"/>
  <c r="A48" i="4"/>
  <c r="F48" i="4" s="1" a="1"/>
  <c r="F48" i="4" s="1"/>
  <c r="A49" i="4"/>
  <c r="E49" i="4" s="1"/>
  <c r="G49" i="4" a="1"/>
  <c r="G49" i="4" s="1"/>
  <c r="A50" i="4"/>
  <c r="F50" i="4" s="1" a="1"/>
  <c r="F50" i="4" s="1"/>
  <c r="A51" i="4"/>
  <c r="G51" i="4" s="1" a="1"/>
  <c r="G51" i="4" s="1"/>
  <c r="E51" i="4"/>
  <c r="A52" i="4"/>
  <c r="F52" i="4" s="1" a="1"/>
  <c r="F52" i="4" s="1"/>
  <c r="A53" i="4"/>
  <c r="E53" i="4" s="1"/>
  <c r="F53" i="4" a="1"/>
  <c r="F53" i="4" s="1"/>
  <c r="A54" i="4"/>
  <c r="F54" i="4" s="1" a="1"/>
  <c r="F54" i="4" s="1"/>
  <c r="E54" i="4"/>
  <c r="G54" i="4" a="1"/>
  <c r="G54" i="4" s="1"/>
  <c r="A55" i="4"/>
  <c r="E55" i="4" s="1"/>
  <c r="G55" i="4" a="1"/>
  <c r="G55" i="4" s="1"/>
  <c r="A56" i="4"/>
  <c r="F56" i="4" s="1" a="1"/>
  <c r="F56" i="4" s="1"/>
  <c r="A57" i="4"/>
  <c r="E57" i="4" s="1"/>
  <c r="G57" i="4" a="1"/>
  <c r="G57" i="4" s="1"/>
  <c r="A58" i="4"/>
  <c r="F58" i="4" s="1" a="1"/>
  <c r="F58" i="4" s="1"/>
  <c r="A59" i="4"/>
  <c r="E59" i="4" s="1"/>
  <c r="A60" i="4"/>
  <c r="F60" i="4" s="1" a="1"/>
  <c r="F60" i="4" s="1"/>
  <c r="A61" i="4"/>
  <c r="E61" i="4" s="1"/>
  <c r="A62" i="4"/>
  <c r="F62" i="4" s="1" a="1"/>
  <c r="F62" i="4" s="1"/>
  <c r="A63" i="4"/>
  <c r="E63" i="4" s="1"/>
  <c r="A64" i="4"/>
  <c r="F64" i="4" s="1" a="1"/>
  <c r="F64" i="4" s="1"/>
  <c r="A65" i="4"/>
  <c r="E65" i="4" s="1"/>
  <c r="A66" i="4"/>
  <c r="A67" i="4"/>
  <c r="E67" i="4" s="1"/>
  <c r="A68" i="4"/>
  <c r="F68" i="4" s="1" a="1"/>
  <c r="F68" i="4" s="1"/>
  <c r="A69" i="4"/>
  <c r="E69" i="4" s="1"/>
  <c r="A70" i="4"/>
  <c r="A71" i="4"/>
  <c r="E71" i="4" s="1"/>
  <c r="A72" i="4"/>
  <c r="F72" i="4" s="1" a="1"/>
  <c r="F72" i="4" s="1"/>
  <c r="A73" i="4"/>
  <c r="E73" i="4" s="1"/>
  <c r="A74" i="4"/>
  <c r="E74" i="4" s="1"/>
  <c r="A75" i="4"/>
  <c r="E75" i="4" s="1"/>
  <c r="F75" i="4" a="1"/>
  <c r="F75" i="4" s="1"/>
  <c r="A76" i="4"/>
  <c r="F76" i="4" s="1" a="1"/>
  <c r="F76" i="4" s="1"/>
  <c r="A77" i="4"/>
  <c r="F77" i="4" s="1" a="1"/>
  <c r="F77" i="4" s="1"/>
  <c r="G77" i="4" a="1"/>
  <c r="G77" i="4" s="1"/>
  <c r="A78" i="4"/>
  <c r="F78" i="4" s="1" a="1"/>
  <c r="F78" i="4" s="1"/>
  <c r="A79" i="4"/>
  <c r="F79" i="4" s="1" a="1"/>
  <c r="F79" i="4" s="1"/>
  <c r="A80" i="4"/>
  <c r="F80" i="4" s="1" a="1"/>
  <c r="F80" i="4" s="1"/>
  <c r="A81" i="4"/>
  <c r="F81" i="4" s="1" a="1"/>
  <c r="F81" i="4" s="1"/>
  <c r="A82" i="4"/>
  <c r="F82" i="4" s="1" a="1"/>
  <c r="F82" i="4" s="1"/>
  <c r="A83" i="4"/>
  <c r="E83" i="4" s="1"/>
  <c r="A84" i="4"/>
  <c r="F84" i="4" s="1" a="1"/>
  <c r="F84" i="4" s="1"/>
  <c r="A85" i="4"/>
  <c r="F85" i="4" s="1" a="1"/>
  <c r="F85" i="4" s="1"/>
  <c r="A86" i="4"/>
  <c r="F86" i="4" s="1" a="1"/>
  <c r="F86" i="4" s="1"/>
  <c r="A87" i="4"/>
  <c r="F87" i="4" s="1" a="1"/>
  <c r="F87" i="4" s="1"/>
  <c r="A88" i="4"/>
  <c r="F88" i="4" s="1" a="1"/>
  <c r="F88" i="4" s="1"/>
  <c r="A89" i="4"/>
  <c r="E89" i="4" s="1"/>
  <c r="A90" i="4"/>
  <c r="A91" i="4"/>
  <c r="F91" i="4" s="1" a="1"/>
  <c r="F91" i="4" s="1"/>
  <c r="G91" i="4" a="1"/>
  <c r="G91" i="4" s="1"/>
  <c r="A92" i="4"/>
  <c r="F92" i="4" s="1" a="1"/>
  <c r="F92" i="4" s="1"/>
  <c r="A93" i="4"/>
  <c r="E93" i="4" s="1"/>
  <c r="F93" i="4" a="1"/>
  <c r="F93" i="4" s="1"/>
  <c r="A94" i="4"/>
  <c r="A95" i="4"/>
  <c r="F95" i="4" s="1" a="1"/>
  <c r="F95" i="4" s="1"/>
  <c r="A96" i="4"/>
  <c r="F96" i="4" s="1" a="1"/>
  <c r="F96" i="4" s="1"/>
  <c r="A97" i="4"/>
  <c r="E97" i="4" s="1"/>
  <c r="A98" i="4"/>
  <c r="E98" i="4" s="1"/>
  <c r="A99" i="4"/>
  <c r="F99" i="4" s="1" a="1"/>
  <c r="F99" i="4" s="1"/>
  <c r="A100" i="4"/>
  <c r="F100" i="4" s="1" a="1"/>
  <c r="F100" i="4" s="1"/>
  <c r="A101" i="4"/>
  <c r="E101" i="4" s="1"/>
  <c r="G101" i="4" a="1"/>
  <c r="G101" i="4" s="1"/>
  <c r="A102" i="4"/>
  <c r="F102" i="4" s="1" a="1"/>
  <c r="F102" i="4" s="1"/>
  <c r="G102" i="4" a="1"/>
  <c r="G102" i="4" s="1"/>
  <c r="A103" i="4"/>
  <c r="E103" i="4" s="1"/>
  <c r="A104" i="4"/>
  <c r="F104" i="4" s="1" a="1"/>
  <c r="F104" i="4" s="1"/>
  <c r="A105" i="4"/>
  <c r="E105" i="4" s="1"/>
  <c r="A106" i="4"/>
  <c r="F106" i="4" s="1" a="1"/>
  <c r="F106" i="4" s="1"/>
  <c r="A107" i="4"/>
  <c r="E107" i="4" s="1"/>
  <c r="A108" i="4"/>
  <c r="F108" i="4" s="1" a="1"/>
  <c r="F108" i="4" s="1"/>
  <c r="A109" i="4"/>
  <c r="F109" i="4" s="1" a="1"/>
  <c r="F109" i="4" s="1"/>
  <c r="A110" i="4"/>
  <c r="F110" i="4" s="1" a="1"/>
  <c r="F110" i="4" s="1"/>
  <c r="A111" i="4"/>
  <c r="F111" i="4" s="1" a="1"/>
  <c r="F111" i="4" s="1"/>
  <c r="G111" i="4" a="1"/>
  <c r="G111" i="4" s="1"/>
  <c r="A112" i="4"/>
  <c r="F112" i="4" s="1" a="1"/>
  <c r="F112" i="4" s="1"/>
  <c r="A113" i="4"/>
  <c r="G113" i="4" s="1" a="1"/>
  <c r="G113" i="4" s="1"/>
  <c r="A114" i="4"/>
  <c r="A115" i="4"/>
  <c r="E115" i="4" s="1"/>
  <c r="A116" i="4"/>
  <c r="F116" i="4" s="1" a="1"/>
  <c r="F116" i="4" s="1"/>
  <c r="E116" i="4"/>
  <c r="A117" i="4"/>
  <c r="F117" i="4" s="1" a="1"/>
  <c r="F117" i="4" s="1"/>
  <c r="A118" i="4"/>
  <c r="A119" i="4"/>
  <c r="E119" i="4" s="1"/>
  <c r="A120" i="4"/>
  <c r="F120" i="4" s="1" a="1"/>
  <c r="F120" i="4" s="1"/>
  <c r="A121" i="4"/>
  <c r="E121" i="4" s="1"/>
  <c r="A122" i="4"/>
  <c r="E122" i="4" s="1"/>
  <c r="A123" i="4"/>
  <c r="A124" i="4"/>
  <c r="A125" i="4"/>
  <c r="G125" i="4" s="1" a="1"/>
  <c r="G125" i="4" s="1"/>
  <c r="A126" i="4"/>
  <c r="A127" i="4"/>
  <c r="E127" i="4" s="1"/>
  <c r="A128" i="4"/>
  <c r="G128" i="4" s="1" a="1"/>
  <c r="G128" i="4" s="1"/>
  <c r="A129" i="4"/>
  <c r="A130" i="4"/>
  <c r="E130" i="4" s="1"/>
  <c r="A131" i="4"/>
  <c r="A132" i="4"/>
  <c r="A133" i="4"/>
  <c r="G133" i="4" a="1"/>
  <c r="G133" i="4" s="1"/>
  <c r="A134" i="4"/>
  <c r="F134" i="4" s="1" a="1"/>
  <c r="F134" i="4" s="1"/>
  <c r="A135" i="4"/>
  <c r="E135" i="4" s="1"/>
  <c r="A136" i="4"/>
  <c r="F136" i="4" s="1" a="1"/>
  <c r="F136" i="4" s="1"/>
  <c r="A137" i="4"/>
  <c r="A138" i="4"/>
  <c r="A139" i="4"/>
  <c r="E139" i="4" s="1"/>
  <c r="A140" i="4"/>
  <c r="F140" i="4" s="1" a="1"/>
  <c r="F140" i="4" s="1"/>
  <c r="A141" i="4"/>
  <c r="A142" i="4"/>
  <c r="A143" i="4"/>
  <c r="E143" i="4" s="1"/>
  <c r="G143" i="4" a="1"/>
  <c r="G143" i="4" s="1"/>
  <c r="A144" i="4"/>
  <c r="F144" i="4" s="1" a="1"/>
  <c r="F144" i="4" s="1"/>
  <c r="G144" i="4" a="1"/>
  <c r="G144" i="4" s="1"/>
  <c r="A145" i="4"/>
  <c r="E145" i="4" s="1"/>
  <c r="G145" i="4" a="1"/>
  <c r="G145" i="4" s="1"/>
  <c r="A146" i="4"/>
  <c r="A147" i="4"/>
  <c r="E147" i="4" s="1"/>
  <c r="A148" i="4"/>
  <c r="E148" i="4" s="1"/>
  <c r="A149" i="4"/>
  <c r="A150" i="4"/>
  <c r="A151" i="4"/>
  <c r="G151" i="4" a="1"/>
  <c r="G151" i="4" s="1"/>
  <c r="A152" i="4"/>
  <c r="G152" i="4" s="1" a="1"/>
  <c r="G152" i="4" s="1"/>
  <c r="A153" i="4"/>
  <c r="G153" i="4" a="1"/>
  <c r="G153" i="4" s="1"/>
  <c r="A154" i="4"/>
  <c r="F154" i="4" s="1" a="1"/>
  <c r="F154" i="4" s="1"/>
  <c r="A155" i="4"/>
  <c r="A156" i="4"/>
  <c r="A157" i="4"/>
  <c r="G157" i="4" s="1" a="1"/>
  <c r="G157" i="4" s="1"/>
  <c r="A158" i="4"/>
  <c r="E158" i="4" s="1"/>
  <c r="A159" i="4"/>
  <c r="E159" i="4" s="1"/>
  <c r="F159" i="4" a="1"/>
  <c r="F159" i="4" s="1"/>
  <c r="A160" i="4"/>
  <c r="A161" i="4"/>
  <c r="G161" i="4" s="1" a="1"/>
  <c r="G161" i="4" s="1"/>
  <c r="A162" i="4"/>
  <c r="G162" i="4" s="1" a="1"/>
  <c r="G162" i="4" s="1"/>
  <c r="A163" i="4"/>
  <c r="G163" i="4" s="1" a="1"/>
  <c r="G163" i="4" s="1"/>
  <c r="A164" i="4"/>
  <c r="A165" i="4"/>
  <c r="E165" i="4" s="1"/>
  <c r="A166" i="4"/>
  <c r="G166" i="4" s="1" a="1"/>
  <c r="G166" i="4" s="1"/>
  <c r="A167" i="4"/>
  <c r="E167" i="4" s="1"/>
  <c r="F167" i="4" a="1"/>
  <c r="F167" i="4" s="1"/>
  <c r="A168" i="4"/>
  <c r="F168" i="4" s="1" a="1"/>
  <c r="F168" i="4" s="1"/>
  <c r="A169" i="4"/>
  <c r="F169" i="4" s="1" a="1"/>
  <c r="F169" i="4" s="1"/>
  <c r="A170" i="4"/>
  <c r="E170" i="4" s="1"/>
  <c r="A171" i="4"/>
  <c r="G171" i="4" a="1"/>
  <c r="G171" i="4" s="1"/>
  <c r="A172" i="4"/>
  <c r="F172" i="4" s="1" a="1"/>
  <c r="F172" i="4" s="1"/>
  <c r="A173" i="4"/>
  <c r="E173" i="4" s="1"/>
  <c r="A174" i="4"/>
  <c r="A175" i="4"/>
  <c r="E175" i="4"/>
  <c r="A176" i="4"/>
  <c r="E176" i="4" s="1"/>
  <c r="A177" i="4"/>
  <c r="G177" i="4" a="1"/>
  <c r="G177" i="4" s="1"/>
  <c r="A178" i="4"/>
  <c r="G178" i="4" s="1" a="1"/>
  <c r="G178" i="4" s="1"/>
  <c r="A179" i="4"/>
  <c r="A180" i="4"/>
  <c r="A181" i="4"/>
  <c r="E181" i="4" s="1"/>
  <c r="A182" i="4"/>
  <c r="A183" i="4"/>
  <c r="E183" i="4" s="1"/>
  <c r="A184" i="4"/>
  <c r="A185" i="4"/>
  <c r="A186" i="4"/>
  <c r="E186" i="4" s="1"/>
  <c r="A187" i="4"/>
  <c r="E187" i="4" s="1"/>
  <c r="A188" i="4"/>
  <c r="F188" i="4" s="1" a="1"/>
  <c r="F188" i="4" s="1"/>
  <c r="A189" i="4"/>
  <c r="A190" i="4"/>
  <c r="G190" i="4" s="1" a="1"/>
  <c r="G190" i="4" s="1"/>
  <c r="A191" i="4"/>
  <c r="E191" i="4" s="1"/>
  <c r="A192" i="4"/>
  <c r="A193" i="4"/>
  <c r="F193" i="4" s="1" a="1"/>
  <c r="F193" i="4" s="1"/>
  <c r="A194" i="4"/>
  <c r="A195" i="4"/>
  <c r="E195" i="4" s="1"/>
  <c r="A196" i="4"/>
  <c r="A197" i="4"/>
  <c r="G197" i="4" a="1"/>
  <c r="G197" i="4" s="1"/>
  <c r="A198" i="4"/>
  <c r="A199" i="4"/>
  <c r="E199" i="4" s="1"/>
  <c r="A200" i="4"/>
  <c r="G200" i="4" s="1" a="1"/>
  <c r="G200" i="4" s="1"/>
  <c r="A201" i="4"/>
  <c r="A202" i="4"/>
  <c r="F202" i="4" s="1" a="1"/>
  <c r="F202" i="4" s="1"/>
  <c r="E202" i="4"/>
  <c r="G202" i="4" a="1"/>
  <c r="G202" i="4" s="1"/>
  <c r="A203" i="4"/>
  <c r="A204" i="4"/>
  <c r="A205" i="4"/>
  <c r="E205" i="4" s="1"/>
  <c r="A206" i="4"/>
  <c r="E206" i="4" s="1"/>
  <c r="A207" i="4"/>
  <c r="F207" i="4" s="1" a="1"/>
  <c r="F207" i="4" s="1"/>
  <c r="A208" i="4"/>
  <c r="E208" i="4" s="1"/>
  <c r="A209" i="4"/>
  <c r="F209" i="4" s="1" a="1"/>
  <c r="F209" i="4" s="1"/>
  <c r="A210" i="4"/>
  <c r="E210" i="4" s="1"/>
  <c r="A211" i="4"/>
  <c r="F211" i="4" s="1" a="1"/>
  <c r="F211" i="4" s="1"/>
  <c r="E211" i="4"/>
  <c r="A212" i="4"/>
  <c r="A213" i="4"/>
  <c r="E213" i="4" s="1"/>
  <c r="A214" i="4"/>
  <c r="A215" i="4"/>
  <c r="A216" i="4"/>
  <c r="A217" i="4"/>
  <c r="E217" i="4" s="1"/>
  <c r="A218" i="4"/>
  <c r="A219" i="4"/>
  <c r="A220" i="4"/>
  <c r="F220" i="4" s="1" a="1"/>
  <c r="F220" i="4" s="1"/>
  <c r="A221" i="4"/>
  <c r="E221" i="4" s="1"/>
  <c r="A222" i="4"/>
  <c r="A223" i="4"/>
  <c r="A224" i="4"/>
  <c r="G224" i="4" s="1" a="1"/>
  <c r="G224" i="4" s="1"/>
  <c r="A225" i="4"/>
  <c r="G225" i="4" s="1" a="1"/>
  <c r="G225" i="4" s="1"/>
  <c r="A226" i="4"/>
  <c r="G226" i="4" s="1" a="1"/>
  <c r="G226" i="4" s="1"/>
  <c r="A227" i="4"/>
  <c r="G227" i="4" a="1"/>
  <c r="G227" i="4" s="1"/>
  <c r="A228" i="4"/>
  <c r="G228" i="4" s="1" a="1"/>
  <c r="G228" i="4" s="1"/>
  <c r="A229" i="4"/>
  <c r="G229" i="4" s="1" a="1"/>
  <c r="G229" i="4" s="1"/>
  <c r="A230" i="4"/>
  <c r="G230" i="4" s="1" a="1"/>
  <c r="G230" i="4" s="1"/>
  <c r="A231" i="4"/>
  <c r="G231" i="4" s="1" a="1"/>
  <c r="G231" i="4" s="1"/>
  <c r="A232" i="4"/>
  <c r="A233" i="4"/>
  <c r="E233" i="4" s="1"/>
  <c r="A234" i="4"/>
  <c r="E234" i="4" s="1"/>
  <c r="A235" i="4"/>
  <c r="E235" i="4" s="1"/>
  <c r="A236" i="4"/>
  <c r="E236" i="4" s="1"/>
  <c r="A237" i="4"/>
  <c r="G237" i="4" s="1" a="1"/>
  <c r="G237" i="4" s="1"/>
  <c r="A238" i="4"/>
  <c r="G238" i="4" s="1" a="1"/>
  <c r="G238" i="4" s="1"/>
  <c r="A239" i="4"/>
  <c r="F239" i="4" s="1" a="1"/>
  <c r="F239" i="4" s="1"/>
  <c r="A240" i="4"/>
  <c r="A241" i="4"/>
  <c r="E241" i="4" s="1"/>
  <c r="A242" i="4"/>
  <c r="G242" i="4" s="1" a="1"/>
  <c r="G242" i="4" s="1"/>
  <c r="A243" i="4"/>
  <c r="E243" i="4" s="1"/>
  <c r="A244" i="4"/>
  <c r="A245" i="4"/>
  <c r="G245" i="4" s="1" a="1"/>
  <c r="G245" i="4" s="1"/>
  <c r="A246" i="4"/>
  <c r="E246" i="4" s="1"/>
  <c r="A247" i="4"/>
  <c r="F247" i="4" s="1" a="1"/>
  <c r="F247" i="4" s="1"/>
  <c r="A248" i="4"/>
  <c r="E248" i="4" s="1"/>
  <c r="A249" i="4"/>
  <c r="A250" i="4"/>
  <c r="A251" i="4"/>
  <c r="G251" i="4" s="1" a="1"/>
  <c r="G251" i="4" s="1"/>
  <c r="A252" i="4"/>
  <c r="G252" i="4" s="1" a="1"/>
  <c r="G252" i="4" s="1"/>
  <c r="A253" i="4"/>
  <c r="F253" i="4" s="1" a="1"/>
  <c r="F253" i="4" s="1"/>
  <c r="A254" i="4"/>
  <c r="G254" i="4" s="1" a="1"/>
  <c r="G254" i="4" s="1"/>
  <c r="A255" i="4"/>
  <c r="G255" i="4" s="1" a="1"/>
  <c r="G255" i="4" s="1"/>
  <c r="A256" i="4"/>
  <c r="E256" i="4" s="1"/>
  <c r="A257" i="4"/>
  <c r="E257" i="4" s="1"/>
  <c r="A258" i="4"/>
  <c r="E258" i="4" s="1"/>
  <c r="A259" i="4"/>
  <c r="F259" i="4" s="1" a="1"/>
  <c r="F259" i="4" s="1"/>
  <c r="A260" i="4"/>
  <c r="G260" i="4" s="1" a="1"/>
  <c r="G260" i="4" s="1"/>
  <c r="A261" i="4"/>
  <c r="A262" i="4"/>
  <c r="A263" i="4"/>
  <c r="G263" i="4" s="1" a="1"/>
  <c r="G263" i="4" s="1"/>
  <c r="A264" i="4"/>
  <c r="E264" i="4" s="1"/>
  <c r="A265" i="4"/>
  <c r="A266" i="4"/>
  <c r="A267" i="4"/>
  <c r="F267" i="4" s="1" a="1"/>
  <c r="F267" i="4" s="1"/>
  <c r="A268" i="4"/>
  <c r="F268" i="4" s="1" a="1"/>
  <c r="F268" i="4" s="1"/>
  <c r="A269" i="4"/>
  <c r="F269" i="4" s="1" a="1"/>
  <c r="F269" i="4" s="1"/>
  <c r="A270" i="4"/>
  <c r="A271" i="4"/>
  <c r="A272" i="4"/>
  <c r="F272" i="4" s="1" a="1"/>
  <c r="F272" i="4" s="1"/>
  <c r="A273" i="4"/>
  <c r="F273" i="4" s="1" a="1"/>
  <c r="F273" i="4" s="1"/>
  <c r="A274" i="4"/>
  <c r="F274" i="4" s="1" a="1"/>
  <c r="F274" i="4" s="1"/>
  <c r="A275" i="4"/>
  <c r="F275" i="4" s="1" a="1"/>
  <c r="F275" i="4" s="1"/>
  <c r="A276" i="4"/>
  <c r="E276" i="4" s="1"/>
  <c r="A277" i="4"/>
  <c r="A278" i="4"/>
  <c r="A279" i="4"/>
  <c r="A280" i="4"/>
  <c r="G280" i="4" s="1" a="1"/>
  <c r="G280" i="4" s="1"/>
  <c r="A281" i="4"/>
  <c r="F281" i="4" s="1" a="1"/>
  <c r="F281" i="4" s="1"/>
  <c r="A282" i="4"/>
  <c r="F282" i="4" s="1" a="1"/>
  <c r="F282" i="4" s="1"/>
  <c r="A283" i="4"/>
  <c r="A284" i="4"/>
  <c r="E284" i="4" s="1"/>
  <c r="A285" i="4"/>
  <c r="G285" i="4" s="1" a="1"/>
  <c r="G285" i="4" s="1"/>
  <c r="A286" i="4"/>
  <c r="G286" i="4" s="1" a="1"/>
  <c r="G286" i="4" s="1"/>
  <c r="A287" i="4"/>
  <c r="F287" i="4" s="1" a="1"/>
  <c r="F287" i="4" s="1"/>
  <c r="A288" i="4"/>
  <c r="E288" i="4" s="1"/>
  <c r="A289" i="4"/>
  <c r="E289" i="4" s="1"/>
  <c r="A290" i="4"/>
  <c r="E290" i="4" s="1"/>
  <c r="A291" i="4"/>
  <c r="F291" i="4" s="1" a="1"/>
  <c r="F291" i="4" s="1"/>
  <c r="A292" i="4"/>
  <c r="E292" i="4" s="1"/>
  <c r="A293" i="4"/>
  <c r="F293" i="4" s="1" a="1"/>
  <c r="F293" i="4" s="1"/>
  <c r="A294" i="4"/>
  <c r="E294" i="4" s="1"/>
  <c r="A295" i="4"/>
  <c r="F295" i="4" s="1" a="1"/>
  <c r="F295" i="4" s="1"/>
  <c r="A296" i="4"/>
  <c r="E296" i="4" s="1"/>
  <c r="A297" i="4"/>
  <c r="A298" i="4"/>
  <c r="F298" i="4" s="1" a="1"/>
  <c r="F298" i="4" s="1"/>
  <c r="A299" i="4"/>
  <c r="A300" i="4"/>
  <c r="G300" i="4" s="1" a="1"/>
  <c r="G300" i="4" s="1"/>
  <c r="A301" i="4"/>
  <c r="G301" i="4" s="1" a="1"/>
  <c r="G301" i="4" s="1"/>
  <c r="A302" i="4"/>
  <c r="G302" i="4" s="1" a="1"/>
  <c r="G302" i="4" s="1"/>
  <c r="F302" i="4" a="1"/>
  <c r="F302" i="4" s="1"/>
  <c r="A303" i="4"/>
  <c r="A304" i="4"/>
  <c r="G304" i="4" s="1" a="1"/>
  <c r="G304" i="4" s="1"/>
  <c r="A305" i="4"/>
  <c r="E305" i="4" s="1"/>
  <c r="A306" i="4"/>
  <c r="A307" i="4"/>
  <c r="F307" i="4" s="1" a="1"/>
  <c r="F307" i="4" s="1"/>
  <c r="G307" i="4" a="1"/>
  <c r="G307" i="4" s="1"/>
  <c r="A308" i="4"/>
  <c r="G308" i="4" s="1" a="1"/>
  <c r="G308" i="4" s="1"/>
  <c r="A309" i="4"/>
  <c r="G309" i="4" s="1" a="1"/>
  <c r="G309" i="4" s="1"/>
  <c r="A310" i="4"/>
  <c r="F310" i="4" s="1" a="1"/>
  <c r="F310" i="4" s="1"/>
  <c r="A311" i="4"/>
  <c r="F311" i="4" s="1" a="1"/>
  <c r="F311" i="4" s="1"/>
  <c r="A312" i="4"/>
  <c r="A313" i="4"/>
  <c r="E313" i="4" s="1"/>
  <c r="A314" i="4"/>
  <c r="G314" i="4" s="1" a="1"/>
  <c r="G314" i="4" s="1"/>
  <c r="A315" i="4"/>
  <c r="A316" i="4"/>
  <c r="G316" i="4" s="1" a="1"/>
  <c r="G316" i="4" s="1"/>
  <c r="A317" i="4"/>
  <c r="G317" i="4" s="1" a="1"/>
  <c r="G317" i="4" s="1"/>
  <c r="A318" i="4"/>
  <c r="E318" i="4" s="1"/>
  <c r="A319" i="4"/>
  <c r="F319" i="4" s="1" a="1"/>
  <c r="F319" i="4" s="1"/>
  <c r="A320" i="4"/>
  <c r="G320" i="4" s="1" a="1"/>
  <c r="G320" i="4" s="1"/>
  <c r="A321" i="4"/>
  <c r="E321" i="4" s="1"/>
  <c r="A322" i="4"/>
  <c r="E322" i="4" s="1"/>
  <c r="A323" i="4"/>
  <c r="A324" i="4"/>
  <c r="A325" i="4"/>
  <c r="G325" i="4" s="1" a="1"/>
  <c r="G325" i="4" s="1"/>
  <c r="A326" i="4"/>
  <c r="A327" i="4"/>
  <c r="A328" i="4"/>
  <c r="F328" i="4" s="1" a="1"/>
  <c r="F328" i="4" s="1"/>
  <c r="G328" i="4" a="1"/>
  <c r="G328" i="4" s="1"/>
  <c r="A329" i="4"/>
  <c r="G329" i="4" s="1" a="1"/>
  <c r="G329" i="4" s="1"/>
  <c r="A330" i="4"/>
  <c r="F330" i="4" s="1" a="1"/>
  <c r="F330" i="4" s="1"/>
  <c r="A331" i="4"/>
  <c r="G331" i="4" s="1" a="1"/>
  <c r="G331" i="4" s="1"/>
  <c r="A332" i="4"/>
  <c r="E332" i="4" s="1"/>
  <c r="A333" i="4"/>
  <c r="A334" i="4"/>
  <c r="E334" i="4" s="1"/>
  <c r="A335" i="4"/>
  <c r="G335" i="4" s="1" a="1"/>
  <c r="G335" i="4" s="1"/>
  <c r="A336" i="4"/>
  <c r="A337" i="4"/>
  <c r="G337" i="4" s="1" a="1"/>
  <c r="G337" i="4" s="1"/>
  <c r="A338" i="4"/>
  <c r="A339" i="4"/>
  <c r="A340" i="4"/>
  <c r="A341" i="4"/>
  <c r="G341" i="4" s="1" a="1"/>
  <c r="G341" i="4" s="1"/>
  <c r="A342" i="4"/>
  <c r="A343" i="4"/>
  <c r="A344" i="4"/>
  <c r="G344" i="4" s="1" a="1"/>
  <c r="G344" i="4" s="1"/>
  <c r="A345" i="4"/>
  <c r="E345" i="4" s="1"/>
  <c r="A346" i="4"/>
  <c r="G346" i="4" s="1" a="1"/>
  <c r="G346" i="4" s="1"/>
  <c r="A347" i="4"/>
  <c r="G347" i="4" s="1" a="1"/>
  <c r="G347" i="4" s="1"/>
  <c r="A348" i="4"/>
  <c r="A349" i="4"/>
  <c r="A350" i="4"/>
  <c r="G350" i="4" s="1" a="1"/>
  <c r="G350" i="4" s="1"/>
  <c r="A351" i="4"/>
  <c r="A352" i="4"/>
  <c r="A353" i="4"/>
  <c r="E353" i="4" s="1"/>
  <c r="A354" i="4"/>
  <c r="F354" i="4" s="1" a="1"/>
  <c r="F354" i="4" s="1"/>
  <c r="A355" i="4"/>
  <c r="A356" i="4"/>
  <c r="A357" i="4"/>
  <c r="A358" i="4"/>
  <c r="A359" i="4"/>
  <c r="A360" i="4"/>
  <c r="F360" i="4" s="1" a="1"/>
  <c r="F360" i="4" s="1"/>
  <c r="A361" i="4"/>
  <c r="E361" i="4" s="1"/>
  <c r="F361" i="4" a="1"/>
  <c r="F361" i="4" s="1"/>
  <c r="A362" i="4"/>
  <c r="G362" i="4" s="1" a="1"/>
  <c r="G362" i="4" s="1"/>
  <c r="A363" i="4"/>
  <c r="E363" i="4" s="1"/>
  <c r="A364" i="4"/>
  <c r="A365" i="4"/>
  <c r="A366" i="4"/>
  <c r="A367" i="4"/>
  <c r="G367" i="4" s="1" a="1"/>
  <c r="G367" i="4" s="1"/>
  <c r="A368" i="4"/>
  <c r="F368" i="4" s="1" a="1"/>
  <c r="F368" i="4" s="1"/>
  <c r="A369" i="4"/>
  <c r="G369" i="4" s="1" a="1"/>
  <c r="G369" i="4" s="1"/>
  <c r="A370" i="4"/>
  <c r="E370" i="4" s="1"/>
  <c r="A371" i="4"/>
  <c r="G371" i="4" a="1"/>
  <c r="G371" i="4" s="1"/>
  <c r="A372" i="4"/>
  <c r="F372" i="4" s="1" a="1"/>
  <c r="F372" i="4" s="1"/>
  <c r="A373" i="4"/>
  <c r="F373" i="4" s="1" a="1"/>
  <c r="F373" i="4" s="1"/>
  <c r="A374" i="4"/>
  <c r="A375" i="4"/>
  <c r="G375" i="4" s="1" a="1"/>
  <c r="G375" i="4" s="1"/>
  <c r="A376" i="4"/>
  <c r="F376" i="4" s="1" a="1"/>
  <c r="F376" i="4" s="1"/>
  <c r="A377" i="4"/>
  <c r="E377" i="4" s="1"/>
  <c r="A378" i="4"/>
  <c r="G378" i="4" s="1" a="1"/>
  <c r="G378" i="4" s="1"/>
  <c r="A379" i="4"/>
  <c r="G379" i="4" a="1"/>
  <c r="G379" i="4" s="1"/>
  <c r="A380" i="4"/>
  <c r="A381" i="4"/>
  <c r="A382" i="4"/>
  <c r="A383" i="4"/>
  <c r="E383" i="4" s="1"/>
  <c r="A384" i="4"/>
  <c r="A385" i="4"/>
  <c r="G385" i="4" s="1" a="1"/>
  <c r="G385" i="4" s="1"/>
  <c r="A386" i="4"/>
  <c r="G386" i="4" s="1" a="1"/>
  <c r="G386" i="4" s="1"/>
  <c r="A387" i="4"/>
  <c r="G387" i="4" a="1"/>
  <c r="G387" i="4" s="1"/>
  <c r="A388" i="4"/>
  <c r="A389" i="4"/>
  <c r="F389" i="4" s="1" a="1"/>
  <c r="F389" i="4" s="1"/>
  <c r="A390" i="4"/>
  <c r="A391" i="4"/>
  <c r="E391" i="4" s="1"/>
  <c r="A392" i="4"/>
  <c r="A393" i="4"/>
  <c r="E393" i="4" s="1"/>
  <c r="A394" i="4"/>
  <c r="E394" i="4" s="1"/>
  <c r="A395" i="4"/>
  <c r="G395" i="4" s="1" a="1"/>
  <c r="G395" i="4" s="1"/>
  <c r="A396" i="4"/>
  <c r="G396" i="4" s="1" a="1"/>
  <c r="G396" i="4" s="1"/>
  <c r="A397" i="4"/>
  <c r="A398" i="4"/>
  <c r="A399" i="4"/>
  <c r="A400" i="4"/>
  <c r="A401" i="4"/>
  <c r="A402" i="4"/>
  <c r="F402" i="4" s="1" a="1"/>
  <c r="F402" i="4" s="1"/>
  <c r="A403" i="4"/>
  <c r="F403" i="4" s="1" a="1"/>
  <c r="F403" i="4" s="1"/>
  <c r="A404" i="4"/>
  <c r="A405" i="4"/>
  <c r="F405" i="4" s="1" a="1"/>
  <c r="F405" i="4" s="1"/>
  <c r="A406" i="4"/>
  <c r="A407" i="4"/>
  <c r="A408" i="4"/>
  <c r="F408" i="4" s="1" a="1"/>
  <c r="F408" i="4" s="1"/>
  <c r="E408" i="4"/>
  <c r="G408" i="4" a="1"/>
  <c r="G408" i="4" s="1"/>
  <c r="A409" i="4"/>
  <c r="A410" i="4"/>
  <c r="A411" i="4"/>
  <c r="A412" i="4"/>
  <c r="G412" i="4" s="1" a="1"/>
  <c r="G412" i="4" s="1"/>
  <c r="A413" i="4"/>
  <c r="G413" i="4" s="1" a="1"/>
  <c r="G413" i="4" s="1"/>
  <c r="A414" i="4"/>
  <c r="G414" i="4" s="1" a="1"/>
  <c r="G414" i="4" s="1"/>
  <c r="A415" i="4"/>
  <c r="F415" i="4" s="1" a="1"/>
  <c r="F415" i="4" s="1"/>
  <c r="A416" i="4"/>
  <c r="G416" i="4" s="1" a="1"/>
  <c r="G416" i="4" s="1"/>
  <c r="A417" i="4"/>
  <c r="E417" i="4" s="1"/>
  <c r="A418" i="4"/>
  <c r="A419" i="4"/>
  <c r="F419" i="4" s="1" a="1"/>
  <c r="F419" i="4" s="1"/>
  <c r="A420" i="4"/>
  <c r="G420" i="4" s="1" a="1"/>
  <c r="G420" i="4" s="1"/>
  <c r="A421" i="4"/>
  <c r="F421" i="4" s="1" a="1"/>
  <c r="F421" i="4" s="1"/>
  <c r="A422" i="4"/>
  <c r="G422" i="4" s="1" a="1"/>
  <c r="G422" i="4" s="1"/>
  <c r="A423" i="4"/>
  <c r="G423" i="4" s="1" a="1"/>
  <c r="G423" i="4" s="1"/>
  <c r="F423" i="4" a="1"/>
  <c r="F423" i="4" s="1"/>
  <c r="A424" i="4"/>
  <c r="G424" i="4" s="1" a="1"/>
  <c r="G424" i="4" s="1"/>
  <c r="A425" i="4"/>
  <c r="G425" i="4" s="1" a="1"/>
  <c r="G425" i="4" s="1"/>
  <c r="A426" i="4"/>
  <c r="G426" i="4" s="1" a="1"/>
  <c r="G426" i="4" s="1"/>
  <c r="A427" i="4"/>
  <c r="E427" i="4" s="1"/>
  <c r="A428" i="4"/>
  <c r="G428" i="4" s="1" a="1"/>
  <c r="G428" i="4" s="1"/>
  <c r="A429" i="4"/>
  <c r="F429" i="4" s="1" a="1"/>
  <c r="F429" i="4" s="1"/>
  <c r="A430" i="4"/>
  <c r="A431" i="4"/>
  <c r="G431" i="4" s="1" a="1"/>
  <c r="G431" i="4" s="1"/>
  <c r="A432" i="4"/>
  <c r="G432" i="4" s="1" a="1"/>
  <c r="G432" i="4" s="1"/>
  <c r="A433" i="4"/>
  <c r="A434" i="4"/>
  <c r="F434" i="4" a="1"/>
  <c r="F434" i="4" s="1"/>
  <c r="A435" i="4"/>
  <c r="A436" i="4"/>
  <c r="G436" i="4" s="1" a="1"/>
  <c r="G436" i="4" s="1"/>
  <c r="A437" i="4"/>
  <c r="G437" i="4" s="1" a="1"/>
  <c r="G437" i="4" s="1"/>
  <c r="A438" i="4"/>
  <c r="G438" i="4" s="1" a="1"/>
  <c r="G438" i="4" s="1"/>
  <c r="A439" i="4"/>
  <c r="F439" i="4" s="1" a="1"/>
  <c r="F439" i="4" s="1"/>
  <c r="A440" i="4"/>
  <c r="A441" i="4"/>
  <c r="A442" i="4"/>
  <c r="E442" i="4"/>
  <c r="A443" i="4"/>
  <c r="A444" i="4"/>
  <c r="G444" i="4" s="1" a="1"/>
  <c r="G444" i="4" s="1"/>
  <c r="A445" i="4"/>
  <c r="A446" i="4"/>
  <c r="A447" i="4"/>
  <c r="G447" i="4" s="1" a="1"/>
  <c r="G447" i="4" s="1"/>
  <c r="A448" i="4"/>
  <c r="G448" i="4" s="1" a="1"/>
  <c r="G448" i="4" s="1"/>
  <c r="A449" i="4"/>
  <c r="A450" i="4"/>
  <c r="E450" i="4"/>
  <c r="A451" i="4"/>
  <c r="A452" i="4"/>
  <c r="E452" i="4" s="1"/>
  <c r="G452" i="4" a="1"/>
  <c r="G452" i="4" s="1"/>
  <c r="A453" i="4"/>
  <c r="F453" i="4" a="1"/>
  <c r="F453" i="4" s="1"/>
  <c r="A454" i="4"/>
  <c r="E454" i="4" s="1"/>
  <c r="A455" i="4"/>
  <c r="E455" i="4"/>
  <c r="A456" i="4"/>
  <c r="G456" i="4" s="1" a="1"/>
  <c r="G456" i="4" s="1"/>
  <c r="A457" i="4"/>
  <c r="G457" i="4" s="1" a="1"/>
  <c r="G457" i="4" s="1"/>
  <c r="A458" i="4"/>
  <c r="E458" i="4" s="1"/>
  <c r="A459" i="4"/>
  <c r="A460" i="4"/>
  <c r="F460" i="4" s="1" a="1"/>
  <c r="F460" i="4" s="1"/>
  <c r="E460" i="4"/>
  <c r="A461" i="4"/>
  <c r="E461" i="4" s="1"/>
  <c r="A462" i="4"/>
  <c r="F462" i="4" s="1" a="1"/>
  <c r="F462" i="4" s="1"/>
  <c r="E462" i="4"/>
  <c r="A463" i="4"/>
  <c r="A464" i="4"/>
  <c r="G464" i="4" s="1" a="1"/>
  <c r="G464" i="4" s="1"/>
  <c r="A465" i="4"/>
  <c r="A466" i="4"/>
  <c r="F466" i="4" s="1" a="1"/>
  <c r="F466" i="4" s="1"/>
  <c r="A467" i="4"/>
  <c r="E467" i="4" s="1"/>
  <c r="A468" i="4"/>
  <c r="F468" i="4" s="1" a="1"/>
  <c r="F468" i="4" s="1"/>
  <c r="A469" i="4"/>
  <c r="E469" i="4" s="1"/>
  <c r="A470" i="4"/>
  <c r="E470" i="4"/>
  <c r="A471" i="4"/>
  <c r="A472" i="4"/>
  <c r="F472" i="4" s="1" a="1"/>
  <c r="F472" i="4" s="1"/>
  <c r="A473" i="4"/>
  <c r="E473" i="4"/>
  <c r="A474" i="4"/>
  <c r="A475" i="4"/>
  <c r="F475" i="4" s="1" a="1"/>
  <c r="F475" i="4" s="1"/>
  <c r="A476" i="4"/>
  <c r="A477" i="4"/>
  <c r="F477" i="4" s="1" a="1"/>
  <c r="F477" i="4" s="1"/>
  <c r="A478" i="4"/>
  <c r="G478" i="4" s="1" a="1"/>
  <c r="G478" i="4" s="1"/>
  <c r="A479" i="4"/>
  <c r="G479" i="4" s="1" a="1"/>
  <c r="G479" i="4" s="1"/>
  <c r="A480" i="4"/>
  <c r="F480" i="4" s="1" a="1"/>
  <c r="F480" i="4" s="1"/>
  <c r="A481" i="4"/>
  <c r="A482" i="4"/>
  <c r="G482" i="4" s="1" a="1"/>
  <c r="G482" i="4" s="1"/>
  <c r="A483" i="4"/>
  <c r="A484" i="4"/>
  <c r="F484" i="4" a="1"/>
  <c r="F484" i="4" s="1"/>
  <c r="A485" i="4"/>
  <c r="A486" i="4"/>
  <c r="G486" i="4" a="1"/>
  <c r="G486" i="4" s="1"/>
  <c r="A487" i="4"/>
  <c r="A488" i="4"/>
  <c r="G488" i="4" s="1" a="1"/>
  <c r="G488" i="4" s="1"/>
  <c r="A489" i="4"/>
  <c r="E489" i="4" s="1"/>
  <c r="A490" i="4"/>
  <c r="E490" i="4" s="1"/>
  <c r="A491" i="4"/>
  <c r="A492" i="4"/>
  <c r="A493" i="4"/>
  <c r="E493" i="4" s="1"/>
  <c r="A494" i="4"/>
  <c r="A495" i="4"/>
  <c r="A496" i="4"/>
  <c r="A497" i="4"/>
  <c r="A498" i="4"/>
  <c r="G498" i="4" s="1" a="1"/>
  <c r="G498" i="4" s="1"/>
  <c r="A499" i="4"/>
  <c r="F499" i="4" s="1" a="1"/>
  <c r="F499" i="4" s="1"/>
  <c r="A500" i="4"/>
  <c r="A501" i="4"/>
  <c r="F501" i="4" s="1" a="1"/>
  <c r="F501" i="4" s="1"/>
  <c r="A502" i="4"/>
  <c r="A503" i="4"/>
  <c r="F503" i="4" s="1" a="1"/>
  <c r="F503" i="4" s="1"/>
  <c r="A504" i="4"/>
  <c r="A505" i="4"/>
  <c r="A506" i="4"/>
  <c r="G506" i="4" s="1" a="1"/>
  <c r="G506" i="4" s="1"/>
  <c r="A507" i="4"/>
  <c r="A508" i="4"/>
  <c r="A509" i="4"/>
  <c r="E509" i="4" s="1"/>
  <c r="A510" i="4"/>
  <c r="A511" i="4"/>
  <c r="F511" i="4" s="1" a="1"/>
  <c r="F511" i="4" s="1"/>
  <c r="A512" i="4"/>
  <c r="A513" i="4"/>
  <c r="A514" i="4"/>
  <c r="A515" i="4"/>
  <c r="A516" i="4"/>
  <c r="A517" i="4"/>
  <c r="F517" i="4" s="1" a="1"/>
  <c r="F517" i="4" s="1"/>
  <c r="A518" i="4"/>
  <c r="A519" i="4"/>
  <c r="A520" i="4"/>
  <c r="A521" i="4"/>
  <c r="E521" i="4" s="1"/>
  <c r="A522" i="4"/>
  <c r="A523" i="4"/>
  <c r="F523" i="4" s="1" a="1"/>
  <c r="F523" i="4" s="1"/>
  <c r="A524" i="4"/>
  <c r="A525" i="4"/>
  <c r="A526" i="4"/>
  <c r="G526" i="4" s="1" a="1"/>
  <c r="G526" i="4" s="1"/>
  <c r="A527" i="4"/>
  <c r="F527" i="4" s="1" a="1"/>
  <c r="F527" i="4" s="1"/>
  <c r="A528" i="4"/>
  <c r="E528" i="4" s="1"/>
  <c r="F528" i="4" a="1"/>
  <c r="F528" i="4" s="1"/>
  <c r="G528" i="4" a="1"/>
  <c r="G528" i="4" s="1"/>
  <c r="A529" i="4"/>
  <c r="A530" i="4"/>
  <c r="A531" i="4"/>
  <c r="A532" i="4"/>
  <c r="A533" i="4"/>
  <c r="E533" i="4" s="1"/>
  <c r="A534" i="4"/>
  <c r="G534" i="4" s="1" a="1"/>
  <c r="G534" i="4" s="1"/>
  <c r="A535" i="4"/>
  <c r="A536" i="4"/>
  <c r="A537" i="4"/>
  <c r="G537" i="4" s="1" a="1"/>
  <c r="G537" i="4" s="1"/>
  <c r="A538" i="4"/>
  <c r="A539" i="4"/>
  <c r="F539" i="4" s="1" a="1"/>
  <c r="F539" i="4" s="1"/>
  <c r="A540" i="4"/>
  <c r="G540" i="4" s="1" a="1"/>
  <c r="G540" i="4" s="1"/>
  <c r="A541" i="4"/>
  <c r="E541" i="4" s="1"/>
  <c r="A542" i="4"/>
  <c r="G542" i="4" s="1" a="1"/>
  <c r="G542" i="4" s="1"/>
  <c r="A543" i="4"/>
  <c r="A544" i="4"/>
  <c r="E544" i="4"/>
  <c r="A545" i="4"/>
  <c r="A546" i="4"/>
  <c r="A547" i="4"/>
  <c r="F547" i="4" s="1" a="1"/>
  <c r="F547" i="4" s="1"/>
  <c r="A548" i="4"/>
  <c r="F548" i="4" s="1" a="1"/>
  <c r="F548" i="4" s="1"/>
  <c r="A549" i="4"/>
  <c r="F549" i="4" s="1" a="1"/>
  <c r="F549" i="4" s="1"/>
  <c r="A550" i="4"/>
  <c r="A551" i="4"/>
  <c r="E551" i="4" s="1"/>
  <c r="A552" i="4"/>
  <c r="E552" i="4" s="1"/>
  <c r="A553" i="4"/>
  <c r="A554" i="4"/>
  <c r="G554" i="4" s="1" a="1"/>
  <c r="G554" i="4" s="1"/>
  <c r="A555" i="4"/>
  <c r="A556" i="4"/>
  <c r="E556" i="4" s="1"/>
  <c r="F556" i="4" a="1"/>
  <c r="F556" i="4" s="1"/>
  <c r="G556" i="4" a="1"/>
  <c r="G556" i="4" s="1"/>
  <c r="A557" i="4"/>
  <c r="E557" i="4" s="1"/>
  <c r="A558" i="4"/>
  <c r="F558" i="4" s="1" a="1"/>
  <c r="F558" i="4" s="1"/>
  <c r="A559" i="4"/>
  <c r="E559" i="4" s="1"/>
  <c r="A560" i="4"/>
  <c r="F560" i="4" s="1" a="1"/>
  <c r="F560" i="4" s="1"/>
  <c r="E560" i="4"/>
  <c r="G560" i="4" a="1"/>
  <c r="G560" i="4" s="1"/>
  <c r="A561" i="4"/>
  <c r="G561" i="4" s="1" a="1"/>
  <c r="G561" i="4" s="1"/>
  <c r="A562" i="4"/>
  <c r="F562" i="4" s="1" a="1"/>
  <c r="F562" i="4" s="1"/>
  <c r="A563" i="4"/>
  <c r="E563" i="4" s="1"/>
  <c r="A564" i="4"/>
  <c r="F564" i="4" s="1" a="1"/>
  <c r="F564" i="4" s="1"/>
  <c r="E564" i="4"/>
  <c r="A565" i="4"/>
  <c r="A566" i="4"/>
  <c r="F566" i="4" s="1" a="1"/>
  <c r="F566" i="4" s="1"/>
  <c r="A567" i="4"/>
  <c r="A568" i="4"/>
  <c r="F568" i="4" s="1" a="1"/>
  <c r="F568" i="4" s="1"/>
  <c r="E568" i="4"/>
  <c r="A569" i="4"/>
  <c r="E569" i="4" s="1"/>
  <c r="A570" i="4"/>
  <c r="E570" i="4"/>
  <c r="A571" i="4"/>
  <c r="A572" i="4"/>
  <c r="A573" i="4"/>
  <c r="F573" i="4" s="1" a="1"/>
  <c r="F573" i="4" s="1"/>
  <c r="A574" i="4"/>
  <c r="A575" i="4"/>
  <c r="A576" i="4"/>
  <c r="F576" i="4" s="1" a="1"/>
  <c r="F576" i="4" s="1"/>
  <c r="A577" i="4"/>
  <c r="A578" i="4"/>
  <c r="F578" i="4" s="1" a="1"/>
  <c r="F578" i="4" s="1"/>
  <c r="A579" i="4"/>
  <c r="A580" i="4"/>
  <c r="A581" i="4"/>
  <c r="G581" i="4" a="1"/>
  <c r="G581" i="4" s="1"/>
  <c r="A582" i="4"/>
  <c r="G582" i="4" a="1"/>
  <c r="G582" i="4" s="1"/>
  <c r="A583" i="4"/>
  <c r="A584" i="4"/>
  <c r="E584" i="4"/>
  <c r="A585" i="4"/>
  <c r="A586" i="4"/>
  <c r="G586" i="4" s="1" a="1"/>
  <c r="G586" i="4" s="1"/>
  <c r="A587" i="4"/>
  <c r="G587" i="4" s="1" a="1"/>
  <c r="G587" i="4" s="1"/>
  <c r="A588" i="4"/>
  <c r="A589" i="4"/>
  <c r="A590" i="4"/>
  <c r="A591" i="4"/>
  <c r="E591" i="4" s="1"/>
  <c r="A592" i="4"/>
  <c r="A593" i="4"/>
  <c r="F593" i="4" s="1" a="1"/>
  <c r="F593" i="4" s="1"/>
  <c r="A594" i="4"/>
  <c r="E594" i="4" s="1"/>
  <c r="A595" i="4"/>
  <c r="E595" i="4" s="1"/>
  <c r="A596" i="4"/>
  <c r="E596" i="4" s="1"/>
  <c r="A597" i="4"/>
  <c r="G597" i="4" s="1" a="1"/>
  <c r="G597" i="4" s="1"/>
  <c r="A598" i="4"/>
  <c r="A599" i="4"/>
  <c r="F599" i="4" s="1" a="1"/>
  <c r="F599" i="4" s="1"/>
  <c r="A600" i="4"/>
  <c r="E600" i="4" s="1"/>
  <c r="A601" i="4"/>
  <c r="A602" i="4"/>
  <c r="G602" i="4" a="1"/>
  <c r="G602" i="4" s="1"/>
  <c r="A603" i="4"/>
  <c r="G603" i="4" a="1"/>
  <c r="G603" i="4" s="1"/>
  <c r="A604" i="4"/>
  <c r="E604" i="4" s="1"/>
  <c r="A605" i="4"/>
  <c r="F605" i="4" s="1" a="1"/>
  <c r="F605" i="4" s="1"/>
  <c r="A606" i="4"/>
  <c r="G606" i="4" a="1"/>
  <c r="G606" i="4" s="1"/>
  <c r="A607" i="4"/>
  <c r="E607" i="4" s="1"/>
  <c r="A608" i="4"/>
  <c r="G608" i="4" a="1"/>
  <c r="G608" i="4" s="1"/>
  <c r="A609" i="4"/>
  <c r="F609" i="4" s="1" a="1"/>
  <c r="F609" i="4" s="1"/>
  <c r="E609" i="4"/>
  <c r="G609" i="4" a="1"/>
  <c r="G609" i="4" s="1"/>
  <c r="A610" i="4"/>
  <c r="F610" i="4" s="1" a="1"/>
  <c r="F610" i="4" s="1"/>
  <c r="E610" i="4"/>
  <c r="A611" i="4"/>
  <c r="G611" i="4" s="1" a="1"/>
  <c r="G611" i="4" s="1"/>
  <c r="A612" i="4"/>
  <c r="E612" i="4" s="1"/>
  <c r="A613" i="4"/>
  <c r="A614" i="4"/>
  <c r="E614" i="4" s="1"/>
  <c r="F614" i="4" a="1"/>
  <c r="F614" i="4" s="1"/>
  <c r="A615" i="4"/>
  <c r="E615" i="4" s="1"/>
  <c r="A616" i="4"/>
  <c r="F616" i="4" s="1" a="1"/>
  <c r="F616" i="4" s="1"/>
  <c r="A617" i="4"/>
  <c r="F617" i="4" s="1" a="1"/>
  <c r="F617" i="4" s="1"/>
  <c r="A618" i="4"/>
  <c r="E618" i="4" s="1"/>
  <c r="A619" i="4"/>
  <c r="E619" i="4" s="1"/>
  <c r="A620" i="4"/>
  <c r="E620" i="4" s="1"/>
  <c r="A621" i="4"/>
  <c r="G621" i="4" s="1" a="1"/>
  <c r="G621" i="4" s="1"/>
  <c r="A622" i="4"/>
  <c r="G622" i="4" s="1" a="1"/>
  <c r="G622" i="4" s="1"/>
  <c r="A623" i="4"/>
  <c r="F623" i="4" s="1" a="1"/>
  <c r="F623" i="4" s="1"/>
  <c r="A624" i="4"/>
  <c r="E624" i="4" s="1"/>
  <c r="A625" i="4"/>
  <c r="A626" i="4"/>
  <c r="A627" i="4"/>
  <c r="A628" i="4"/>
  <c r="G628" i="4" s="1" a="1"/>
  <c r="G628" i="4" s="1"/>
  <c r="A629" i="4"/>
  <c r="F629" i="4" s="1" a="1"/>
  <c r="F629" i="4" s="1"/>
  <c r="A630" i="4"/>
  <c r="A631" i="4"/>
  <c r="E631" i="4" s="1"/>
  <c r="A632" i="4"/>
  <c r="G632" i="4" s="1" a="1"/>
  <c r="G632" i="4" s="1"/>
  <c r="A633" i="4"/>
  <c r="A634" i="4"/>
  <c r="E634" i="4" s="1"/>
  <c r="F634" i="4" a="1"/>
  <c r="F634" i="4" s="1"/>
  <c r="A635" i="4"/>
  <c r="G635" i="4" a="1"/>
  <c r="G635" i="4" s="1"/>
  <c r="A636" i="4"/>
  <c r="E636" i="4" s="1"/>
  <c r="F636" i="4" a="1"/>
  <c r="F636" i="4" s="1"/>
  <c r="A637" i="4"/>
  <c r="G637" i="4" s="1" a="1"/>
  <c r="G637" i="4" s="1"/>
  <c r="A638" i="4"/>
  <c r="E638" i="4" s="1"/>
  <c r="A639" i="4"/>
  <c r="E639" i="4" s="1"/>
  <c r="A640" i="4"/>
  <c r="A641" i="4"/>
  <c r="F641" i="4" s="1" a="1"/>
  <c r="F641" i="4" s="1"/>
  <c r="A642" i="4"/>
  <c r="A643" i="4"/>
  <c r="A644" i="4"/>
  <c r="G644" i="4" a="1"/>
  <c r="G644" i="4" s="1"/>
  <c r="A645" i="4"/>
  <c r="G645" i="4" s="1" a="1"/>
  <c r="G645" i="4" s="1"/>
  <c r="A646" i="4"/>
  <c r="G646" i="4" a="1"/>
  <c r="G646" i="4" s="1"/>
  <c r="A647" i="4"/>
  <c r="A648" i="4"/>
  <c r="E648" i="4" s="1"/>
  <c r="A649" i="4"/>
  <c r="A650" i="4"/>
  <c r="F650" i="4" s="1" a="1"/>
  <c r="F650" i="4" s="1"/>
  <c r="A651" i="4"/>
  <c r="A652" i="4"/>
  <c r="G652" i="4" a="1"/>
  <c r="G652" i="4" s="1"/>
  <c r="A653" i="4"/>
  <c r="F653" i="4" s="1" a="1"/>
  <c r="F653" i="4" s="1"/>
  <c r="A654" i="4"/>
  <c r="F654" i="4" s="1" a="1"/>
  <c r="F654" i="4" s="1"/>
  <c r="A655" i="4"/>
  <c r="E655" i="4" s="1"/>
  <c r="A656" i="4"/>
  <c r="A657" i="4"/>
  <c r="G657" i="4" s="1" a="1"/>
  <c r="G657" i="4" s="1"/>
  <c r="A658" i="4"/>
  <c r="E658" i="4" s="1"/>
  <c r="F658" i="4" a="1"/>
  <c r="F658" i="4" s="1"/>
  <c r="A659" i="4"/>
  <c r="G659" i="4" a="1"/>
  <c r="G659" i="4" s="1"/>
  <c r="A660" i="4"/>
  <c r="E660" i="4" s="1"/>
  <c r="A661" i="4"/>
  <c r="G661" i="4" s="1" a="1"/>
  <c r="G661" i="4" s="1"/>
  <c r="A662" i="4"/>
  <c r="A663" i="4"/>
  <c r="E663" i="4" s="1"/>
  <c r="A664" i="4"/>
  <c r="G664" i="4" s="1" a="1"/>
  <c r="G664" i="4" s="1"/>
  <c r="A665" i="4"/>
  <c r="F665" i="4" s="1" a="1"/>
  <c r="F665" i="4" s="1"/>
  <c r="A666" i="4"/>
  <c r="A667" i="4"/>
  <c r="G667" i="4" s="1" a="1"/>
  <c r="G667" i="4" s="1"/>
  <c r="A668" i="4"/>
  <c r="F668" i="4" a="1"/>
  <c r="F668" i="4" s="1"/>
  <c r="A669" i="4"/>
  <c r="G669" i="4" s="1" a="1"/>
  <c r="G669" i="4" s="1"/>
  <c r="A670" i="4"/>
  <c r="F670" i="4" a="1"/>
  <c r="F670" i="4" s="1"/>
  <c r="A671" i="4"/>
  <c r="A672" i="4"/>
  <c r="F672" i="4" s="1" a="1"/>
  <c r="F672" i="4" s="1"/>
  <c r="A673" i="4"/>
  <c r="A674" i="4"/>
  <c r="F674" i="4" s="1" a="1"/>
  <c r="F674" i="4" s="1"/>
  <c r="E674" i="4"/>
  <c r="G674" i="4" a="1"/>
  <c r="G674" i="4" s="1"/>
  <c r="A675" i="4"/>
  <c r="E675" i="4" s="1"/>
  <c r="A676" i="4"/>
  <c r="G676" i="4" a="1"/>
  <c r="G676" i="4" s="1"/>
  <c r="A677" i="4"/>
  <c r="F677" i="4" s="1" a="1"/>
  <c r="F677" i="4" s="1"/>
  <c r="A678" i="4"/>
  <c r="F678" i="4" s="1" a="1"/>
  <c r="F678" i="4" s="1"/>
  <c r="A679" i="4"/>
  <c r="E679" i="4" s="1"/>
  <c r="A680" i="4"/>
  <c r="G680" i="4" a="1"/>
  <c r="G680" i="4" s="1"/>
  <c r="A681" i="4"/>
  <c r="G681" i="4" s="1" a="1"/>
  <c r="G681" i="4" s="1"/>
  <c r="A682" i="4"/>
  <c r="E682" i="4" s="1"/>
  <c r="A683" i="4"/>
  <c r="G683" i="4" s="1" a="1"/>
  <c r="G683" i="4" s="1"/>
  <c r="A684" i="4"/>
  <c r="E684" i="4" s="1"/>
  <c r="F684" i="4" a="1"/>
  <c r="F684" i="4" s="1"/>
  <c r="A685" i="4"/>
  <c r="G685" i="4" s="1" a="1"/>
  <c r="G685" i="4" s="1"/>
  <c r="A686" i="4"/>
  <c r="E686" i="4" s="1"/>
  <c r="A687" i="4"/>
  <c r="E687" i="4" s="1"/>
  <c r="A688" i="4"/>
  <c r="A689" i="4"/>
  <c r="A690" i="4"/>
  <c r="A691" i="4"/>
  <c r="A692" i="4"/>
  <c r="F692" i="4" s="1" a="1"/>
  <c r="F692" i="4" s="1"/>
  <c r="E692" i="4"/>
  <c r="A693" i="4"/>
  <c r="E693" i="4" s="1"/>
  <c r="A694" i="4"/>
  <c r="A695" i="4"/>
  <c r="F695" i="4" s="1" a="1"/>
  <c r="F695" i="4" s="1"/>
  <c r="A696" i="4"/>
  <c r="A697" i="4"/>
  <c r="E697" i="4" s="1"/>
  <c r="A698" i="4"/>
  <c r="F698" i="4" s="1" a="1"/>
  <c r="F698" i="4" s="1"/>
  <c r="A699" i="4"/>
  <c r="E699" i="4" s="1"/>
  <c r="A700" i="4"/>
  <c r="A701" i="4"/>
  <c r="A702" i="4"/>
  <c r="E702" i="4" s="1"/>
  <c r="F702" i="4" a="1"/>
  <c r="F702" i="4" s="1"/>
  <c r="A703" i="4"/>
  <c r="A704" i="4"/>
  <c r="F704" i="4" s="1" a="1"/>
  <c r="F704" i="4" s="1"/>
  <c r="A705" i="4"/>
  <c r="E705" i="4" s="1"/>
  <c r="A706" i="4"/>
  <c r="A707" i="4"/>
  <c r="G707" i="4" s="1" a="1"/>
  <c r="G707" i="4" s="1"/>
  <c r="A708" i="4"/>
  <c r="G708" i="4" a="1"/>
  <c r="G708" i="4" s="1"/>
  <c r="A709" i="4"/>
  <c r="A710" i="4"/>
  <c r="F710" i="4" s="1" a="1"/>
  <c r="F710" i="4" s="1"/>
  <c r="A711" i="4"/>
  <c r="E711" i="4" s="1"/>
  <c r="A712" i="4"/>
  <c r="G712" i="4" a="1"/>
  <c r="G712" i="4" s="1"/>
  <c r="A713" i="4"/>
  <c r="G713" i="4" s="1" a="1"/>
  <c r="G713" i="4" s="1"/>
  <c r="A714" i="4"/>
  <c r="F714" i="4" s="1" a="1"/>
  <c r="F714" i="4" s="1"/>
  <c r="E714" i="4"/>
  <c r="A715" i="4"/>
  <c r="A716" i="4"/>
  <c r="F716" i="4" s="1" a="1"/>
  <c r="F716" i="4" s="1"/>
  <c r="A717" i="4"/>
  <c r="E717" i="4" s="1"/>
  <c r="A718" i="4"/>
  <c r="E718" i="4"/>
  <c r="A719" i="4"/>
  <c r="A720" i="4"/>
  <c r="E720" i="4" s="1"/>
  <c r="A721" i="4"/>
  <c r="A722" i="4"/>
  <c r="G722" i="4" s="1" a="1"/>
  <c r="G722" i="4" s="1"/>
  <c r="A723" i="4"/>
  <c r="F723" i="4" s="1" a="1"/>
  <c r="F723" i="4" s="1"/>
  <c r="A724" i="4"/>
  <c r="G724" i="4" s="1" a="1"/>
  <c r="G724" i="4" s="1"/>
  <c r="A725" i="4"/>
  <c r="A726" i="4"/>
  <c r="E726" i="4" s="1"/>
  <c r="A727" i="4"/>
  <c r="E727" i="4" s="1"/>
  <c r="A728" i="4"/>
  <c r="G728" i="4" s="1" a="1"/>
  <c r="G728" i="4" s="1"/>
  <c r="A729" i="4"/>
  <c r="G729" i="4" a="1"/>
  <c r="G729" i="4" s="1"/>
  <c r="A730" i="4"/>
  <c r="E730" i="4" s="1"/>
  <c r="A731" i="4"/>
  <c r="G731" i="4" a="1"/>
  <c r="G731" i="4" s="1"/>
  <c r="A732" i="4"/>
  <c r="A733" i="4"/>
  <c r="E733" i="4" s="1"/>
  <c r="A734" i="4"/>
  <c r="A735" i="4"/>
  <c r="E735" i="4" s="1"/>
  <c r="A736" i="4"/>
  <c r="F736" i="4" s="1" a="1"/>
  <c r="F736" i="4" s="1"/>
  <c r="A737" i="4"/>
  <c r="A738" i="4"/>
  <c r="E738" i="4"/>
  <c r="A739" i="4"/>
  <c r="A740" i="4"/>
  <c r="F740" i="4" s="1" a="1"/>
  <c r="F740" i="4" s="1"/>
  <c r="A741" i="4"/>
  <c r="E741" i="4" s="1"/>
  <c r="A742" i="4"/>
  <c r="G742" i="4" a="1"/>
  <c r="G742" i="4" s="1"/>
  <c r="A743" i="4"/>
  <c r="E743" i="4" s="1"/>
  <c r="A744" i="4"/>
  <c r="F744" i="4" s="1" a="1"/>
  <c r="F744" i="4" s="1"/>
  <c r="A745" i="4"/>
  <c r="E745" i="4" s="1"/>
  <c r="A746" i="4"/>
  <c r="G746" i="4" s="1" a="1"/>
  <c r="G746" i="4" s="1"/>
  <c r="A747" i="4"/>
  <c r="A748" i="4"/>
  <c r="G748" i="4" s="1" a="1"/>
  <c r="G748" i="4" s="1"/>
  <c r="A749" i="4"/>
  <c r="E749" i="4" s="1"/>
  <c r="A750" i="4"/>
  <c r="G750" i="4" a="1"/>
  <c r="G750" i="4" s="1"/>
  <c r="A751" i="4"/>
  <c r="A752" i="4"/>
  <c r="F752" i="4" s="1" a="1"/>
  <c r="F752" i="4" s="1"/>
  <c r="E752" i="4"/>
  <c r="A753" i="4"/>
  <c r="A754" i="4"/>
  <c r="G754" i="4" s="1" a="1"/>
  <c r="G754" i="4" s="1"/>
  <c r="A755" i="4"/>
  <c r="G755" i="4" s="1" a="1"/>
  <c r="G755" i="4" s="1"/>
  <c r="A756" i="4"/>
  <c r="E756" i="4" s="1"/>
  <c r="A757" i="4"/>
  <c r="A758" i="4"/>
  <c r="G758" i="4" a="1"/>
  <c r="G758" i="4" s="1"/>
  <c r="A759" i="4"/>
  <c r="E759" i="4" s="1"/>
  <c r="A760" i="4"/>
  <c r="E760" i="4" s="1"/>
  <c r="A761" i="4"/>
  <c r="G761" i="4" s="1" a="1"/>
  <c r="G761" i="4" s="1"/>
  <c r="A762" i="4"/>
  <c r="F762" i="4" s="1" a="1"/>
  <c r="F762" i="4" s="1"/>
  <c r="A763" i="4"/>
  <c r="E763" i="4" s="1"/>
  <c r="A764" i="4"/>
  <c r="G764" i="4" s="1" a="1"/>
  <c r="G764" i="4" s="1"/>
  <c r="A765" i="4"/>
  <c r="E765" i="4" s="1"/>
  <c r="A766" i="4"/>
  <c r="A767" i="4"/>
  <c r="F767" i="4" s="1" a="1"/>
  <c r="F767" i="4" s="1"/>
  <c r="G767" i="4" a="1"/>
  <c r="G767" i="4" s="1"/>
  <c r="A768" i="4"/>
  <c r="G768" i="4" s="1" a="1"/>
  <c r="G768" i="4" s="1"/>
  <c r="A769" i="4"/>
  <c r="A770" i="4"/>
  <c r="G770" i="4" s="1" a="1"/>
  <c r="G770" i="4" s="1"/>
  <c r="A771" i="4"/>
  <c r="F771" i="4" s="1" a="1"/>
  <c r="F771" i="4" s="1"/>
  <c r="A772" i="4"/>
  <c r="F772" i="4" s="1" a="1"/>
  <c r="F772" i="4" s="1"/>
  <c r="A773" i="4"/>
  <c r="E773" i="4" s="1"/>
  <c r="A774" i="4"/>
  <c r="F774" i="4" s="1" a="1"/>
  <c r="F774" i="4" s="1"/>
  <c r="A775" i="4"/>
  <c r="A776" i="4"/>
  <c r="A777" i="4"/>
  <c r="E777" i="4" s="1"/>
  <c r="A778" i="4"/>
  <c r="A779" i="4"/>
  <c r="G779" i="4" s="1" a="1"/>
  <c r="G779" i="4" s="1"/>
  <c r="A780" i="4"/>
  <c r="F780" i="4" s="1" a="1"/>
  <c r="F780" i="4" s="1"/>
  <c r="A781" i="4"/>
  <c r="F781" i="4" s="1" a="1"/>
  <c r="F781" i="4" s="1"/>
  <c r="A782" i="4"/>
  <c r="A783" i="4"/>
  <c r="E783" i="4" s="1"/>
  <c r="A784" i="4"/>
  <c r="E784" i="4" s="1"/>
  <c r="A785" i="4"/>
  <c r="F785" i="4" s="1" a="1"/>
  <c r="F785" i="4" s="1"/>
  <c r="A786" i="4"/>
  <c r="E786" i="4" s="1"/>
  <c r="A787" i="4"/>
  <c r="A788" i="4"/>
  <c r="A789" i="4"/>
  <c r="E789" i="4" s="1"/>
  <c r="A790" i="4"/>
  <c r="A791" i="4"/>
  <c r="E791" i="4" s="1"/>
  <c r="A792" i="4"/>
  <c r="E792" i="4" s="1"/>
  <c r="A793" i="4"/>
  <c r="G793" i="4" s="1" a="1"/>
  <c r="G793" i="4" s="1"/>
  <c r="A794" i="4"/>
  <c r="G794" i="4" s="1" a="1"/>
  <c r="G794" i="4" s="1"/>
  <c r="A795" i="4"/>
  <c r="F795" i="4" s="1" a="1"/>
  <c r="F795" i="4" s="1"/>
  <c r="A796" i="4"/>
  <c r="A797" i="4"/>
  <c r="F797" i="4" s="1" a="1"/>
  <c r="F797" i="4" s="1"/>
  <c r="A798" i="4"/>
  <c r="G798" i="4" s="1" a="1"/>
  <c r="G798" i="4" s="1"/>
  <c r="A799" i="4"/>
  <c r="E799" i="4" s="1"/>
  <c r="A800" i="4"/>
  <c r="F800" i="4" s="1" a="1"/>
  <c r="F800" i="4" s="1"/>
  <c r="A801" i="4"/>
  <c r="F801" i="4" s="1" a="1"/>
  <c r="F801" i="4" s="1"/>
  <c r="A802" i="4"/>
  <c r="A803" i="4"/>
  <c r="E803" i="4" s="1"/>
  <c r="A804" i="4"/>
  <c r="E804" i="4" s="1"/>
  <c r="A805" i="4"/>
  <c r="G805" i="4" s="1" a="1"/>
  <c r="G805" i="4" s="1"/>
  <c r="A806" i="4"/>
  <c r="E806" i="4" s="1"/>
  <c r="F806" i="4" a="1"/>
  <c r="F806" i="4" s="1"/>
  <c r="A807" i="4"/>
  <c r="G807" i="4" a="1"/>
  <c r="G807" i="4" s="1"/>
  <c r="A808" i="4"/>
  <c r="A809" i="4"/>
  <c r="F809" i="4" s="1" a="1"/>
  <c r="F809" i="4" s="1"/>
  <c r="G809" i="4" a="1"/>
  <c r="G809" i="4" s="1"/>
  <c r="A810" i="4"/>
  <c r="A811" i="4"/>
  <c r="G811" i="4" s="1" a="1"/>
  <c r="G811" i="4" s="1"/>
  <c r="A812" i="4"/>
  <c r="G812" i="4" s="1" a="1"/>
  <c r="G812" i="4" s="1"/>
  <c r="A813" i="4"/>
  <c r="E813" i="4" s="1"/>
  <c r="A814" i="4"/>
  <c r="E814" i="4" s="1"/>
  <c r="A815" i="4"/>
  <c r="E815" i="4" s="1"/>
  <c r="A816" i="4"/>
  <c r="F816" i="4" s="1" a="1"/>
  <c r="F816" i="4" s="1"/>
  <c r="E816" i="4"/>
  <c r="A817" i="4"/>
  <c r="A818" i="4"/>
  <c r="E818" i="4" s="1"/>
  <c r="A819" i="4"/>
  <c r="F819" i="4" s="1" a="1"/>
  <c r="F819" i="4" s="1"/>
  <c r="A820" i="4"/>
  <c r="A821" i="4"/>
  <c r="G821" i="4" a="1"/>
  <c r="G821" i="4" s="1"/>
  <c r="A822" i="4"/>
  <c r="G822" i="4" s="1" a="1"/>
  <c r="G822" i="4" s="1"/>
  <c r="A823" i="4"/>
  <c r="F823" i="4" s="1" a="1"/>
  <c r="F823" i="4" s="1"/>
  <c r="A824" i="4"/>
  <c r="E824" i="4" s="1"/>
  <c r="A825" i="4"/>
  <c r="F825" i="4" s="1" a="1"/>
  <c r="F825" i="4" s="1"/>
  <c r="A826" i="4"/>
  <c r="E826" i="4" s="1"/>
  <c r="G826" i="4" a="1"/>
  <c r="G826" i="4" s="1"/>
  <c r="A827" i="4"/>
  <c r="A828" i="4"/>
  <c r="A829" i="4"/>
  <c r="F829" i="4" s="1" a="1"/>
  <c r="F829" i="4" s="1"/>
  <c r="A830" i="4"/>
  <c r="E830" i="4" s="1"/>
  <c r="A831" i="4"/>
  <c r="A832" i="4"/>
  <c r="E832" i="4" s="1"/>
  <c r="A833" i="4"/>
  <c r="A834" i="4"/>
  <c r="E834" i="4" s="1"/>
  <c r="A835" i="4"/>
  <c r="G835" i="4" s="1" a="1"/>
  <c r="G835" i="4" s="1"/>
  <c r="A836" i="4"/>
  <c r="G836" i="4" s="1" a="1"/>
  <c r="G836" i="4" s="1"/>
  <c r="A837" i="4"/>
  <c r="E837" i="4" s="1"/>
  <c r="A838" i="4"/>
  <c r="E838" i="4" s="1"/>
  <c r="A839" i="4"/>
  <c r="E839" i="4" s="1"/>
  <c r="A840" i="4"/>
  <c r="A841" i="4"/>
  <c r="F841" i="4" s="1" a="1"/>
  <c r="F841" i="4" s="1"/>
  <c r="A842" i="4"/>
  <c r="A843" i="4"/>
  <c r="A844" i="4"/>
  <c r="F844" i="4" s="1" a="1"/>
  <c r="F844" i="4" s="1"/>
  <c r="A845" i="4"/>
  <c r="G845" i="4" s="1" a="1"/>
  <c r="G845" i="4" s="1"/>
  <c r="A846" i="4"/>
  <c r="E846" i="4" s="1"/>
  <c r="A847" i="4"/>
  <c r="F847" i="4" s="1" a="1"/>
  <c r="F847" i="4" s="1"/>
  <c r="A848" i="4"/>
  <c r="F848" i="4" s="1" a="1"/>
  <c r="F848" i="4" s="1"/>
  <c r="A849" i="4"/>
  <c r="A850" i="4"/>
  <c r="A851" i="4"/>
  <c r="G851" i="4" s="1" a="1"/>
  <c r="G851" i="4" s="1"/>
  <c r="A852" i="4"/>
  <c r="G852" i="4" s="1" a="1"/>
  <c r="G852" i="4" s="1"/>
  <c r="E852" i="4"/>
  <c r="A853" i="4"/>
  <c r="F853" i="4" s="1" a="1"/>
  <c r="F853" i="4" s="1"/>
  <c r="A854" i="4"/>
  <c r="E854" i="4" s="1"/>
  <c r="A855" i="4"/>
  <c r="G855" i="4" s="1" a="1"/>
  <c r="G855" i="4" s="1"/>
  <c r="A856" i="4"/>
  <c r="G856" i="4" s="1" a="1"/>
  <c r="G856" i="4" s="1"/>
  <c r="A857" i="4"/>
  <c r="F857" i="4" s="1" a="1"/>
  <c r="F857" i="4" s="1"/>
  <c r="A858" i="4"/>
  <c r="F858" i="4" s="1" a="1"/>
  <c r="F858" i="4" s="1"/>
  <c r="A859" i="4"/>
  <c r="G859" i="4" s="1" a="1"/>
  <c r="G859" i="4" s="1"/>
  <c r="A860" i="4"/>
  <c r="E860" i="4" s="1"/>
  <c r="A861" i="4"/>
  <c r="E861" i="4" s="1"/>
  <c r="A862" i="4"/>
  <c r="E862" i="4" s="1"/>
  <c r="A863" i="4"/>
  <c r="E863" i="4" s="1"/>
  <c r="A864" i="4"/>
  <c r="F864" i="4" s="1" a="1"/>
  <c r="F864" i="4" s="1"/>
  <c r="A865" i="4"/>
  <c r="G865" i="4" s="1" a="1"/>
  <c r="G865" i="4" s="1"/>
  <c r="A866" i="4"/>
  <c r="G866" i="4" s="1" a="1"/>
  <c r="G866" i="4" s="1"/>
  <c r="A867" i="4"/>
  <c r="F867" i="4" s="1" a="1"/>
  <c r="F867" i="4" s="1"/>
  <c r="A868" i="4"/>
  <c r="E868" i="4" s="1"/>
  <c r="A869" i="4"/>
  <c r="E869" i="4" s="1"/>
  <c r="A870" i="4"/>
  <c r="A871" i="4"/>
  <c r="F871" i="4" s="1" a="1"/>
  <c r="F871" i="4" s="1"/>
  <c r="A872" i="4"/>
  <c r="F872" i="4" s="1" a="1"/>
  <c r="F872" i="4" s="1"/>
  <c r="A873" i="4"/>
  <c r="F873" i="4" s="1" a="1"/>
  <c r="F873" i="4" s="1"/>
  <c r="A874" i="4"/>
  <c r="G874" i="4" s="1" a="1"/>
  <c r="G874" i="4" s="1"/>
  <c r="A875" i="4"/>
  <c r="F875" i="4" s="1" a="1"/>
  <c r="F875" i="4" s="1"/>
  <c r="A876" i="4"/>
  <c r="F876" i="4" s="1" a="1"/>
  <c r="F876" i="4" s="1"/>
  <c r="E876" i="4"/>
  <c r="A877" i="4"/>
  <c r="F877" i="4" s="1" a="1"/>
  <c r="F877" i="4" s="1"/>
  <c r="A878" i="4"/>
  <c r="F878" i="4" s="1" a="1"/>
  <c r="F878" i="4" s="1"/>
  <c r="A879" i="4"/>
  <c r="F879" i="4" s="1" a="1"/>
  <c r="F879" i="4" s="1"/>
  <c r="A880" i="4"/>
  <c r="E880" i="4" s="1"/>
  <c r="A881" i="4"/>
  <c r="A882" i="4"/>
  <c r="F882" i="4" s="1" a="1"/>
  <c r="F882" i="4" s="1"/>
  <c r="E882" i="4"/>
  <c r="A883" i="4"/>
  <c r="G883" i="4" s="1" a="1"/>
  <c r="G883" i="4" s="1"/>
  <c r="A884" i="4"/>
  <c r="A885" i="4"/>
  <c r="E885" i="4" s="1"/>
  <c r="A886" i="4"/>
  <c r="A887" i="4"/>
  <c r="F887" i="4" s="1" a="1"/>
  <c r="F887" i="4" s="1"/>
  <c r="G887" i="4" a="1"/>
  <c r="G887" i="4" s="1"/>
  <c r="A888" i="4"/>
  <c r="F888" i="4" s="1" a="1"/>
  <c r="F888" i="4" s="1"/>
  <c r="A889" i="4"/>
  <c r="F889" i="4" s="1" a="1"/>
  <c r="F889" i="4" s="1"/>
  <c r="A890" i="4"/>
  <c r="F890" i="4" s="1" a="1"/>
  <c r="F890" i="4" s="1"/>
  <c r="A891" i="4"/>
  <c r="A892" i="4"/>
  <c r="F892" i="4" s="1" a="1"/>
  <c r="F892" i="4" s="1"/>
  <c r="A893" i="4"/>
  <c r="G893" i="4" s="1" a="1"/>
  <c r="G893" i="4" s="1"/>
  <c r="A894" i="4"/>
  <c r="G894" i="4" s="1" a="1"/>
  <c r="G894" i="4" s="1"/>
  <c r="E894" i="4"/>
  <c r="A895" i="4"/>
  <c r="A896" i="4"/>
  <c r="E896" i="4" s="1"/>
  <c r="A897" i="4"/>
  <c r="A898" i="4"/>
  <c r="F898" i="4" s="1" a="1"/>
  <c r="F898" i="4" s="1"/>
  <c r="A899" i="4"/>
  <c r="F899" i="4" s="1" a="1"/>
  <c r="F899" i="4" s="1"/>
  <c r="A900" i="4"/>
  <c r="E900" i="4" s="1"/>
  <c r="A901" i="4"/>
  <c r="A902" i="4"/>
  <c r="A903" i="4"/>
  <c r="F903" i="4" s="1" a="1"/>
  <c r="F903" i="4" s="1"/>
  <c r="A904" i="4"/>
  <c r="F904" i="4" s="1" a="1"/>
  <c r="F904" i="4" s="1"/>
  <c r="A905" i="4"/>
  <c r="G905" i="4" s="1" a="1"/>
  <c r="G905" i="4" s="1"/>
  <c r="A906" i="4"/>
  <c r="F906" i="4" s="1" a="1"/>
  <c r="F906" i="4" s="1"/>
  <c r="A907" i="4"/>
  <c r="F907" i="4" s="1" a="1"/>
  <c r="F907" i="4" s="1"/>
  <c r="A908" i="4"/>
  <c r="F908" i="4" s="1" a="1"/>
  <c r="F908" i="4" s="1"/>
  <c r="A909" i="4"/>
  <c r="E909" i="4" s="1"/>
  <c r="A910" i="4"/>
  <c r="F910" i="4" s="1" a="1"/>
  <c r="F910" i="4" s="1"/>
  <c r="A911" i="4"/>
  <c r="F911" i="4" s="1" a="1"/>
  <c r="F911" i="4" s="1"/>
  <c r="A912" i="4"/>
  <c r="A913" i="4"/>
  <c r="F913" i="4" s="1" a="1"/>
  <c r="F913" i="4" s="1"/>
  <c r="A914" i="4"/>
  <c r="E914" i="4" s="1"/>
  <c r="A915" i="4"/>
  <c r="F915" i="4" s="1" a="1"/>
  <c r="F915" i="4" s="1"/>
  <c r="A916" i="4"/>
  <c r="E916" i="4" s="1"/>
  <c r="A917" i="4"/>
  <c r="F917" i="4" s="1" a="1"/>
  <c r="F917" i="4" s="1"/>
  <c r="A918" i="4"/>
  <c r="E918" i="4"/>
  <c r="F918" i="4" a="1"/>
  <c r="F918" i="4" s="1"/>
  <c r="G918" i="4" a="1"/>
  <c r="G918" i="4" s="1"/>
  <c r="A919" i="4"/>
  <c r="A920" i="4"/>
  <c r="A921" i="4"/>
  <c r="F921" i="4" s="1" a="1"/>
  <c r="F921" i="4" s="1"/>
  <c r="A922" i="4"/>
  <c r="F922" i="4" s="1" a="1"/>
  <c r="F922" i="4" s="1"/>
  <c r="A923" i="4"/>
  <c r="F923" i="4" s="1" a="1"/>
  <c r="F923" i="4" s="1"/>
  <c r="A924" i="4"/>
  <c r="F924" i="4" s="1" a="1"/>
  <c r="F924" i="4" s="1"/>
  <c r="E924" i="4"/>
  <c r="A925" i="4"/>
  <c r="F925" i="4" s="1" a="1"/>
  <c r="F925" i="4" s="1"/>
  <c r="A926" i="4"/>
  <c r="E926" i="4" s="1"/>
  <c r="F926" i="4" a="1"/>
  <c r="F926" i="4" s="1"/>
  <c r="A927" i="4"/>
  <c r="E927" i="4" s="1"/>
  <c r="A928" i="4"/>
  <c r="E928" i="4" s="1"/>
  <c r="A929" i="4"/>
  <c r="G929" i="4" s="1" a="1"/>
  <c r="G929" i="4" s="1"/>
  <c r="A930" i="4"/>
  <c r="G930" i="4" s="1" a="1"/>
  <c r="G930" i="4" s="1"/>
  <c r="A931" i="4"/>
  <c r="F931" i="4" s="1" a="1"/>
  <c r="F931" i="4" s="1"/>
  <c r="A932" i="4"/>
  <c r="G932" i="4" s="1" a="1"/>
  <c r="G932" i="4" s="1"/>
  <c r="A933" i="4"/>
  <c r="E933" i="4" s="1"/>
  <c r="A934" i="4"/>
  <c r="A935" i="4"/>
  <c r="F935" i="4" s="1" a="1"/>
  <c r="F935" i="4" s="1"/>
  <c r="A936" i="4"/>
  <c r="F936" i="4" s="1" a="1"/>
  <c r="F936" i="4" s="1"/>
  <c r="A937" i="4"/>
  <c r="F937" i="4" s="1" a="1"/>
  <c r="F937" i="4" s="1"/>
  <c r="A938" i="4"/>
  <c r="G938" i="4" s="1" a="1"/>
  <c r="G938" i="4" s="1"/>
  <c r="A939" i="4"/>
  <c r="F939" i="4" s="1" a="1"/>
  <c r="F939" i="4" s="1"/>
  <c r="A940" i="4"/>
  <c r="E940" i="4" s="1"/>
  <c r="A941" i="4"/>
  <c r="F941" i="4" s="1" a="1"/>
  <c r="F941" i="4" s="1"/>
  <c r="A942" i="4"/>
  <c r="E942" i="4" s="1"/>
  <c r="F942" i="4" a="1"/>
  <c r="F942" i="4" s="1"/>
  <c r="A943" i="4"/>
  <c r="F943" i="4" s="1" a="1"/>
  <c r="F943" i="4" s="1"/>
  <c r="A944" i="4"/>
  <c r="G944" i="4" s="1" a="1"/>
  <c r="G944" i="4" s="1"/>
  <c r="A945" i="4"/>
  <c r="F945" i="4" s="1" a="1"/>
  <c r="F945" i="4" s="1"/>
  <c r="A946" i="4"/>
  <c r="E946" i="4" s="1"/>
  <c r="A947" i="4"/>
  <c r="F947" i="4" s="1" a="1"/>
  <c r="F947" i="4" s="1"/>
  <c r="A948" i="4"/>
  <c r="E948" i="4" s="1"/>
  <c r="A949" i="4"/>
  <c r="F949" i="4" s="1" a="1"/>
  <c r="F949" i="4" s="1"/>
  <c r="A950" i="4"/>
  <c r="E950" i="4"/>
  <c r="F950" i="4" a="1"/>
  <c r="F950" i="4" s="1"/>
  <c r="G950" i="4" a="1"/>
  <c r="G950" i="4" s="1"/>
  <c r="A951" i="4"/>
  <c r="A952" i="4"/>
  <c r="E952" i="4" s="1"/>
  <c r="A953" i="4"/>
  <c r="F953" i="4" s="1" a="1"/>
  <c r="F953" i="4" s="1"/>
  <c r="A954" i="4"/>
  <c r="E954" i="4" s="1"/>
  <c r="A955" i="4"/>
  <c r="F955" i="4" s="1" a="1"/>
  <c r="F955" i="4" s="1"/>
  <c r="A956" i="4"/>
  <c r="E956" i="4" s="1"/>
  <c r="A957" i="4"/>
  <c r="F957" i="4" s="1" a="1"/>
  <c r="F957" i="4" s="1"/>
  <c r="A958" i="4"/>
  <c r="F958" i="4" s="1" a="1"/>
  <c r="F958" i="4" s="1"/>
  <c r="A959" i="4"/>
  <c r="F959" i="4" s="1" a="1"/>
  <c r="F959" i="4" s="1"/>
  <c r="G959" i="4" a="1"/>
  <c r="G959" i="4" s="1"/>
  <c r="A960" i="4"/>
  <c r="E960" i="4" s="1"/>
  <c r="A961" i="4"/>
  <c r="F961" i="4" s="1" a="1"/>
  <c r="F961" i="4" s="1"/>
  <c r="A962" i="4"/>
  <c r="E962" i="4" s="1"/>
  <c r="A963" i="4"/>
  <c r="F963" i="4" s="1" a="1"/>
  <c r="F963" i="4" s="1"/>
  <c r="A964" i="4"/>
  <c r="E964" i="4" s="1"/>
  <c r="A965" i="4"/>
  <c r="F965" i="4" s="1" a="1"/>
  <c r="F965" i="4" s="1"/>
  <c r="A966" i="4"/>
  <c r="E966" i="4" s="1"/>
  <c r="A967" i="4"/>
  <c r="F967" i="4" s="1" a="1"/>
  <c r="F967" i="4" s="1"/>
  <c r="A968" i="4"/>
  <c r="F968" i="4" s="1" a="1"/>
  <c r="F968" i="4" s="1"/>
  <c r="A969" i="4"/>
  <c r="F969" i="4" s="1" a="1"/>
  <c r="F969" i="4" s="1"/>
  <c r="A970" i="4"/>
  <c r="E970" i="4" s="1"/>
  <c r="A971" i="4"/>
  <c r="F971" i="4" s="1" a="1"/>
  <c r="F971" i="4" s="1"/>
  <c r="A972" i="4"/>
  <c r="F972" i="4" s="1" a="1"/>
  <c r="F972" i="4" s="1"/>
  <c r="G972" i="4" a="1"/>
  <c r="G972" i="4" s="1"/>
  <c r="A973" i="4"/>
  <c r="F973" i="4" s="1" a="1"/>
  <c r="F973" i="4" s="1"/>
  <c r="A974" i="4"/>
  <c r="E974" i="4" s="1"/>
  <c r="A975" i="4"/>
  <c r="F975" i="4" s="1" a="1"/>
  <c r="F975" i="4" s="1"/>
  <c r="A976" i="4"/>
  <c r="F976" i="4" s="1" a="1"/>
  <c r="F976" i="4" s="1"/>
  <c r="G819" i="4" l="1" a="1"/>
  <c r="G819" i="4" s="1"/>
  <c r="E1076" i="4"/>
  <c r="F1083" i="4" a="1"/>
  <c r="F1083" i="4" s="1"/>
  <c r="G911" i="4" a="1"/>
  <c r="G911" i="4" s="1"/>
  <c r="G862" i="4" a="1"/>
  <c r="G862" i="4" s="1"/>
  <c r="F804" i="4" a="1"/>
  <c r="F804" i="4" s="1"/>
  <c r="E1058" i="4"/>
  <c r="F1072" i="4" a="1"/>
  <c r="F1072" i="4" s="1"/>
  <c r="E910" i="4"/>
  <c r="E1064" i="4"/>
  <c r="F1078" i="4" a="1"/>
  <c r="F1078" i="4" s="1"/>
  <c r="G1065" i="4" a="1"/>
  <c r="G1065" i="4" s="1"/>
  <c r="F860" i="4" a="1"/>
  <c r="F860" i="4" s="1"/>
  <c r="F1057" i="4" a="1"/>
  <c r="F1057" i="4" s="1"/>
  <c r="G1071" i="4" a="1"/>
  <c r="G1071" i="4" s="1"/>
  <c r="G27" i="4" a="1"/>
  <c r="G27" i="4" s="1"/>
  <c r="F224" i="4" a="1"/>
  <c r="F224" i="4" s="1"/>
  <c r="G41" i="4" a="1"/>
  <c r="G41" i="4" s="1"/>
  <c r="E18" i="4"/>
  <c r="G389" i="4" a="1"/>
  <c r="G389" i="4" s="1"/>
  <c r="G274" i="4" a="1"/>
  <c r="G274" i="4" s="1"/>
  <c r="G247" i="4" a="1"/>
  <c r="G247" i="4" s="1"/>
  <c r="F115" i="4" a="1"/>
  <c r="F115" i="4" s="1"/>
  <c r="G39" i="4" a="1"/>
  <c r="G39" i="4" s="1"/>
  <c r="G363" i="4" a="1"/>
  <c r="G363" i="4" s="1"/>
  <c r="E91" i="4"/>
  <c r="E39" i="4"/>
  <c r="E480" i="4"/>
  <c r="F363" i="4" a="1"/>
  <c r="F363" i="4" s="1"/>
  <c r="G44" i="4" a="1"/>
  <c r="G44" i="4" s="1"/>
  <c r="E373" i="4"/>
  <c r="G135" i="4" a="1"/>
  <c r="G135" i="4" s="1"/>
  <c r="E44" i="4"/>
  <c r="G922" i="4" a="1"/>
  <c r="G922" i="4" s="1"/>
  <c r="G818" i="4" a="1"/>
  <c r="G818" i="4" s="1"/>
  <c r="G786" i="4" a="1"/>
  <c r="G786" i="4" s="1"/>
  <c r="G21" i="4" a="1"/>
  <c r="G21" i="4" s="1"/>
  <c r="G954" i="4" a="1"/>
  <c r="G954" i="4" s="1"/>
  <c r="E932" i="4"/>
  <c r="E922" i="4"/>
  <c r="F852" i="4" a="1"/>
  <c r="F852" i="4" s="1"/>
  <c r="F818" i="4" a="1"/>
  <c r="F818" i="4" s="1"/>
  <c r="F786" i="4" a="1"/>
  <c r="F786" i="4" s="1"/>
  <c r="G658" i="4" a="1"/>
  <c r="G658" i="4" s="1"/>
  <c r="F624" i="4" a="1"/>
  <c r="F624" i="4" s="1"/>
  <c r="G568" i="4" a="1"/>
  <c r="G568" i="4" s="1"/>
  <c r="G361" i="4" a="1"/>
  <c r="G361" i="4" s="1"/>
  <c r="G68" i="4" a="1"/>
  <c r="G68" i="4" s="1"/>
  <c r="F35" i="4" a="1"/>
  <c r="F35" i="4" s="1"/>
  <c r="E29" i="4"/>
  <c r="E21" i="4"/>
  <c r="G13" i="4" a="1"/>
  <c r="G13" i="4" s="1"/>
  <c r="F1064" i="4" a="1"/>
  <c r="F1064" i="4" s="1"/>
  <c r="F1058" i="4" a="1"/>
  <c r="F1058" i="4" s="1"/>
  <c r="F1079" i="4" a="1"/>
  <c r="F1079" i="4" s="1"/>
  <c r="F1073" i="4" a="1"/>
  <c r="F1073" i="4" s="1"/>
  <c r="F1067" i="4" a="1"/>
  <c r="F1067" i="4" s="1"/>
  <c r="F1082" i="4" a="1"/>
  <c r="F1082" i="4" s="1"/>
  <c r="G1081" i="4" a="1"/>
  <c r="G1081" i="4" s="1"/>
  <c r="G710" i="4" a="1"/>
  <c r="G710" i="4" s="1"/>
  <c r="G37" i="4" a="1"/>
  <c r="G37" i="4" s="1"/>
  <c r="F479" i="4" a="1"/>
  <c r="F479" i="4" s="1"/>
  <c r="G199" i="4" a="1"/>
  <c r="G199" i="4" s="1"/>
  <c r="F37" i="4" a="1"/>
  <c r="F37" i="4" s="1"/>
  <c r="E936" i="4"/>
  <c r="G892" i="4" a="1"/>
  <c r="G892" i="4" s="1"/>
  <c r="E695" i="4"/>
  <c r="E616" i="4"/>
  <c r="E479" i="4"/>
  <c r="G221" i="4" a="1"/>
  <c r="G221" i="4" s="1"/>
  <c r="F199" i="4" a="1"/>
  <c r="F199" i="4" s="1"/>
  <c r="F107" i="4" a="1"/>
  <c r="F107" i="4" s="1"/>
  <c r="F51" i="4" a="1"/>
  <c r="F51" i="4" s="1"/>
  <c r="F31" i="4" a="1"/>
  <c r="F31" i="4" s="1"/>
  <c r="G1084" i="4" a="1"/>
  <c r="G1084" i="4" s="1"/>
  <c r="E113" i="4"/>
  <c r="G9" i="4" a="1"/>
  <c r="G9" i="4" s="1"/>
  <c r="G908" i="4" a="1"/>
  <c r="G908" i="4" s="1"/>
  <c r="G898" i="4" a="1"/>
  <c r="G898" i="4" s="1"/>
  <c r="E908" i="4"/>
  <c r="E898" i="4"/>
  <c r="F139" i="4" a="1"/>
  <c r="F139" i="4" s="1"/>
  <c r="E109" i="4"/>
  <c r="G25" i="4" a="1"/>
  <c r="G25" i="4" s="1"/>
  <c r="G28" i="4" a="1"/>
  <c r="G28" i="4" s="1"/>
  <c r="F25" i="4" a="1"/>
  <c r="F25" i="4" s="1"/>
  <c r="G14" i="4" a="1"/>
  <c r="G14" i="4" s="1"/>
  <c r="G213" i="4" a="1"/>
  <c r="G213" i="4" s="1"/>
  <c r="F145" i="4" a="1"/>
  <c r="F145" i="4" s="1"/>
  <c r="G71" i="4" a="1"/>
  <c r="G71" i="4" s="1"/>
  <c r="G35" i="4" a="1"/>
  <c r="G35" i="4" s="1"/>
  <c r="G31" i="4" a="1"/>
  <c r="G31" i="4" s="1"/>
  <c r="E28" i="4"/>
  <c r="G17" i="4" a="1"/>
  <c r="G17" i="4" s="1"/>
  <c r="G1063" i="4" a="1"/>
  <c r="G1063" i="4" s="1"/>
  <c r="G1060" i="4" a="1"/>
  <c r="G1060" i="4" s="1"/>
  <c r="G1057" i="4" a="1"/>
  <c r="G1057" i="4" s="1"/>
  <c r="G1054" i="4" a="1"/>
  <c r="G1054" i="4" s="1"/>
  <c r="G1078" i="4" a="1"/>
  <c r="G1078" i="4" s="1"/>
  <c r="G1075" i="4" a="1"/>
  <c r="G1075" i="4" s="1"/>
  <c r="G1072" i="4" a="1"/>
  <c r="G1072" i="4" s="1"/>
  <c r="G1069" i="4" a="1"/>
  <c r="G1069" i="4" s="1"/>
  <c r="G1066" i="4" a="1"/>
  <c r="G1066" i="4" s="1"/>
  <c r="G1085" i="4" a="1"/>
  <c r="G1085" i="4" s="1"/>
  <c r="G1082" i="4" a="1"/>
  <c r="G1082" i="4" s="1"/>
  <c r="E917" i="4"/>
  <c r="E892" i="4"/>
  <c r="E874" i="4"/>
  <c r="E864" i="4"/>
  <c r="E710" i="4"/>
  <c r="F490" i="4" a="1"/>
  <c r="F490" i="4" s="1"/>
  <c r="F452" i="4" a="1"/>
  <c r="F452" i="4" s="1"/>
  <c r="F393" i="4" a="1"/>
  <c r="F393" i="4" s="1"/>
  <c r="F386" i="4" a="1"/>
  <c r="F386" i="4" s="1"/>
  <c r="F337" i="4" a="1"/>
  <c r="F337" i="4" s="1"/>
  <c r="F97" i="4" a="1"/>
  <c r="F97" i="4" s="1"/>
  <c r="G89" i="4" a="1"/>
  <c r="G89" i="4" s="1"/>
  <c r="G60" i="4" a="1"/>
  <c r="G60" i="4" s="1"/>
  <c r="F43" i="4" a="1"/>
  <c r="F43" i="4" s="1"/>
  <c r="G24" i="4" a="1"/>
  <c r="G24" i="4" s="1"/>
  <c r="F13" i="4" a="1"/>
  <c r="F13" i="4" s="1"/>
  <c r="E9" i="4"/>
  <c r="G928" i="4" a="1"/>
  <c r="G928" i="4" s="1"/>
  <c r="G785" i="4" a="1"/>
  <c r="G785" i="4" s="1"/>
  <c r="F726" i="4" a="1"/>
  <c r="F726" i="4" s="1"/>
  <c r="E672" i="4"/>
  <c r="E576" i="4"/>
  <c r="F458" i="4" a="1"/>
  <c r="F458" i="4" s="1"/>
  <c r="G259" i="4" a="1"/>
  <c r="G259" i="4" s="1"/>
  <c r="G248" i="4" a="1"/>
  <c r="G248" i="4" s="1"/>
  <c r="G211" i="4" a="1"/>
  <c r="G211" i="4" s="1"/>
  <c r="E168" i="4"/>
  <c r="G159" i="4" a="1"/>
  <c r="G159" i="4" s="1"/>
  <c r="E60" i="4"/>
  <c r="G53" i="4" a="1"/>
  <c r="G53" i="4" s="1"/>
  <c r="G38" i="4" a="1"/>
  <c r="G38" i="4" s="1"/>
  <c r="E24" i="4"/>
  <c r="G921" i="4" a="1"/>
  <c r="G921" i="4" s="1"/>
  <c r="G752" i="4" a="1"/>
  <c r="G752" i="4" s="1"/>
  <c r="G654" i="4" a="1"/>
  <c r="G654" i="4" s="1"/>
  <c r="G610" i="4" a="1"/>
  <c r="G610" i="4" s="1"/>
  <c r="G480" i="4" a="1"/>
  <c r="G480" i="4" s="1"/>
  <c r="E945" i="4"/>
  <c r="E921" i="4"/>
  <c r="E906" i="4"/>
  <c r="G880" i="4" a="1"/>
  <c r="G880" i="4" s="1"/>
  <c r="G816" i="4" a="1"/>
  <c r="G816" i="4" s="1"/>
  <c r="G714" i="4" a="1"/>
  <c r="G714" i="4" s="1"/>
  <c r="E678" i="4"/>
  <c r="E654" i="4"/>
  <c r="G636" i="4" a="1"/>
  <c r="G636" i="4" s="1"/>
  <c r="E566" i="4"/>
  <c r="E558" i="4"/>
  <c r="F431" i="4" a="1"/>
  <c r="F431" i="4" s="1"/>
  <c r="G373" i="4" a="1"/>
  <c r="G373" i="4" s="1"/>
  <c r="G12" i="4" a="1"/>
  <c r="G12" i="4" s="1"/>
  <c r="F1062" i="4" a="1"/>
  <c r="F1062" i="4" s="1"/>
  <c r="F1059" i="4" a="1"/>
  <c r="F1059" i="4" s="1"/>
  <c r="F1056" i="4" a="1"/>
  <c r="F1056" i="4" s="1"/>
  <c r="F1053" i="4" a="1"/>
  <c r="F1053" i="4" s="1"/>
  <c r="F1077" i="4" a="1"/>
  <c r="F1077" i="4" s="1"/>
  <c r="F1074" i="4" a="1"/>
  <c r="F1074" i="4" s="1"/>
  <c r="F1071" i="4" a="1"/>
  <c r="F1071" i="4" s="1"/>
  <c r="F1068" i="4" a="1"/>
  <c r="F1068" i="4" s="1"/>
  <c r="F1065" i="4" a="1"/>
  <c r="F1065" i="4" s="1"/>
  <c r="F1084" i="4" a="1"/>
  <c r="F1084" i="4" s="1"/>
  <c r="F1081" i="4" a="1"/>
  <c r="F1081" i="4" s="1"/>
  <c r="G322" i="4" a="1"/>
  <c r="G322" i="4" s="1"/>
  <c r="E311" i="4"/>
  <c r="G52" i="4" a="1"/>
  <c r="G52" i="4" s="1"/>
  <c r="G45" i="4" a="1"/>
  <c r="G45" i="4" s="1"/>
  <c r="G23" i="4" a="1"/>
  <c r="G23" i="4" s="1"/>
  <c r="G19" i="4" a="1"/>
  <c r="G19" i="4" s="1"/>
  <c r="G15" i="4" a="1"/>
  <c r="G15" i="4" s="1"/>
  <c r="E12" i="4"/>
  <c r="G209" i="4" a="1"/>
  <c r="G209" i="4" s="1"/>
  <c r="G147" i="4" a="1"/>
  <c r="G147" i="4" s="1"/>
  <c r="F45" i="4" a="1"/>
  <c r="F45" i="4" s="1"/>
  <c r="G29" i="4" a="1"/>
  <c r="G29" i="4" s="1"/>
  <c r="F23" i="4" a="1"/>
  <c r="F23" i="4" s="1"/>
  <c r="F19" i="4" a="1"/>
  <c r="F19" i="4" s="1"/>
  <c r="E389" i="4"/>
  <c r="E209" i="4"/>
  <c r="E200" i="4"/>
  <c r="G193" i="4" a="1"/>
  <c r="G193" i="4" s="1"/>
  <c r="F173" i="4" a="1"/>
  <c r="F173" i="4" s="1"/>
  <c r="F165" i="4" a="1"/>
  <c r="F165" i="4" s="1"/>
  <c r="F147" i="4" a="1"/>
  <c r="F147" i="4" s="1"/>
  <c r="F65" i="4" a="1"/>
  <c r="F65" i="4" s="1"/>
  <c r="E410" i="4"/>
  <c r="G410" i="4" a="1"/>
  <c r="G410" i="4" s="1"/>
  <c r="G407" i="4" a="1"/>
  <c r="G407" i="4" s="1"/>
  <c r="F407" i="4" a="1"/>
  <c r="F407" i="4" s="1"/>
  <c r="G404" i="4" a="1"/>
  <c r="G404" i="4" s="1"/>
  <c r="E404" i="4"/>
  <c r="G973" i="4" a="1"/>
  <c r="G973" i="4" s="1"/>
  <c r="E972" i="4"/>
  <c r="G968" i="4" a="1"/>
  <c r="G968" i="4" s="1"/>
  <c r="E957" i="4"/>
  <c r="E955" i="4"/>
  <c r="F954" i="4" a="1"/>
  <c r="F954" i="4" s="1"/>
  <c r="E943" i="4"/>
  <c r="F930" i="4" a="1"/>
  <c r="F930" i="4" s="1"/>
  <c r="F928" i="4" a="1"/>
  <c r="F928" i="4" s="1"/>
  <c r="G890" i="4" a="1"/>
  <c r="G890" i="4" s="1"/>
  <c r="F826" i="4" a="1"/>
  <c r="F826" i="4" s="1"/>
  <c r="F814" i="4" a="1"/>
  <c r="F814" i="4" s="1"/>
  <c r="G814" i="4" a="1"/>
  <c r="G814" i="4" s="1"/>
  <c r="E796" i="4"/>
  <c r="F796" i="4" a="1"/>
  <c r="F796" i="4" s="1"/>
  <c r="F792" i="4" a="1"/>
  <c r="F792" i="4" s="1"/>
  <c r="G792" i="4" a="1"/>
  <c r="G792" i="4" s="1"/>
  <c r="F738" i="4" a="1"/>
  <c r="F738" i="4" s="1"/>
  <c r="G738" i="4" a="1"/>
  <c r="G738" i="4" s="1"/>
  <c r="G698" i="4" a="1"/>
  <c r="G698" i="4" s="1"/>
  <c r="F648" i="4" a="1"/>
  <c r="F648" i="4" s="1"/>
  <c r="G648" i="4" a="1"/>
  <c r="G648" i="4" s="1"/>
  <c r="E644" i="4"/>
  <c r="F644" i="4" a="1"/>
  <c r="F644" i="4" s="1"/>
  <c r="G638" i="4" a="1"/>
  <c r="G638" i="4" s="1"/>
  <c r="F630" i="4" a="1"/>
  <c r="F630" i="4" s="1"/>
  <c r="E630" i="4"/>
  <c r="G604" i="4" a="1"/>
  <c r="G604" i="4" s="1"/>
  <c r="G594" i="4" a="1"/>
  <c r="G594" i="4" s="1"/>
  <c r="F590" i="4" a="1"/>
  <c r="F590" i="4" s="1"/>
  <c r="E590" i="4"/>
  <c r="F546" i="4" a="1"/>
  <c r="F546" i="4" s="1"/>
  <c r="E546" i="4"/>
  <c r="F544" i="4" a="1"/>
  <c r="F544" i="4" s="1"/>
  <c r="G544" i="4" a="1"/>
  <c r="G544" i="4" s="1"/>
  <c r="F542" i="4" a="1"/>
  <c r="F542" i="4" s="1"/>
  <c r="E542" i="4"/>
  <c r="E532" i="4"/>
  <c r="G532" i="4" a="1"/>
  <c r="G532" i="4" s="1"/>
  <c r="F532" i="4" a="1"/>
  <c r="F532" i="4" s="1"/>
  <c r="F522" i="4" a="1"/>
  <c r="F522" i="4" s="1"/>
  <c r="G522" i="4" a="1"/>
  <c r="G522" i="4" s="1"/>
  <c r="E522" i="4"/>
  <c r="G491" i="4" a="1"/>
  <c r="G491" i="4" s="1"/>
  <c r="E491" i="4"/>
  <c r="F491" i="4" a="1"/>
  <c r="F491" i="4" s="1"/>
  <c r="F406" i="4" a="1"/>
  <c r="F406" i="4" s="1"/>
  <c r="G406" i="4" a="1"/>
  <c r="G406" i="4" s="1"/>
  <c r="E406" i="4"/>
  <c r="E324" i="4"/>
  <c r="G324" i="4" a="1"/>
  <c r="G324" i="4" s="1"/>
  <c r="F324" i="4" a="1"/>
  <c r="F324" i="4" s="1"/>
  <c r="E778" i="4"/>
  <c r="G778" i="4" a="1"/>
  <c r="G778" i="4" s="1"/>
  <c r="E776" i="4"/>
  <c r="F776" i="4" a="1"/>
  <c r="F776" i="4" s="1"/>
  <c r="F633" i="4" a="1"/>
  <c r="F633" i="4" s="1"/>
  <c r="E633" i="4"/>
  <c r="E626" i="4"/>
  <c r="G626" i="4" a="1"/>
  <c r="G626" i="4" s="1"/>
  <c r="E588" i="4"/>
  <c r="F588" i="4" a="1"/>
  <c r="F588" i="4" s="1"/>
  <c r="F550" i="4" a="1"/>
  <c r="F550" i="4" s="1"/>
  <c r="G550" i="4" a="1"/>
  <c r="G550" i="4" s="1"/>
  <c r="E538" i="4"/>
  <c r="F538" i="4" a="1"/>
  <c r="F538" i="4" s="1"/>
  <c r="F530" i="4" a="1"/>
  <c r="F530" i="4" s="1"/>
  <c r="E530" i="4"/>
  <c r="E518" i="4"/>
  <c r="F518" i="4" a="1"/>
  <c r="F518" i="4" s="1"/>
  <c r="E496" i="4"/>
  <c r="F496" i="4" a="1"/>
  <c r="F496" i="4" s="1"/>
  <c r="E492" i="4"/>
  <c r="G492" i="4" a="1"/>
  <c r="G492" i="4" s="1"/>
  <c r="E440" i="4"/>
  <c r="F440" i="4" a="1"/>
  <c r="F440" i="4" s="1"/>
  <c r="G440" i="4" a="1"/>
  <c r="G440" i="4" s="1"/>
  <c r="G969" i="4" a="1"/>
  <c r="G969" i="4" s="1"/>
  <c r="E968" i="4"/>
  <c r="G958" i="4" a="1"/>
  <c r="G958" i="4" s="1"/>
  <c r="E949" i="4"/>
  <c r="E947" i="4"/>
  <c r="E944" i="4"/>
  <c r="E938" i="4"/>
  <c r="G936" i="4" a="1"/>
  <c r="G936" i="4" s="1"/>
  <c r="G935" i="4" a="1"/>
  <c r="G935" i="4" s="1"/>
  <c r="E930" i="4"/>
  <c r="G900" i="4" a="1"/>
  <c r="G900" i="4" s="1"/>
  <c r="E890" i="4"/>
  <c r="E888" i="4"/>
  <c r="G882" i="4" a="1"/>
  <c r="G882" i="4" s="1"/>
  <c r="E879" i="4"/>
  <c r="F868" i="4" a="1"/>
  <c r="F868" i="4" s="1"/>
  <c r="E866" i="4"/>
  <c r="G864" i="4" a="1"/>
  <c r="G864" i="4" s="1"/>
  <c r="G854" i="4" a="1"/>
  <c r="G854" i="4" s="1"/>
  <c r="F832" i="4" a="1"/>
  <c r="F832" i="4" s="1"/>
  <c r="F824" i="4" a="1"/>
  <c r="F824" i="4" s="1"/>
  <c r="G797" i="4" a="1"/>
  <c r="G797" i="4" s="1"/>
  <c r="F778" i="4" a="1"/>
  <c r="F778" i="4" s="1"/>
  <c r="F777" i="4" a="1"/>
  <c r="F777" i="4" s="1"/>
  <c r="G777" i="4" a="1"/>
  <c r="G777" i="4" s="1"/>
  <c r="F750" i="4" a="1"/>
  <c r="F750" i="4" s="1"/>
  <c r="E750" i="4"/>
  <c r="F742" i="4" a="1"/>
  <c r="F742" i="4" s="1"/>
  <c r="E742" i="4"/>
  <c r="E732" i="4"/>
  <c r="F732" i="4" a="1"/>
  <c r="F732" i="4" s="1"/>
  <c r="G726" i="4" a="1"/>
  <c r="G726" i="4" s="1"/>
  <c r="E698" i="4"/>
  <c r="F697" i="4" a="1"/>
  <c r="F697" i="4" s="1"/>
  <c r="G697" i="4" a="1"/>
  <c r="G697" i="4" s="1"/>
  <c r="G692" i="4" a="1"/>
  <c r="G692" i="4" s="1"/>
  <c r="G678" i="4" a="1"/>
  <c r="G678" i="4" s="1"/>
  <c r="E662" i="4"/>
  <c r="F662" i="4" a="1"/>
  <c r="F662" i="4" s="1"/>
  <c r="F638" i="4" a="1"/>
  <c r="F638" i="4" s="1"/>
  <c r="G634" i="4" a="1"/>
  <c r="G634" i="4" s="1"/>
  <c r="G633" i="4" a="1"/>
  <c r="G633" i="4" s="1"/>
  <c r="E632" i="4"/>
  <c r="F632" i="4" a="1"/>
  <c r="F632" i="4" s="1"/>
  <c r="F626" i="4" a="1"/>
  <c r="F626" i="4" s="1"/>
  <c r="G624" i="4" a="1"/>
  <c r="G624" i="4" s="1"/>
  <c r="F618" i="4" a="1"/>
  <c r="F618" i="4" s="1"/>
  <c r="G618" i="4" a="1"/>
  <c r="G618" i="4" s="1"/>
  <c r="F604" i="4" a="1"/>
  <c r="F604" i="4" s="1"/>
  <c r="F603" i="4" a="1"/>
  <c r="F603" i="4" s="1"/>
  <c r="E603" i="4"/>
  <c r="F596" i="4" a="1"/>
  <c r="F596" i="4" s="1"/>
  <c r="G596" i="4" a="1"/>
  <c r="G596" i="4" s="1"/>
  <c r="F594" i="4" a="1"/>
  <c r="F594" i="4" s="1"/>
  <c r="F592" i="4" a="1"/>
  <c r="F592" i="4" s="1"/>
  <c r="E592" i="4"/>
  <c r="E582" i="4"/>
  <c r="F582" i="4" a="1"/>
  <c r="F582" i="4" s="1"/>
  <c r="G558" i="4" a="1"/>
  <c r="G558" i="4" s="1"/>
  <c r="E550" i="4"/>
  <c r="E540" i="4"/>
  <c r="F540" i="4" a="1"/>
  <c r="F540" i="4" s="1"/>
  <c r="G538" i="4" a="1"/>
  <c r="G538" i="4" s="1"/>
  <c r="F536" i="4" a="1"/>
  <c r="F536" i="4" s="1"/>
  <c r="E536" i="4"/>
  <c r="F524" i="4" a="1"/>
  <c r="F524" i="4" s="1"/>
  <c r="E524" i="4"/>
  <c r="G518" i="4" a="1"/>
  <c r="G518" i="4" s="1"/>
  <c r="G505" i="4" a="1"/>
  <c r="G505" i="4" s="1"/>
  <c r="F505" i="4" a="1"/>
  <c r="F505" i="4" s="1"/>
  <c r="G496" i="4" a="1"/>
  <c r="G496" i="4" s="1"/>
  <c r="F492" i="4" a="1"/>
  <c r="F492" i="4" s="1"/>
  <c r="E476" i="4"/>
  <c r="F476" i="4" a="1"/>
  <c r="F476" i="4" s="1"/>
  <c r="E472" i="4"/>
  <c r="G472" i="4" a="1"/>
  <c r="G472" i="4" s="1"/>
  <c r="F446" i="4" a="1"/>
  <c r="F446" i="4" s="1"/>
  <c r="E446" i="4"/>
  <c r="F410" i="4" a="1"/>
  <c r="F410" i="4" s="1"/>
  <c r="E407" i="4"/>
  <c r="F348" i="4" a="1"/>
  <c r="F348" i="4" s="1"/>
  <c r="E348" i="4"/>
  <c r="G348" i="4" a="1"/>
  <c r="G348" i="4" s="1"/>
  <c r="E312" i="4"/>
  <c r="G312" i="4" a="1"/>
  <c r="G312" i="4" s="1"/>
  <c r="F283" i="4" a="1"/>
  <c r="F283" i="4" s="1"/>
  <c r="G283" i="4" a="1"/>
  <c r="G283" i="4" s="1"/>
  <c r="G380" i="4" a="1"/>
  <c r="G380" i="4" s="1"/>
  <c r="E380" i="4"/>
  <c r="G366" i="4" a="1"/>
  <c r="G366" i="4" s="1"/>
  <c r="E366" i="4"/>
  <c r="E358" i="4"/>
  <c r="G358" i="4" a="1"/>
  <c r="G358" i="4" s="1"/>
  <c r="E338" i="4"/>
  <c r="G338" i="4" a="1"/>
  <c r="G338" i="4" s="1"/>
  <c r="G323" i="4" a="1"/>
  <c r="G323" i="4" s="1"/>
  <c r="F323" i="4" a="1"/>
  <c r="F323" i="4" s="1"/>
  <c r="G318" i="4" a="1"/>
  <c r="G318" i="4" s="1"/>
  <c r="F316" i="4" a="1"/>
  <c r="F316" i="4" s="1"/>
  <c r="F297" i="4" a="1"/>
  <c r="F297" i="4" s="1"/>
  <c r="G297" i="4" a="1"/>
  <c r="G297" i="4" s="1"/>
  <c r="E227" i="4"/>
  <c r="F227" i="4" a="1"/>
  <c r="F227" i="4" s="1"/>
  <c r="F212" i="4" a="1"/>
  <c r="F212" i="4" s="1"/>
  <c r="G212" i="4" a="1"/>
  <c r="G212" i="4" s="1"/>
  <c r="F205" i="4" a="1"/>
  <c r="F205" i="4" s="1"/>
  <c r="F197" i="4" a="1"/>
  <c r="F197" i="4" s="1"/>
  <c r="E197" i="4"/>
  <c r="F195" i="4" a="1"/>
  <c r="F195" i="4" s="1"/>
  <c r="G195" i="4" a="1"/>
  <c r="G195" i="4" s="1"/>
  <c r="E188" i="4"/>
  <c r="G186" i="4" a="1"/>
  <c r="G186" i="4" s="1"/>
  <c r="F182" i="4" a="1"/>
  <c r="F182" i="4" s="1"/>
  <c r="E182" i="4"/>
  <c r="F177" i="4" a="1"/>
  <c r="F177" i="4" s="1"/>
  <c r="E177" i="4"/>
  <c r="F175" i="4" a="1"/>
  <c r="F175" i="4" s="1"/>
  <c r="G175" i="4" a="1"/>
  <c r="G175" i="4" s="1"/>
  <c r="E169" i="4"/>
  <c r="F164" i="4" a="1"/>
  <c r="F164" i="4" s="1"/>
  <c r="G164" i="4" a="1"/>
  <c r="G164" i="4" s="1"/>
  <c r="F141" i="4" a="1"/>
  <c r="F141" i="4" s="1"/>
  <c r="G141" i="4" a="1"/>
  <c r="G141" i="4" s="1"/>
  <c r="E141" i="4"/>
  <c r="G539" i="4" a="1"/>
  <c r="G539" i="4" s="1"/>
  <c r="E539" i="4"/>
  <c r="G517" i="4" a="1"/>
  <c r="G517" i="4" s="1"/>
  <c r="E517" i="4"/>
  <c r="F494" i="4" a="1"/>
  <c r="F494" i="4" s="1"/>
  <c r="E494" i="4"/>
  <c r="E482" i="4"/>
  <c r="F482" i="4" a="1"/>
  <c r="F482" i="4" s="1"/>
  <c r="E448" i="4"/>
  <c r="F448" i="4" a="1"/>
  <c r="F448" i="4" s="1"/>
  <c r="G409" i="4" a="1"/>
  <c r="G409" i="4" s="1"/>
  <c r="F409" i="4" a="1"/>
  <c r="F409" i="4" s="1"/>
  <c r="E403" i="4"/>
  <c r="G403" i="4" a="1"/>
  <c r="G403" i="4" s="1"/>
  <c r="E397" i="4"/>
  <c r="F397" i="4" a="1"/>
  <c r="F397" i="4" s="1"/>
  <c r="E306" i="4"/>
  <c r="G306" i="4" a="1"/>
  <c r="G306" i="4" s="1"/>
  <c r="E228" i="4"/>
  <c r="F228" i="4" a="1"/>
  <c r="F228" i="4" s="1"/>
  <c r="E219" i="4"/>
  <c r="F219" i="4" a="1"/>
  <c r="F219" i="4" s="1"/>
  <c r="F189" i="4" a="1"/>
  <c r="F189" i="4" s="1"/>
  <c r="G189" i="4" a="1"/>
  <c r="G189" i="4" s="1"/>
  <c r="F174" i="4" a="1"/>
  <c r="F174" i="4" s="1"/>
  <c r="E174" i="4"/>
  <c r="F226" i="4" a="1"/>
  <c r="F226" i="4" s="1"/>
  <c r="E226" i="4"/>
  <c r="G205" i="4" a="1"/>
  <c r="G205" i="4" s="1"/>
  <c r="G188" i="4" a="1"/>
  <c r="G188" i="4" s="1"/>
  <c r="E185" i="4"/>
  <c r="G185" i="4" a="1"/>
  <c r="G185" i="4" s="1"/>
  <c r="F183" i="4" a="1"/>
  <c r="F183" i="4" s="1"/>
  <c r="G183" i="4" a="1"/>
  <c r="G183" i="4" s="1"/>
  <c r="E180" i="4"/>
  <c r="G180" i="4" a="1"/>
  <c r="G180" i="4" s="1"/>
  <c r="G169" i="4" a="1"/>
  <c r="G169" i="4" s="1"/>
  <c r="G168" i="4" a="1"/>
  <c r="G168" i="4" s="1"/>
  <c r="G167" i="4" a="1"/>
  <c r="G167" i="4" s="1"/>
  <c r="E117" i="4"/>
  <c r="E111" i="4"/>
  <c r="G109" i="4" a="1"/>
  <c r="G109" i="4" s="1"/>
  <c r="E108" i="4"/>
  <c r="G104" i="4" a="1"/>
  <c r="G104" i="4" s="1"/>
  <c r="F103" i="4" a="1"/>
  <c r="F103" i="4" s="1"/>
  <c r="G97" i="4" a="1"/>
  <c r="G97" i="4" s="1"/>
  <c r="G96" i="4" a="1"/>
  <c r="G96" i="4" s="1"/>
  <c r="G81" i="4" a="1"/>
  <c r="G81" i="4" s="1"/>
  <c r="G79" i="4" a="1"/>
  <c r="G79" i="4" s="1"/>
  <c r="E144" i="4"/>
  <c r="F143" i="4" a="1"/>
  <c r="F143" i="4" s="1"/>
  <c r="E140" i="4"/>
  <c r="G136" i="4" a="1"/>
  <c r="G136" i="4" s="1"/>
  <c r="F127" i="4" a="1"/>
  <c r="F127" i="4" s="1"/>
  <c r="G121" i="4" a="1"/>
  <c r="G121" i="4" s="1"/>
  <c r="G119" i="4" a="1"/>
  <c r="G119" i="4" s="1"/>
  <c r="G117" i="4" a="1"/>
  <c r="G117" i="4" s="1"/>
  <c r="G103" i="4" a="1"/>
  <c r="G103" i="4" s="1"/>
  <c r="E401" i="4"/>
  <c r="F401" i="4" a="1"/>
  <c r="F401" i="4" s="1"/>
  <c r="F362" i="4" a="1"/>
  <c r="F362" i="4" s="1"/>
  <c r="E342" i="4"/>
  <c r="G342" i="4" a="1"/>
  <c r="G342" i="4" s="1"/>
  <c r="G333" i="4" a="1"/>
  <c r="G333" i="4" s="1"/>
  <c r="F333" i="4" a="1"/>
  <c r="F333" i="4" s="1"/>
  <c r="E333" i="4"/>
  <c r="F299" i="4" a="1"/>
  <c r="F299" i="4" s="1"/>
  <c r="G299" i="4" a="1"/>
  <c r="G299" i="4" s="1"/>
  <c r="F277" i="4" a="1"/>
  <c r="F277" i="4" s="1"/>
  <c r="E277" i="4"/>
  <c r="G277" i="4" a="1"/>
  <c r="G277" i="4" s="1"/>
  <c r="F222" i="4" a="1"/>
  <c r="F222" i="4" s="1"/>
  <c r="E222" i="4"/>
  <c r="G222" i="4" a="1"/>
  <c r="G222" i="4" s="1"/>
  <c r="E149" i="4"/>
  <c r="F149" i="4" a="1"/>
  <c r="F149" i="4" s="1"/>
  <c r="G149" i="4" a="1"/>
  <c r="G149" i="4" s="1"/>
  <c r="F849" i="4" a="1"/>
  <c r="F849" i="4" s="1"/>
  <c r="E849" i="4"/>
  <c r="G828" i="4" a="1"/>
  <c r="G828" i="4" s="1"/>
  <c r="E828" i="4"/>
  <c r="G820" i="4" a="1"/>
  <c r="G820" i="4" s="1"/>
  <c r="E820" i="4"/>
  <c r="F690" i="4" a="1"/>
  <c r="F690" i="4" s="1"/>
  <c r="E690" i="4"/>
  <c r="F688" i="4" a="1"/>
  <c r="F688" i="4" s="1"/>
  <c r="G688" i="4" a="1"/>
  <c r="G688" i="4" s="1"/>
  <c r="E656" i="4"/>
  <c r="F656" i="4" a="1"/>
  <c r="F656" i="4" s="1"/>
  <c r="G535" i="4" a="1"/>
  <c r="G535" i="4" s="1"/>
  <c r="F535" i="4" a="1"/>
  <c r="F535" i="4" s="1"/>
  <c r="E512" i="4"/>
  <c r="F512" i="4" a="1"/>
  <c r="F512" i="4" s="1"/>
  <c r="E504" i="4"/>
  <c r="G504" i="4" a="1"/>
  <c r="G504" i="4" s="1"/>
  <c r="F474" i="4" a="1"/>
  <c r="F474" i="4" s="1"/>
  <c r="E474" i="4"/>
  <c r="G445" i="4" a="1"/>
  <c r="G445" i="4" s="1"/>
  <c r="F445" i="4" a="1"/>
  <c r="F445" i="4" s="1"/>
  <c r="G975" i="4" a="1"/>
  <c r="G975" i="4" s="1"/>
  <c r="E963" i="4"/>
  <c r="E959" i="4"/>
  <c r="E958" i="4"/>
  <c r="G952" i="4" a="1"/>
  <c r="G952" i="4" s="1"/>
  <c r="G940" i="4" a="1"/>
  <c r="G940" i="4" s="1"/>
  <c r="G914" i="4" a="1"/>
  <c r="G914" i="4" s="1"/>
  <c r="G904" i="4" a="1"/>
  <c r="G904" i="4" s="1"/>
  <c r="G903" i="4" a="1"/>
  <c r="G903" i="4" s="1"/>
  <c r="F900" i="4" a="1"/>
  <c r="F900" i="4" s="1"/>
  <c r="G896" i="4" a="1"/>
  <c r="G896" i="4" s="1"/>
  <c r="F880" i="4" a="1"/>
  <c r="F880" i="4" s="1"/>
  <c r="G872" i="4" a="1"/>
  <c r="G872" i="4" s="1"/>
  <c r="F862" i="4" a="1"/>
  <c r="F862" i="4" s="1"/>
  <c r="G858" i="4" a="1"/>
  <c r="G858" i="4" s="1"/>
  <c r="F854" i="4" a="1"/>
  <c r="F854" i="4" s="1"/>
  <c r="F851" i="4" a="1"/>
  <c r="F851" i="4" s="1"/>
  <c r="E851" i="4"/>
  <c r="G844" i="4" a="1"/>
  <c r="G844" i="4" s="1"/>
  <c r="F843" i="4" a="1"/>
  <c r="F843" i="4" s="1"/>
  <c r="G843" i="4" a="1"/>
  <c r="G843" i="4" s="1"/>
  <c r="F821" i="4" a="1"/>
  <c r="F821" i="4" s="1"/>
  <c r="E821" i="4"/>
  <c r="F803" i="4" a="1"/>
  <c r="F803" i="4" s="1"/>
  <c r="G803" i="4" a="1"/>
  <c r="G803" i="4" s="1"/>
  <c r="G780" i="4" a="1"/>
  <c r="G780" i="4" s="1"/>
  <c r="F758" i="4" a="1"/>
  <c r="F758" i="4" s="1"/>
  <c r="E758" i="4"/>
  <c r="G744" i="4" a="1"/>
  <c r="G744" i="4" s="1"/>
  <c r="G736" i="4" a="1"/>
  <c r="G736" i="4" s="1"/>
  <c r="G730" i="4" a="1"/>
  <c r="G730" i="4" s="1"/>
  <c r="E728" i="4"/>
  <c r="F728" i="4" a="1"/>
  <c r="F728" i="4" s="1"/>
  <c r="G716" i="4" a="1"/>
  <c r="G716" i="4" s="1"/>
  <c r="E712" i="4"/>
  <c r="F712" i="4" a="1"/>
  <c r="F712" i="4" s="1"/>
  <c r="G704" i="4" a="1"/>
  <c r="G704" i="4" s="1"/>
  <c r="G682" i="4" a="1"/>
  <c r="G682" i="4" s="1"/>
  <c r="E680" i="4"/>
  <c r="F680" i="4" a="1"/>
  <c r="F680" i="4" s="1"/>
  <c r="E668" i="4"/>
  <c r="G668" i="4" a="1"/>
  <c r="G668" i="4" s="1"/>
  <c r="G660" i="4" a="1"/>
  <c r="G660" i="4" s="1"/>
  <c r="F657" i="4" a="1"/>
  <c r="F657" i="4" s="1"/>
  <c r="E657" i="4"/>
  <c r="G650" i="4" a="1"/>
  <c r="G650" i="4" s="1"/>
  <c r="E646" i="4"/>
  <c r="F646" i="4" a="1"/>
  <c r="F646" i="4" s="1"/>
  <c r="F622" i="4" a="1"/>
  <c r="F622" i="4" s="1"/>
  <c r="E622" i="4"/>
  <c r="F620" i="4" a="1"/>
  <c r="F620" i="4" s="1"/>
  <c r="G620" i="4" a="1"/>
  <c r="G620" i="4" s="1"/>
  <c r="G612" i="4" a="1"/>
  <c r="G612" i="4" s="1"/>
  <c r="E606" i="4"/>
  <c r="F606" i="4" a="1"/>
  <c r="F606" i="4" s="1"/>
  <c r="G600" i="4" a="1"/>
  <c r="G600" i="4" s="1"/>
  <c r="F584" i="4" a="1"/>
  <c r="F584" i="4" s="1"/>
  <c r="G584" i="4" a="1"/>
  <c r="G584" i="4" s="1"/>
  <c r="G578" i="4" a="1"/>
  <c r="G578" i="4" s="1"/>
  <c r="G577" i="4" a="1"/>
  <c r="G577" i="4" s="1"/>
  <c r="F577" i="4" a="1"/>
  <c r="F577" i="4" s="1"/>
  <c r="E574" i="4"/>
  <c r="F574" i="4" a="1"/>
  <c r="F574" i="4" s="1"/>
  <c r="F570" i="4" a="1"/>
  <c r="F570" i="4" s="1"/>
  <c r="G570" i="4" a="1"/>
  <c r="G570" i="4" s="1"/>
  <c r="G562" i="4" a="1"/>
  <c r="G562" i="4" s="1"/>
  <c r="F554" i="4" a="1"/>
  <c r="F554" i="4" s="1"/>
  <c r="E554" i="4"/>
  <c r="F552" i="4" a="1"/>
  <c r="F552" i="4" s="1"/>
  <c r="G552" i="4" a="1"/>
  <c r="G552" i="4" s="1"/>
  <c r="G548" i="4" a="1"/>
  <c r="G548" i="4" s="1"/>
  <c r="G527" i="4" a="1"/>
  <c r="G527" i="4" s="1"/>
  <c r="E527" i="4"/>
  <c r="G521" i="4" a="1"/>
  <c r="G521" i="4" s="1"/>
  <c r="F521" i="4" a="1"/>
  <c r="F521" i="4" s="1"/>
  <c r="F514" i="4" a="1"/>
  <c r="F514" i="4" s="1"/>
  <c r="E514" i="4"/>
  <c r="F486" i="4" a="1"/>
  <c r="F486" i="4" s="1"/>
  <c r="E486" i="4"/>
  <c r="E484" i="4"/>
  <c r="G484" i="4" a="1"/>
  <c r="G484" i="4" s="1"/>
  <c r="G468" i="4" a="1"/>
  <c r="G468" i="4" s="1"/>
  <c r="E466" i="4"/>
  <c r="G466" i="4" a="1"/>
  <c r="G466" i="4" s="1"/>
  <c r="G454" i="4" a="1"/>
  <c r="G454" i="4" s="1"/>
  <c r="F442" i="4" a="1"/>
  <c r="F442" i="4" s="1"/>
  <c r="G442" i="4" a="1"/>
  <c r="G442" i="4" s="1"/>
  <c r="E434" i="4"/>
  <c r="G434" i="4" a="1"/>
  <c r="G434" i="4" s="1"/>
  <c r="E432" i="4"/>
  <c r="F432" i="4" a="1"/>
  <c r="F432" i="4" s="1"/>
  <c r="F391" i="4" a="1"/>
  <c r="F391" i="4" s="1"/>
  <c r="G391" i="4" a="1"/>
  <c r="G391" i="4" s="1"/>
  <c r="G377" i="4" a="1"/>
  <c r="G377" i="4" s="1"/>
  <c r="F371" i="4" a="1"/>
  <c r="F371" i="4" s="1"/>
  <c r="E371" i="4"/>
  <c r="G360" i="4" a="1"/>
  <c r="G360" i="4" s="1"/>
  <c r="E360" i="4"/>
  <c r="F352" i="4" a="1"/>
  <c r="F352" i="4" s="1"/>
  <c r="E352" i="4"/>
  <c r="F279" i="4" a="1"/>
  <c r="F279" i="4" s="1"/>
  <c r="E279" i="4"/>
  <c r="G279" i="4" a="1"/>
  <c r="G279" i="4" s="1"/>
  <c r="F271" i="4" a="1"/>
  <c r="F271" i="4" s="1"/>
  <c r="E271" i="4"/>
  <c r="G271" i="4" a="1"/>
  <c r="G271" i="4" s="1"/>
  <c r="E262" i="4"/>
  <c r="F262" i="4" a="1"/>
  <c r="F262" i="4" s="1"/>
  <c r="G262" i="4" a="1"/>
  <c r="G262" i="4" s="1"/>
  <c r="E215" i="4"/>
  <c r="F215" i="4" a="1"/>
  <c r="F215" i="4" s="1"/>
  <c r="G215" i="4" a="1"/>
  <c r="G215" i="4" s="1"/>
  <c r="F184" i="4" a="1"/>
  <c r="F184" i="4" s="1"/>
  <c r="G184" i="4" a="1"/>
  <c r="G184" i="4" s="1"/>
  <c r="E179" i="4"/>
  <c r="G179" i="4" a="1"/>
  <c r="G179" i="4" s="1"/>
  <c r="E842" i="4"/>
  <c r="F842" i="4" a="1"/>
  <c r="F842" i="4" s="1"/>
  <c r="F775" i="4" a="1"/>
  <c r="F775" i="4" s="1"/>
  <c r="E775" i="4"/>
  <c r="F737" i="4" a="1"/>
  <c r="F737" i="4" s="1"/>
  <c r="G737" i="4" a="1"/>
  <c r="G737" i="4" s="1"/>
  <c r="F598" i="4" a="1"/>
  <c r="F598" i="4" s="1"/>
  <c r="G598" i="4" a="1"/>
  <c r="G598" i="4" s="1"/>
  <c r="G575" i="4" a="1"/>
  <c r="G575" i="4" s="1"/>
  <c r="F575" i="4" a="1"/>
  <c r="F575" i="4" s="1"/>
  <c r="E975" i="4"/>
  <c r="E971" i="4"/>
  <c r="G967" i="4" a="1"/>
  <c r="G967" i="4" s="1"/>
  <c r="F952" i="4" a="1"/>
  <c r="F952" i="4" s="1"/>
  <c r="G948" i="4" a="1"/>
  <c r="G948" i="4" s="1"/>
  <c r="G945" i="4" a="1"/>
  <c r="G945" i="4" s="1"/>
  <c r="F944" i="4" a="1"/>
  <c r="F944" i="4" s="1"/>
  <c r="G943" i="4" a="1"/>
  <c r="G943" i="4" s="1"/>
  <c r="G942" i="4" a="1"/>
  <c r="G942" i="4" s="1"/>
  <c r="E941" i="4"/>
  <c r="F940" i="4" a="1"/>
  <c r="F940" i="4" s="1"/>
  <c r="F938" i="4" a="1"/>
  <c r="F938" i="4" s="1"/>
  <c r="F932" i="4" a="1"/>
  <c r="F932" i="4" s="1"/>
  <c r="G926" i="4" a="1"/>
  <c r="G926" i="4" s="1"/>
  <c r="F914" i="4" a="1"/>
  <c r="F914" i="4" s="1"/>
  <c r="G910" i="4" a="1"/>
  <c r="G910" i="4" s="1"/>
  <c r="E904" i="4"/>
  <c r="E903" i="4"/>
  <c r="F896" i="4" a="1"/>
  <c r="F896" i="4" s="1"/>
  <c r="F894" i="4" a="1"/>
  <c r="F894" i="4" s="1"/>
  <c r="G876" i="4" a="1"/>
  <c r="G876" i="4" s="1"/>
  <c r="E873" i="4"/>
  <c r="E872" i="4"/>
  <c r="G868" i="4" a="1"/>
  <c r="G868" i="4" s="1"/>
  <c r="G867" i="4" a="1"/>
  <c r="G867" i="4" s="1"/>
  <c r="F866" i="4" a="1"/>
  <c r="F866" i="4" s="1"/>
  <c r="G860" i="4" a="1"/>
  <c r="G860" i="4" s="1"/>
  <c r="E858" i="4"/>
  <c r="E856" i="4"/>
  <c r="G848" i="4" a="1"/>
  <c r="G848" i="4" s="1"/>
  <c r="E848" i="4"/>
  <c r="G846" i="4" a="1"/>
  <c r="G846" i="4" s="1"/>
  <c r="F846" i="4" a="1"/>
  <c r="F846" i="4" s="1"/>
  <c r="E844" i="4"/>
  <c r="G842" i="4" a="1"/>
  <c r="G842" i="4" s="1"/>
  <c r="F840" i="4" a="1"/>
  <c r="F840" i="4" s="1"/>
  <c r="E840" i="4"/>
  <c r="F838" i="4" a="1"/>
  <c r="F838" i="4" s="1"/>
  <c r="G838" i="4" a="1"/>
  <c r="G838" i="4" s="1"/>
  <c r="G832" i="4" a="1"/>
  <c r="G832" i="4" s="1"/>
  <c r="F828" i="4" a="1"/>
  <c r="F828" i="4" s="1"/>
  <c r="E822" i="4"/>
  <c r="F822" i="4" a="1"/>
  <c r="F822" i="4" s="1"/>
  <c r="F820" i="4" a="1"/>
  <c r="F820" i="4" s="1"/>
  <c r="E812" i="4"/>
  <c r="F812" i="4" a="1"/>
  <c r="F812" i="4" s="1"/>
  <c r="G806" i="4" a="1"/>
  <c r="G806" i="4" s="1"/>
  <c r="G796" i="4" a="1"/>
  <c r="G796" i="4" s="1"/>
  <c r="F793" i="4" a="1"/>
  <c r="F793" i="4" s="1"/>
  <c r="E793" i="4"/>
  <c r="E780" i="4"/>
  <c r="G776" i="4" a="1"/>
  <c r="G776" i="4" s="1"/>
  <c r="G775" i="4" a="1"/>
  <c r="G775" i="4" s="1"/>
  <c r="G774" i="4" a="1"/>
  <c r="G774" i="4" s="1"/>
  <c r="E774" i="4"/>
  <c r="G762" i="4" a="1"/>
  <c r="G762" i="4" s="1"/>
  <c r="E762" i="4"/>
  <c r="E744" i="4"/>
  <c r="E736" i="4"/>
  <c r="G732" i="4" a="1"/>
  <c r="G732" i="4" s="1"/>
  <c r="F730" i="4" a="1"/>
  <c r="F730" i="4" s="1"/>
  <c r="F729" i="4" a="1"/>
  <c r="F729" i="4" s="1"/>
  <c r="E729" i="4"/>
  <c r="E716" i="4"/>
  <c r="E704" i="4"/>
  <c r="G702" i="4" a="1"/>
  <c r="G702" i="4" s="1"/>
  <c r="G690" i="4" a="1"/>
  <c r="G690" i="4" s="1"/>
  <c r="E688" i="4"/>
  <c r="G686" i="4" a="1"/>
  <c r="G686" i="4" s="1"/>
  <c r="G684" i="4" a="1"/>
  <c r="G684" i="4" s="1"/>
  <c r="F682" i="4" a="1"/>
  <c r="F682" i="4" s="1"/>
  <c r="F681" i="4" a="1"/>
  <c r="F681" i="4" s="1"/>
  <c r="E681" i="4"/>
  <c r="G662" i="4" a="1"/>
  <c r="G662" i="4" s="1"/>
  <c r="F660" i="4" a="1"/>
  <c r="F660" i="4" s="1"/>
  <c r="G656" i="4" a="1"/>
  <c r="G656" i="4" s="1"/>
  <c r="E650" i="4"/>
  <c r="G630" i="4" a="1"/>
  <c r="G630" i="4" s="1"/>
  <c r="F612" i="4" a="1"/>
  <c r="F612" i="4" s="1"/>
  <c r="F600" i="4" a="1"/>
  <c r="F600" i="4" s="1"/>
  <c r="E598" i="4"/>
  <c r="E578" i="4"/>
  <c r="G576" i="4" a="1"/>
  <c r="G576" i="4" s="1"/>
  <c r="E575" i="4"/>
  <c r="E562" i="4"/>
  <c r="E548" i="4"/>
  <c r="G546" i="4" a="1"/>
  <c r="G546" i="4" s="1"/>
  <c r="G545" i="4" a="1"/>
  <c r="G545" i="4" s="1"/>
  <c r="F545" i="4" a="1"/>
  <c r="F545" i="4" s="1"/>
  <c r="G536" i="4" a="1"/>
  <c r="G536" i="4" s="1"/>
  <c r="E535" i="4"/>
  <c r="G530" i="4" a="1"/>
  <c r="G530" i="4" s="1"/>
  <c r="G524" i="4" a="1"/>
  <c r="G524" i="4" s="1"/>
  <c r="E520" i="4"/>
  <c r="F520" i="4" a="1"/>
  <c r="F520" i="4" s="1"/>
  <c r="F504" i="4" a="1"/>
  <c r="F504" i="4" s="1"/>
  <c r="G476" i="4" a="1"/>
  <c r="G476" i="4" s="1"/>
  <c r="F470" i="4" a="1"/>
  <c r="F470" i="4" s="1"/>
  <c r="G470" i="4" a="1"/>
  <c r="G470" i="4" s="1"/>
  <c r="E468" i="4"/>
  <c r="G467" i="4" a="1"/>
  <c r="G467" i="4" s="1"/>
  <c r="F467" i="4" a="1"/>
  <c r="F467" i="4" s="1"/>
  <c r="G465" i="4" a="1"/>
  <c r="G465" i="4" s="1"/>
  <c r="F465" i="4" a="1"/>
  <c r="F465" i="4" s="1"/>
  <c r="F457" i="4" a="1"/>
  <c r="F457" i="4" s="1"/>
  <c r="F454" i="4" a="1"/>
  <c r="F454" i="4" s="1"/>
  <c r="F450" i="4" a="1"/>
  <c r="F450" i="4" s="1"/>
  <c r="G450" i="4" a="1"/>
  <c r="G450" i="4" s="1"/>
  <c r="G446" i="4" a="1"/>
  <c r="G446" i="4" s="1"/>
  <c r="E445" i="4"/>
  <c r="G433" i="4" a="1"/>
  <c r="G433" i="4" s="1"/>
  <c r="F433" i="4" a="1"/>
  <c r="F433" i="4" s="1"/>
  <c r="E424" i="4"/>
  <c r="F424" i="4" a="1"/>
  <c r="F424" i="4" s="1"/>
  <c r="E395" i="4"/>
  <c r="F395" i="4" a="1"/>
  <c r="F395" i="4" s="1"/>
  <c r="G393" i="4" a="1"/>
  <c r="G393" i="4" s="1"/>
  <c r="F383" i="4" a="1"/>
  <c r="F383" i="4" s="1"/>
  <c r="G383" i="4" a="1"/>
  <c r="G383" i="4" s="1"/>
  <c r="F377" i="4" a="1"/>
  <c r="F377" i="4" s="1"/>
  <c r="G376" i="4" a="1"/>
  <c r="G376" i="4" s="1"/>
  <c r="E376" i="4"/>
  <c r="G359" i="4" a="1"/>
  <c r="G359" i="4" s="1"/>
  <c r="E359" i="4"/>
  <c r="F359" i="4" a="1"/>
  <c r="F359" i="4" s="1"/>
  <c r="F342" i="4" a="1"/>
  <c r="F342" i="4" s="1"/>
  <c r="F334" i="4" a="1"/>
  <c r="F334" i="4" s="1"/>
  <c r="G334" i="4" a="1"/>
  <c r="G334" i="4" s="1"/>
  <c r="E223" i="4"/>
  <c r="F223" i="4" a="1"/>
  <c r="F223" i="4" s="1"/>
  <c r="G223" i="4" a="1"/>
  <c r="G223" i="4" s="1"/>
  <c r="E214" i="4"/>
  <c r="F214" i="4" a="1"/>
  <c r="F214" i="4" s="1"/>
  <c r="G214" i="4" a="1"/>
  <c r="G214" i="4" s="1"/>
  <c r="F203" i="4" a="1"/>
  <c r="F203" i="4" s="1"/>
  <c r="E203" i="4"/>
  <c r="G203" i="4" a="1"/>
  <c r="G203" i="4" s="1"/>
  <c r="E171" i="4"/>
  <c r="F171" i="4" a="1"/>
  <c r="F171" i="4" s="1"/>
  <c r="E137" i="4"/>
  <c r="F137" i="4" a="1"/>
  <c r="F137" i="4" s="1"/>
  <c r="G137" i="4" a="1"/>
  <c r="G137" i="4" s="1"/>
  <c r="E131" i="4"/>
  <c r="G131" i="4" a="1"/>
  <c r="G131" i="4" s="1"/>
  <c r="F124" i="4" a="1"/>
  <c r="F124" i="4" s="1"/>
  <c r="E124" i="4"/>
  <c r="G124" i="4" a="1"/>
  <c r="G124" i="4" s="1"/>
  <c r="E133" i="4"/>
  <c r="F133" i="4" a="1"/>
  <c r="F133" i="4" s="1"/>
  <c r="E123" i="4"/>
  <c r="F123" i="4" a="1"/>
  <c r="F123" i="4" s="1"/>
  <c r="G123" i="4" a="1"/>
  <c r="G123" i="4" s="1"/>
  <c r="G355" i="4" a="1"/>
  <c r="G355" i="4" s="1"/>
  <c r="E355" i="4"/>
  <c r="E300" i="4"/>
  <c r="F300" i="4" a="1"/>
  <c r="F300" i="4" s="1"/>
  <c r="G278" i="4" a="1"/>
  <c r="G278" i="4" s="1"/>
  <c r="E278" i="4"/>
  <c r="F278" i="4" a="1"/>
  <c r="F278" i="4" s="1"/>
  <c r="E270" i="4"/>
  <c r="F270" i="4" a="1"/>
  <c r="F270" i="4" s="1"/>
  <c r="G270" i="4" a="1"/>
  <c r="G270" i="4" s="1"/>
  <c r="E238" i="4"/>
  <c r="F238" i="4" a="1"/>
  <c r="F238" i="4" s="1"/>
  <c r="E225" i="4"/>
  <c r="F225" i="4" a="1"/>
  <c r="F225" i="4" s="1"/>
  <c r="F218" i="4" a="1"/>
  <c r="F218" i="4" s="1"/>
  <c r="E218" i="4"/>
  <c r="E201" i="4"/>
  <c r="G201" i="4" a="1"/>
  <c r="G201" i="4" s="1"/>
  <c r="F138" i="4" a="1"/>
  <c r="F138" i="4" s="1"/>
  <c r="E138" i="4"/>
  <c r="E129" i="4"/>
  <c r="G129" i="4" a="1"/>
  <c r="G129" i="4" s="1"/>
  <c r="E125" i="4"/>
  <c r="F125" i="4" a="1"/>
  <c r="F125" i="4" s="1"/>
  <c r="E323" i="4"/>
  <c r="F322" i="4" a="1"/>
  <c r="F322" i="4" s="1"/>
  <c r="F312" i="4" a="1"/>
  <c r="F312" i="4" s="1"/>
  <c r="E307" i="4"/>
  <c r="F306" i="4" a="1"/>
  <c r="F306" i="4" s="1"/>
  <c r="G298" i="4" a="1"/>
  <c r="G298" i="4" s="1"/>
  <c r="G294" i="4" a="1"/>
  <c r="G294" i="4" s="1"/>
  <c r="G292" i="4" a="1"/>
  <c r="G292" i="4" s="1"/>
  <c r="E283" i="4"/>
  <c r="G269" i="4" a="1"/>
  <c r="G269" i="4" s="1"/>
  <c r="G264" i="4" a="1"/>
  <c r="G264" i="4" s="1"/>
  <c r="E254" i="4"/>
  <c r="F248" i="4" a="1"/>
  <c r="F248" i="4" s="1"/>
  <c r="E247" i="4"/>
  <c r="E239" i="4"/>
  <c r="F121" i="4" a="1"/>
  <c r="F121" i="4" s="1"/>
  <c r="G120" i="4" a="1"/>
  <c r="G120" i="4" s="1"/>
  <c r="F113" i="4" a="1"/>
  <c r="F113" i="4" s="1"/>
  <c r="G105" i="4" a="1"/>
  <c r="G105" i="4" s="1"/>
  <c r="F101" i="4" a="1"/>
  <c r="F101" i="4" s="1"/>
  <c r="G100" i="4" a="1"/>
  <c r="G100" i="4" s="1"/>
  <c r="F89" i="4" a="1"/>
  <c r="F89" i="4" s="1"/>
  <c r="G73" i="4" a="1"/>
  <c r="G73" i="4" s="1"/>
  <c r="G72" i="4" a="1"/>
  <c r="G72" i="4" s="1"/>
  <c r="G69" i="4" a="1"/>
  <c r="G69" i="4" s="1"/>
  <c r="G47" i="4" a="1"/>
  <c r="G47" i="4" s="1"/>
  <c r="G219" i="4" a="1"/>
  <c r="G219" i="4" s="1"/>
  <c r="G182" i="4" a="1"/>
  <c r="G182" i="4" s="1"/>
  <c r="G174" i="4" a="1"/>
  <c r="G174" i="4" s="1"/>
  <c r="G173" i="4" a="1"/>
  <c r="G173" i="4" s="1"/>
  <c r="G140" i="4" a="1"/>
  <c r="G140" i="4" s="1"/>
  <c r="G139" i="4" a="1"/>
  <c r="G139" i="4" s="1"/>
  <c r="G127" i="4" a="1"/>
  <c r="G127" i="4" s="1"/>
  <c r="E120" i="4"/>
  <c r="G116" i="4" a="1"/>
  <c r="G116" i="4" s="1"/>
  <c r="G115" i="4" a="1"/>
  <c r="G115" i="4" s="1"/>
  <c r="G108" i="4" a="1"/>
  <c r="G108" i="4" s="1"/>
  <c r="G107" i="4" a="1"/>
  <c r="G107" i="4" s="1"/>
  <c r="E106" i="4"/>
  <c r="F105" i="4" a="1"/>
  <c r="F105" i="4" s="1"/>
  <c r="E100" i="4"/>
  <c r="G95" i="4" a="1"/>
  <c r="G95" i="4" s="1"/>
  <c r="G93" i="4" a="1"/>
  <c r="G93" i="4" s="1"/>
  <c r="G92" i="4" a="1"/>
  <c r="G92" i="4" s="1"/>
  <c r="G87" i="4" a="1"/>
  <c r="G87" i="4" s="1"/>
  <c r="G85" i="4" a="1"/>
  <c r="G85" i="4" s="1"/>
  <c r="F83" i="4" a="1"/>
  <c r="F83" i="4" s="1"/>
  <c r="F73" i="4" a="1"/>
  <c r="F73" i="4" s="1"/>
  <c r="E72" i="4"/>
  <c r="F69" i="4" a="1"/>
  <c r="F69" i="4" s="1"/>
  <c r="G65" i="4" a="1"/>
  <c r="G65" i="4" s="1"/>
  <c r="G61" i="4" a="1"/>
  <c r="G61" i="4" s="1"/>
  <c r="F47" i="4" a="1"/>
  <c r="F47" i="4" s="1"/>
  <c r="F951" i="4" a="1"/>
  <c r="F951" i="4" s="1"/>
  <c r="G951" i="4" a="1"/>
  <c r="G951" i="4" s="1"/>
  <c r="F970" i="4" a="1"/>
  <c r="F970" i="4" s="1"/>
  <c r="G970" i="4" a="1"/>
  <c r="G970" i="4" s="1"/>
  <c r="G976" i="4" a="1"/>
  <c r="G976" i="4" s="1"/>
  <c r="G962" i="4" a="1"/>
  <c r="G962" i="4" s="1"/>
  <c r="E976" i="4"/>
  <c r="F974" i="4" a="1"/>
  <c r="F974" i="4" s="1"/>
  <c r="G974" i="4" a="1"/>
  <c r="G974" i="4" s="1"/>
  <c r="G971" i="4" a="1"/>
  <c r="G971" i="4" s="1"/>
  <c r="F962" i="4" a="1"/>
  <c r="F962" i="4" s="1"/>
  <c r="E951" i="4"/>
  <c r="G949" i="4" a="1"/>
  <c r="G949" i="4" s="1"/>
  <c r="G947" i="4" a="1"/>
  <c r="G947" i="4" s="1"/>
  <c r="G920" i="4" a="1"/>
  <c r="G920" i="4" s="1"/>
  <c r="E920" i="4"/>
  <c r="F920" i="4" a="1"/>
  <c r="F920" i="4" s="1"/>
  <c r="F831" i="4" a="1"/>
  <c r="F831" i="4" s="1"/>
  <c r="E831" i="4"/>
  <c r="G831" i="4" a="1"/>
  <c r="G831" i="4" s="1"/>
  <c r="F817" i="4" a="1"/>
  <c r="F817" i="4" s="1"/>
  <c r="G817" i="4" a="1"/>
  <c r="G817" i="4" s="1"/>
  <c r="F895" i="4" a="1"/>
  <c r="F895" i="4" s="1"/>
  <c r="E895" i="4"/>
  <c r="G895" i="4" a="1"/>
  <c r="G895" i="4" s="1"/>
  <c r="E912" i="4"/>
  <c r="F912" i="4" a="1"/>
  <c r="F912" i="4" s="1"/>
  <c r="G912" i="4" a="1"/>
  <c r="G912" i="4" s="1"/>
  <c r="G886" i="4" a="1"/>
  <c r="G886" i="4" s="1"/>
  <c r="E886" i="4"/>
  <c r="F886" i="4" a="1"/>
  <c r="F886" i="4" s="1"/>
  <c r="G870" i="4" a="1"/>
  <c r="G870" i="4" s="1"/>
  <c r="E870" i="4"/>
  <c r="F870" i="4" a="1"/>
  <c r="F870" i="4" s="1"/>
  <c r="G808" i="4" a="1"/>
  <c r="G808" i="4" s="1"/>
  <c r="E808" i="4"/>
  <c r="F808" i="4" a="1"/>
  <c r="F808" i="4" s="1"/>
  <c r="F897" i="4" a="1"/>
  <c r="F897" i="4" s="1"/>
  <c r="G897" i="4" a="1"/>
  <c r="G897" i="4" s="1"/>
  <c r="F850" i="4" a="1"/>
  <c r="F850" i="4" s="1"/>
  <c r="E850" i="4"/>
  <c r="G850" i="4" a="1"/>
  <c r="G850" i="4" s="1"/>
  <c r="F948" i="4" a="1"/>
  <c r="F948" i="4" s="1"/>
  <c r="F946" i="4" a="1"/>
  <c r="F946" i="4" s="1"/>
  <c r="G946" i="4" a="1"/>
  <c r="G946" i="4" s="1"/>
  <c r="G902" i="4" a="1"/>
  <c r="G902" i="4" s="1"/>
  <c r="E902" i="4"/>
  <c r="F902" i="4" a="1"/>
  <c r="F902" i="4" s="1"/>
  <c r="E810" i="4"/>
  <c r="F810" i="4" a="1"/>
  <c r="F810" i="4" s="1"/>
  <c r="G810" i="4" a="1"/>
  <c r="G810" i="4" s="1"/>
  <c r="F934" i="4" a="1"/>
  <c r="F934" i="4" s="1"/>
  <c r="E934" i="4"/>
  <c r="G934" i="4" a="1"/>
  <c r="G934" i="4" s="1"/>
  <c r="F891" i="4" a="1"/>
  <c r="F891" i="4" s="1"/>
  <c r="E891" i="4"/>
  <c r="G891" i="4" a="1"/>
  <c r="G891" i="4" s="1"/>
  <c r="G884" i="4" a="1"/>
  <c r="G884" i="4" s="1"/>
  <c r="E884" i="4"/>
  <c r="F884" i="4" a="1"/>
  <c r="F884" i="4" s="1"/>
  <c r="F881" i="4" a="1"/>
  <c r="F881" i="4" s="1"/>
  <c r="G881" i="4" a="1"/>
  <c r="G881" i="4" s="1"/>
  <c r="E790" i="4"/>
  <c r="G790" i="4" a="1"/>
  <c r="G790" i="4" s="1"/>
  <c r="F790" i="4" a="1"/>
  <c r="F790" i="4" s="1"/>
  <c r="F827" i="4" a="1"/>
  <c r="F827" i="4" s="1"/>
  <c r="E827" i="4"/>
  <c r="F802" i="4" a="1"/>
  <c r="F802" i="4" s="1"/>
  <c r="G802" i="4" a="1"/>
  <c r="G802" i="4" s="1"/>
  <c r="G788" i="4" a="1"/>
  <c r="G788" i="4" s="1"/>
  <c r="F788" i="4" a="1"/>
  <c r="F788" i="4" s="1"/>
  <c r="G782" i="4" a="1"/>
  <c r="G782" i="4" s="1"/>
  <c r="E782" i="4"/>
  <c r="F769" i="4" a="1"/>
  <c r="F769" i="4" s="1"/>
  <c r="E769" i="4"/>
  <c r="G766" i="4" a="1"/>
  <c r="G766" i="4" s="1"/>
  <c r="E766" i="4"/>
  <c r="F753" i="4" a="1"/>
  <c r="F753" i="4" s="1"/>
  <c r="G753" i="4" a="1"/>
  <c r="G753" i="4" s="1"/>
  <c r="F721" i="4" a="1"/>
  <c r="F721" i="4" s="1"/>
  <c r="E721" i="4"/>
  <c r="F706" i="4" a="1"/>
  <c r="F706" i="4" s="1"/>
  <c r="E706" i="4"/>
  <c r="E696" i="4"/>
  <c r="F696" i="4" a="1"/>
  <c r="F696" i="4" s="1"/>
  <c r="F666" i="4" a="1"/>
  <c r="F666" i="4" s="1"/>
  <c r="E666" i="4"/>
  <c r="G666" i="4" a="1"/>
  <c r="G666" i="4" s="1"/>
  <c r="F651" i="4" a="1"/>
  <c r="F651" i="4" s="1"/>
  <c r="G651" i="4" a="1"/>
  <c r="G651" i="4" s="1"/>
  <c r="F643" i="4" a="1"/>
  <c r="F643" i="4" s="1"/>
  <c r="E643" i="4"/>
  <c r="G643" i="4" a="1"/>
  <c r="G643" i="4" s="1"/>
  <c r="E572" i="4"/>
  <c r="F572" i="4" a="1"/>
  <c r="F572" i="4" s="1"/>
  <c r="G572" i="4" a="1"/>
  <c r="G572" i="4" s="1"/>
  <c r="F510" i="4" a="1"/>
  <c r="F510" i="4" s="1"/>
  <c r="E510" i="4"/>
  <c r="G510" i="4" a="1"/>
  <c r="G510" i="4" s="1"/>
  <c r="G487" i="4" a="1"/>
  <c r="G487" i="4" s="1"/>
  <c r="E487" i="4"/>
  <c r="F487" i="4" a="1"/>
  <c r="F487" i="4" s="1"/>
  <c r="F927" i="4" a="1"/>
  <c r="F927" i="4" s="1"/>
  <c r="G927" i="4" a="1"/>
  <c r="G927" i="4" s="1"/>
  <c r="G924" i="4" a="1"/>
  <c r="G924" i="4" s="1"/>
  <c r="G906" i="4" a="1"/>
  <c r="G906" i="4" s="1"/>
  <c r="F893" i="4" a="1"/>
  <c r="F893" i="4" s="1"/>
  <c r="E893" i="4"/>
  <c r="G888" i="4" a="1"/>
  <c r="G888" i="4" s="1"/>
  <c r="G879" i="4" a="1"/>
  <c r="G879" i="4" s="1"/>
  <c r="F874" i="4" a="1"/>
  <c r="F874" i="4" s="1"/>
  <c r="F856" i="4" a="1"/>
  <c r="F856" i="4" s="1"/>
  <c r="F845" i="4" a="1"/>
  <c r="F845" i="4" s="1"/>
  <c r="E845" i="4"/>
  <c r="G840" i="4" a="1"/>
  <c r="G840" i="4" s="1"/>
  <c r="F833" i="4" a="1"/>
  <c r="F833" i="4" s="1"/>
  <c r="G833" i="4" a="1"/>
  <c r="G833" i="4" s="1"/>
  <c r="G824" i="4" a="1"/>
  <c r="G824" i="4" s="1"/>
  <c r="F798" i="4" a="1"/>
  <c r="F798" i="4" s="1"/>
  <c r="E798" i="4"/>
  <c r="E772" i="4"/>
  <c r="G772" i="4" a="1"/>
  <c r="G772" i="4" s="1"/>
  <c r="G756" i="4" a="1"/>
  <c r="G756" i="4" s="1"/>
  <c r="F756" i="4" a="1"/>
  <c r="F756" i="4" s="1"/>
  <c r="F747" i="4" a="1"/>
  <c r="F747" i="4" s="1"/>
  <c r="E747" i="4"/>
  <c r="F724" i="4" a="1"/>
  <c r="F724" i="4" s="1"/>
  <c r="E724" i="4"/>
  <c r="F700" i="4" a="1"/>
  <c r="F700" i="4" s="1"/>
  <c r="E700" i="4"/>
  <c r="G700" i="4" a="1"/>
  <c r="G700" i="4" s="1"/>
  <c r="F686" i="4" a="1"/>
  <c r="F686" i="4" s="1"/>
  <c r="F642" i="4" a="1"/>
  <c r="F642" i="4" s="1"/>
  <c r="E642" i="4"/>
  <c r="G642" i="4" a="1"/>
  <c r="G642" i="4" s="1"/>
  <c r="F502" i="4" a="1"/>
  <c r="F502" i="4" s="1"/>
  <c r="E502" i="4"/>
  <c r="G502" i="4" a="1"/>
  <c r="G502" i="4" s="1"/>
  <c r="G481" i="4" a="1"/>
  <c r="G481" i="4" s="1"/>
  <c r="F481" i="4" a="1"/>
  <c r="F481" i="4" s="1"/>
  <c r="E768" i="4"/>
  <c r="F768" i="4" a="1"/>
  <c r="F768" i="4" s="1"/>
  <c r="F765" i="4" a="1"/>
  <c r="F765" i="4" s="1"/>
  <c r="G765" i="4" a="1"/>
  <c r="G765" i="4" s="1"/>
  <c r="F720" i="4" a="1"/>
  <c r="F720" i="4" s="1"/>
  <c r="G720" i="4" a="1"/>
  <c r="G720" i="4" s="1"/>
  <c r="F508" i="4" a="1"/>
  <c r="F508" i="4" s="1"/>
  <c r="E508" i="4"/>
  <c r="G508" i="4" a="1"/>
  <c r="G508" i="4" s="1"/>
  <c r="F919" i="4" a="1"/>
  <c r="F919" i="4" s="1"/>
  <c r="E919" i="4"/>
  <c r="F901" i="4" a="1"/>
  <c r="F901" i="4" s="1"/>
  <c r="E901" i="4"/>
  <c r="F865" i="4" a="1"/>
  <c r="F865" i="4" s="1"/>
  <c r="E865" i="4"/>
  <c r="G834" i="4" a="1"/>
  <c r="G834" i="4" s="1"/>
  <c r="G830" i="4" a="1"/>
  <c r="G830" i="4" s="1"/>
  <c r="G800" i="4" a="1"/>
  <c r="G800" i="4" s="1"/>
  <c r="E800" i="4"/>
  <c r="F784" i="4" a="1"/>
  <c r="F784" i="4" s="1"/>
  <c r="G784" i="4" a="1"/>
  <c r="G784" i="4" s="1"/>
  <c r="F746" i="4" a="1"/>
  <c r="F746" i="4" s="1"/>
  <c r="E746" i="4"/>
  <c r="F699" i="4" a="1"/>
  <c r="F699" i="4" s="1"/>
  <c r="G699" i="4" a="1"/>
  <c r="G699" i="4" s="1"/>
  <c r="E694" i="4"/>
  <c r="G694" i="4" a="1"/>
  <c r="G694" i="4" s="1"/>
  <c r="F694" i="4" a="1"/>
  <c r="F694" i="4" s="1"/>
  <c r="F676" i="4" a="1"/>
  <c r="F676" i="4" s="1"/>
  <c r="E676" i="4"/>
  <c r="E640" i="4"/>
  <c r="F640" i="4" a="1"/>
  <c r="F640" i="4" s="1"/>
  <c r="G640" i="4" a="1"/>
  <c r="G640" i="4" s="1"/>
  <c r="E516" i="4"/>
  <c r="F516" i="4" a="1"/>
  <c r="F516" i="4" s="1"/>
  <c r="G516" i="4" a="1"/>
  <c r="G516" i="4" s="1"/>
  <c r="F500" i="4" a="1"/>
  <c r="F500" i="4" s="1"/>
  <c r="E500" i="4"/>
  <c r="G500" i="4" a="1"/>
  <c r="G500" i="4" s="1"/>
  <c r="G939" i="4" a="1"/>
  <c r="G939" i="4" s="1"/>
  <c r="G916" i="4" a="1"/>
  <c r="G916" i="4" s="1"/>
  <c r="G878" i="4" a="1"/>
  <c r="G878" i="4" s="1"/>
  <c r="F869" i="4" a="1"/>
  <c r="F869" i="4" s="1"/>
  <c r="G869" i="4" a="1"/>
  <c r="G869" i="4" s="1"/>
  <c r="F836" i="4" a="1"/>
  <c r="F836" i="4" s="1"/>
  <c r="F834" i="4" a="1"/>
  <c r="F834" i="4" s="1"/>
  <c r="F830" i="4" a="1"/>
  <c r="F830" i="4" s="1"/>
  <c r="F807" i="4" a="1"/>
  <c r="F807" i="4" s="1"/>
  <c r="E807" i="4"/>
  <c r="E794" i="4"/>
  <c r="F794" i="4" a="1"/>
  <c r="F794" i="4" s="1"/>
  <c r="F770" i="4" a="1"/>
  <c r="F770" i="4" s="1"/>
  <c r="E770" i="4"/>
  <c r="F764" i="4" a="1"/>
  <c r="F764" i="4" s="1"/>
  <c r="E764" i="4"/>
  <c r="G760" i="4" a="1"/>
  <c r="G760" i="4" s="1"/>
  <c r="E754" i="4"/>
  <c r="F754" i="4" a="1"/>
  <c r="F754" i="4" s="1"/>
  <c r="E740" i="4"/>
  <c r="G740" i="4" a="1"/>
  <c r="G740" i="4" s="1"/>
  <c r="E670" i="4"/>
  <c r="G670" i="4" a="1"/>
  <c r="G670" i="4" s="1"/>
  <c r="G443" i="4" a="1"/>
  <c r="G443" i="4" s="1"/>
  <c r="E443" i="4"/>
  <c r="F443" i="4" a="1"/>
  <c r="F443" i="4" s="1"/>
  <c r="E939" i="4"/>
  <c r="G925" i="4" a="1"/>
  <c r="G925" i="4" s="1"/>
  <c r="F916" i="4" a="1"/>
  <c r="F916" i="4" s="1"/>
  <c r="E878" i="4"/>
  <c r="G875" i="4" a="1"/>
  <c r="G875" i="4" s="1"/>
  <c r="G857" i="4" a="1"/>
  <c r="G857" i="4" s="1"/>
  <c r="F855" i="4" a="1"/>
  <c r="F855" i="4" s="1"/>
  <c r="E855" i="4"/>
  <c r="G841" i="4" a="1"/>
  <c r="G841" i="4" s="1"/>
  <c r="E836" i="4"/>
  <c r="G827" i="4" a="1"/>
  <c r="G827" i="4" s="1"/>
  <c r="E825" i="4"/>
  <c r="G804" i="4" a="1"/>
  <c r="G804" i="4" s="1"/>
  <c r="E802" i="4"/>
  <c r="F799" i="4" a="1"/>
  <c r="F799" i="4" s="1"/>
  <c r="G799" i="4" a="1"/>
  <c r="G799" i="4" s="1"/>
  <c r="E788" i="4"/>
  <c r="F782" i="4" a="1"/>
  <c r="F782" i="4" s="1"/>
  <c r="G769" i="4" a="1"/>
  <c r="G769" i="4" s="1"/>
  <c r="F766" i="4" a="1"/>
  <c r="F766" i="4" s="1"/>
  <c r="F760" i="4" a="1"/>
  <c r="F760" i="4" s="1"/>
  <c r="E753" i="4"/>
  <c r="F751" i="4" a="1"/>
  <c r="F751" i="4" s="1"/>
  <c r="G751" i="4" a="1"/>
  <c r="G751" i="4" s="1"/>
  <c r="F734" i="4" a="1"/>
  <c r="F734" i="4" s="1"/>
  <c r="G734" i="4" a="1"/>
  <c r="G734" i="4" s="1"/>
  <c r="E734" i="4"/>
  <c r="G721" i="4" a="1"/>
  <c r="G721" i="4" s="1"/>
  <c r="F718" i="4" a="1"/>
  <c r="F718" i="4" s="1"/>
  <c r="G718" i="4" a="1"/>
  <c r="G718" i="4" s="1"/>
  <c r="G706" i="4" a="1"/>
  <c r="G706" i="4" s="1"/>
  <c r="G696" i="4" a="1"/>
  <c r="G696" i="4" s="1"/>
  <c r="G672" i="4" a="1"/>
  <c r="G672" i="4" s="1"/>
  <c r="E651" i="4"/>
  <c r="F627" i="4" a="1"/>
  <c r="F627" i="4" s="1"/>
  <c r="G627" i="4" a="1"/>
  <c r="G627" i="4" s="1"/>
  <c r="E627" i="4"/>
  <c r="E580" i="4"/>
  <c r="F580" i="4" a="1"/>
  <c r="F580" i="4" s="1"/>
  <c r="G580" i="4" a="1"/>
  <c r="G580" i="4" s="1"/>
  <c r="G529" i="4" a="1"/>
  <c r="G529" i="4" s="1"/>
  <c r="F529" i="4" a="1"/>
  <c r="F529" i="4" s="1"/>
  <c r="E418" i="4"/>
  <c r="F418" i="4" a="1"/>
  <c r="F418" i="4" s="1"/>
  <c r="G418" i="4" a="1"/>
  <c r="G418" i="4" s="1"/>
  <c r="F748" i="4" a="1"/>
  <c r="F748" i="4" s="1"/>
  <c r="E748" i="4"/>
  <c r="F745" i="4" a="1"/>
  <c r="F745" i="4" s="1"/>
  <c r="G745" i="4" a="1"/>
  <c r="G745" i="4" s="1"/>
  <c r="E722" i="4"/>
  <c r="F722" i="4" a="1"/>
  <c r="F722" i="4" s="1"/>
  <c r="F719" i="4" a="1"/>
  <c r="F719" i="4" s="1"/>
  <c r="G719" i="4" a="1"/>
  <c r="G719" i="4" s="1"/>
  <c r="F675" i="4" a="1"/>
  <c r="F675" i="4" s="1"/>
  <c r="G675" i="4" a="1"/>
  <c r="G675" i="4" s="1"/>
  <c r="F652" i="4" a="1"/>
  <c r="F652" i="4" s="1"/>
  <c r="E652" i="4"/>
  <c r="F585" i="4" a="1"/>
  <c r="F585" i="4" s="1"/>
  <c r="E585" i="4"/>
  <c r="G585" i="4" a="1"/>
  <c r="G585" i="4" s="1"/>
  <c r="G565" i="4" a="1"/>
  <c r="G565" i="4" s="1"/>
  <c r="F565" i="4" a="1"/>
  <c r="F565" i="4" s="1"/>
  <c r="E478" i="4"/>
  <c r="F478" i="4" a="1"/>
  <c r="F478" i="4" s="1"/>
  <c r="G463" i="4" a="1"/>
  <c r="G463" i="4" s="1"/>
  <c r="E463" i="4"/>
  <c r="F463" i="4" a="1"/>
  <c r="F463" i="4" s="1"/>
  <c r="G400" i="4" a="1"/>
  <c r="G400" i="4" s="1"/>
  <c r="E400" i="4"/>
  <c r="F400" i="4" a="1"/>
  <c r="F400" i="4" s="1"/>
  <c r="F628" i="4" a="1"/>
  <c r="F628" i="4" s="1"/>
  <c r="E628" i="4"/>
  <c r="E608" i="4"/>
  <c r="F608" i="4" a="1"/>
  <c r="F608" i="4" s="1"/>
  <c r="E602" i="4"/>
  <c r="F602" i="4" a="1"/>
  <c r="F602" i="4" s="1"/>
  <c r="G571" i="4" a="1"/>
  <c r="G571" i="4" s="1"/>
  <c r="E571" i="4"/>
  <c r="F571" i="4" a="1"/>
  <c r="F571" i="4" s="1"/>
  <c r="E534" i="4"/>
  <c r="F534" i="4" a="1"/>
  <c r="F534" i="4" s="1"/>
  <c r="E526" i="4"/>
  <c r="F526" i="4" a="1"/>
  <c r="F526" i="4" s="1"/>
  <c r="E488" i="4"/>
  <c r="F488" i="4" a="1"/>
  <c r="F488" i="4" s="1"/>
  <c r="E456" i="4"/>
  <c r="F456" i="4" a="1"/>
  <c r="F456" i="4" s="1"/>
  <c r="E444" i="4"/>
  <c r="F444" i="4" a="1"/>
  <c r="F444" i="4" s="1"/>
  <c r="F708" i="4" a="1"/>
  <c r="F708" i="4" s="1"/>
  <c r="E708" i="4"/>
  <c r="F705" i="4" a="1"/>
  <c r="F705" i="4" s="1"/>
  <c r="G705" i="4" a="1"/>
  <c r="G705" i="4" s="1"/>
  <c r="F703" i="4" a="1"/>
  <c r="F703" i="4" s="1"/>
  <c r="G703" i="4" a="1"/>
  <c r="G703" i="4" s="1"/>
  <c r="F667" i="4" a="1"/>
  <c r="F667" i="4" s="1"/>
  <c r="E667" i="4"/>
  <c r="E664" i="4"/>
  <c r="F664" i="4" a="1"/>
  <c r="F664" i="4" s="1"/>
  <c r="E586" i="4"/>
  <c r="F586" i="4" a="1"/>
  <c r="F586" i="4" s="1"/>
  <c r="G553" i="4" a="1"/>
  <c r="G553" i="4" s="1"/>
  <c r="F553" i="4" a="1"/>
  <c r="F553" i="4" s="1"/>
  <c r="G515" i="4" a="1"/>
  <c r="G515" i="4" s="1"/>
  <c r="E515" i="4"/>
  <c r="F515" i="4" a="1"/>
  <c r="F515" i="4" s="1"/>
  <c r="E506" i="4"/>
  <c r="F506" i="4" a="1"/>
  <c r="F506" i="4" s="1"/>
  <c r="E498" i="4"/>
  <c r="F498" i="4" a="1"/>
  <c r="F498" i="4" s="1"/>
  <c r="E464" i="4"/>
  <c r="F464" i="4" a="1"/>
  <c r="F464" i="4" s="1"/>
  <c r="F438" i="4" a="1"/>
  <c r="F438" i="4" s="1"/>
  <c r="E438" i="4"/>
  <c r="E430" i="4"/>
  <c r="F430" i="4" a="1"/>
  <c r="F430" i="4" s="1"/>
  <c r="G430" i="4" a="1"/>
  <c r="G430" i="4" s="1"/>
  <c r="F733" i="4" a="1"/>
  <c r="F733" i="4" s="1"/>
  <c r="G733" i="4" a="1"/>
  <c r="G733" i="4" s="1"/>
  <c r="F717" i="4" a="1"/>
  <c r="F717" i="4" s="1"/>
  <c r="G717" i="4" a="1"/>
  <c r="G717" i="4" s="1"/>
  <c r="F689" i="4" a="1"/>
  <c r="F689" i="4" s="1"/>
  <c r="G689" i="4" a="1"/>
  <c r="G689" i="4" s="1"/>
  <c r="G616" i="4" a="1"/>
  <c r="G616" i="4" s="1"/>
  <c r="G614" i="4" a="1"/>
  <c r="G614" i="4" s="1"/>
  <c r="G592" i="4" a="1"/>
  <c r="G592" i="4" s="1"/>
  <c r="G590" i="4" a="1"/>
  <c r="G590" i="4" s="1"/>
  <c r="G588" i="4" a="1"/>
  <c r="G588" i="4" s="1"/>
  <c r="G574" i="4" a="1"/>
  <c r="G574" i="4" s="1"/>
  <c r="G566" i="4" a="1"/>
  <c r="G566" i="4" s="1"/>
  <c r="G564" i="4" a="1"/>
  <c r="G564" i="4" s="1"/>
  <c r="G563" i="4" a="1"/>
  <c r="G563" i="4" s="1"/>
  <c r="F563" i="4" a="1"/>
  <c r="F563" i="4" s="1"/>
  <c r="G520" i="4" a="1"/>
  <c r="G520" i="4" s="1"/>
  <c r="G514" i="4" a="1"/>
  <c r="G514" i="4" s="1"/>
  <c r="G512" i="4" a="1"/>
  <c r="G512" i="4" s="1"/>
  <c r="G511" i="4" a="1"/>
  <c r="G511" i="4" s="1"/>
  <c r="E511" i="4"/>
  <c r="G494" i="4" a="1"/>
  <c r="G494" i="4" s="1"/>
  <c r="G493" i="4" a="1"/>
  <c r="G493" i="4" s="1"/>
  <c r="F493" i="4" a="1"/>
  <c r="F493" i="4" s="1"/>
  <c r="G490" i="4" a="1"/>
  <c r="G490" i="4" s="1"/>
  <c r="G474" i="4" a="1"/>
  <c r="G474" i="4" s="1"/>
  <c r="G473" i="4" a="1"/>
  <c r="G473" i="4" s="1"/>
  <c r="F473" i="4" a="1"/>
  <c r="F473" i="4" s="1"/>
  <c r="G462" i="4" a="1"/>
  <c r="G462" i="4" s="1"/>
  <c r="G460" i="4" a="1"/>
  <c r="G460" i="4" s="1"/>
  <c r="G458" i="4" a="1"/>
  <c r="G458" i="4" s="1"/>
  <c r="E436" i="4"/>
  <c r="F436" i="4" a="1"/>
  <c r="F436" i="4" s="1"/>
  <c r="E428" i="4"/>
  <c r="F428" i="4" a="1"/>
  <c r="F428" i="4" s="1"/>
  <c r="E416" i="4"/>
  <c r="F416" i="4" a="1"/>
  <c r="F416" i="4" s="1"/>
  <c r="F381" i="4" a="1"/>
  <c r="F381" i="4" s="1"/>
  <c r="E381" i="4"/>
  <c r="G381" i="4" a="1"/>
  <c r="G381" i="4" s="1"/>
  <c r="F619" i="4" a="1"/>
  <c r="F619" i="4" s="1"/>
  <c r="G619" i="4" a="1"/>
  <c r="G619" i="4" s="1"/>
  <c r="F595" i="4" a="1"/>
  <c r="F595" i="4" s="1"/>
  <c r="G595" i="4" a="1"/>
  <c r="G595" i="4" s="1"/>
  <c r="G569" i="4" a="1"/>
  <c r="G569" i="4" s="1"/>
  <c r="F569" i="4" a="1"/>
  <c r="F569" i="4" s="1"/>
  <c r="G559" i="4" a="1"/>
  <c r="G559" i="4" s="1"/>
  <c r="F559" i="4" a="1"/>
  <c r="F559" i="4" s="1"/>
  <c r="G551" i="4" a="1"/>
  <c r="G551" i="4" s="1"/>
  <c r="F551" i="4" a="1"/>
  <c r="F551" i="4" s="1"/>
  <c r="G541" i="4" a="1"/>
  <c r="G541" i="4" s="1"/>
  <c r="F541" i="4" a="1"/>
  <c r="F541" i="4" s="1"/>
  <c r="G503" i="4" a="1"/>
  <c r="G503" i="4" s="1"/>
  <c r="E503" i="4"/>
  <c r="G469" i="4" a="1"/>
  <c r="G469" i="4" s="1"/>
  <c r="F469" i="4" a="1"/>
  <c r="F469" i="4" s="1"/>
  <c r="G455" i="4" a="1"/>
  <c r="G455" i="4" s="1"/>
  <c r="F455" i="4" a="1"/>
  <c r="F455" i="4" s="1"/>
  <c r="G439" i="4" a="1"/>
  <c r="G439" i="4" s="1"/>
  <c r="E439" i="4"/>
  <c r="E420" i="4"/>
  <c r="F420" i="4" a="1"/>
  <c r="F420" i="4" s="1"/>
  <c r="E412" i="4"/>
  <c r="F412" i="4" a="1"/>
  <c r="F412" i="4" s="1"/>
  <c r="F399" i="4" a="1"/>
  <c r="F399" i="4" s="1"/>
  <c r="E399" i="4"/>
  <c r="G399" i="4" a="1"/>
  <c r="G399" i="4" s="1"/>
  <c r="G374" i="4" a="1"/>
  <c r="G374" i="4" s="1"/>
  <c r="F374" i="4" a="1"/>
  <c r="F374" i="4" s="1"/>
  <c r="E374" i="4"/>
  <c r="F365" i="4" a="1"/>
  <c r="F365" i="4" s="1"/>
  <c r="E365" i="4"/>
  <c r="G365" i="4" a="1"/>
  <c r="G365" i="4" s="1"/>
  <c r="E426" i="4"/>
  <c r="F426" i="4" a="1"/>
  <c r="F426" i="4" s="1"/>
  <c r="E422" i="4"/>
  <c r="F422" i="4" a="1"/>
  <c r="F422" i="4" s="1"/>
  <c r="E414" i="4"/>
  <c r="F414" i="4" a="1"/>
  <c r="F414" i="4" s="1"/>
  <c r="G384" i="4" a="1"/>
  <c r="G384" i="4" s="1"/>
  <c r="F384" i="4" a="1"/>
  <c r="F384" i="4" s="1"/>
  <c r="E384" i="4"/>
  <c r="E437" i="4"/>
  <c r="E431" i="4"/>
  <c r="E423" i="4"/>
  <c r="E413" i="4"/>
  <c r="G390" i="4" a="1"/>
  <c r="G390" i="4" s="1"/>
  <c r="E390" i="4"/>
  <c r="F387" i="4" a="1"/>
  <c r="F387" i="4" s="1"/>
  <c r="E387" i="4"/>
  <c r="F379" i="4" a="1"/>
  <c r="F379" i="4" s="1"/>
  <c r="E379" i="4"/>
  <c r="F369" i="4" a="1"/>
  <c r="F369" i="4" s="1"/>
  <c r="E369" i="4"/>
  <c r="G351" i="4" a="1"/>
  <c r="G351" i="4" s="1"/>
  <c r="E351" i="4"/>
  <c r="F346" i="4" a="1"/>
  <c r="F346" i="4" s="1"/>
  <c r="E346" i="4"/>
  <c r="G401" i="4" a="1"/>
  <c r="G401" i="4" s="1"/>
  <c r="G397" i="4" a="1"/>
  <c r="G397" i="4" s="1"/>
  <c r="F385" i="4" a="1"/>
  <c r="F385" i="4" s="1"/>
  <c r="E385" i="4"/>
  <c r="F375" i="4" a="1"/>
  <c r="F375" i="4" s="1"/>
  <c r="E375" i="4"/>
  <c r="F367" i="4" a="1"/>
  <c r="F367" i="4" s="1"/>
  <c r="E367" i="4"/>
  <c r="G352" i="4" a="1"/>
  <c r="G352" i="4" s="1"/>
  <c r="E344" i="4"/>
  <c r="F338" i="4" a="1"/>
  <c r="F338" i="4" s="1"/>
  <c r="E337" i="4"/>
  <c r="F335" i="4" a="1"/>
  <c r="F335" i="4" s="1"/>
  <c r="E328" i="4"/>
  <c r="F318" i="4" a="1"/>
  <c r="F318" i="4" s="1"/>
  <c r="E317" i="4"/>
  <c r="E316" i="4"/>
  <c r="E314" i="4"/>
  <c r="E299" i="4"/>
  <c r="E298" i="4"/>
  <c r="G295" i="4" a="1"/>
  <c r="G295" i="4" s="1"/>
  <c r="F294" i="4" a="1"/>
  <c r="F294" i="4" s="1"/>
  <c r="E293" i="4"/>
  <c r="F292" i="4" a="1"/>
  <c r="F292" i="4" s="1"/>
  <c r="G288" i="4" a="1"/>
  <c r="G288" i="4" s="1"/>
  <c r="G287" i="4" a="1"/>
  <c r="G287" i="4" s="1"/>
  <c r="G281" i="4" a="1"/>
  <c r="G281" i="4" s="1"/>
  <c r="E275" i="4"/>
  <c r="F264" i="4" a="1"/>
  <c r="F264" i="4" s="1"/>
  <c r="E259" i="4"/>
  <c r="G258" i="4" a="1"/>
  <c r="G258" i="4" s="1"/>
  <c r="F258" i="4" a="1"/>
  <c r="F258" i="4" s="1"/>
  <c r="F251" i="4" a="1"/>
  <c r="F251" i="4" s="1"/>
  <c r="E251" i="4"/>
  <c r="G246" i="4" a="1"/>
  <c r="G246" i="4" s="1"/>
  <c r="F221" i="4" a="1"/>
  <c r="F221" i="4" s="1"/>
  <c r="G217" i="4" a="1"/>
  <c r="G217" i="4" s="1"/>
  <c r="F213" i="4" a="1"/>
  <c r="F213" i="4" s="1"/>
  <c r="E212" i="4"/>
  <c r="G210" i="4" a="1"/>
  <c r="G210" i="4" s="1"/>
  <c r="G208" i="4" a="1"/>
  <c r="G208" i="4" s="1"/>
  <c r="G207" i="4" a="1"/>
  <c r="G207" i="4" s="1"/>
  <c r="F201" i="4" a="1"/>
  <c r="F201" i="4" s="1"/>
  <c r="E193" i="4"/>
  <c r="G191" i="4" a="1"/>
  <c r="G191" i="4" s="1"/>
  <c r="E189" i="4"/>
  <c r="G187" i="4" a="1"/>
  <c r="G187" i="4" s="1"/>
  <c r="F185" i="4" a="1"/>
  <c r="F185" i="4" s="1"/>
  <c r="E184" i="4"/>
  <c r="G181" i="4" a="1"/>
  <c r="G181" i="4" s="1"/>
  <c r="F179" i="4" a="1"/>
  <c r="F179" i="4" s="1"/>
  <c r="F178" i="4" a="1"/>
  <c r="F178" i="4" s="1"/>
  <c r="E178" i="4"/>
  <c r="E163" i="4"/>
  <c r="F163" i="4" a="1"/>
  <c r="F163" i="4" s="1"/>
  <c r="E161" i="4"/>
  <c r="F161" i="4" a="1"/>
  <c r="F161" i="4" s="1"/>
  <c r="F150" i="4" a="1"/>
  <c r="F150" i="4" s="1"/>
  <c r="G150" i="4" a="1"/>
  <c r="G150" i="4" s="1"/>
  <c r="E341" i="4"/>
  <c r="E335" i="4"/>
  <c r="E325" i="4"/>
  <c r="F296" i="4" a="1"/>
  <c r="F296" i="4" s="1"/>
  <c r="F288" i="4" a="1"/>
  <c r="F288" i="4" s="1"/>
  <c r="F276" i="4" a="1"/>
  <c r="F276" i="4" s="1"/>
  <c r="G273" i="4" a="1"/>
  <c r="G273" i="4" s="1"/>
  <c r="E269" i="4"/>
  <c r="E267" i="4"/>
  <c r="E252" i="4"/>
  <c r="F252" i="4" a="1"/>
  <c r="F252" i="4" s="1"/>
  <c r="F246" i="4" a="1"/>
  <c r="F246" i="4" s="1"/>
  <c r="F245" i="4" a="1"/>
  <c r="F245" i="4" s="1"/>
  <c r="E245" i="4"/>
  <c r="F243" i="4" a="1"/>
  <c r="F243" i="4" s="1"/>
  <c r="G243" i="4" a="1"/>
  <c r="G243" i="4" s="1"/>
  <c r="F235" i="4" a="1"/>
  <c r="F235" i="4" s="1"/>
  <c r="G235" i="4" a="1"/>
  <c r="G235" i="4" s="1"/>
  <c r="F231" i="4" a="1"/>
  <c r="F231" i="4" s="1"/>
  <c r="E231" i="4"/>
  <c r="F217" i="4" a="1"/>
  <c r="F217" i="4" s="1"/>
  <c r="F208" i="4" a="1"/>
  <c r="F208" i="4" s="1"/>
  <c r="E207" i="4"/>
  <c r="F206" i="4" a="1"/>
  <c r="F206" i="4" s="1"/>
  <c r="G206" i="4" a="1"/>
  <c r="G206" i="4" s="1"/>
  <c r="F194" i="4" a="1"/>
  <c r="F194" i="4" s="1"/>
  <c r="E194" i="4"/>
  <c r="F191" i="4" a="1"/>
  <c r="F191" i="4" s="1"/>
  <c r="E190" i="4"/>
  <c r="F190" i="4" a="1"/>
  <c r="F190" i="4" s="1"/>
  <c r="F187" i="4" a="1"/>
  <c r="F187" i="4" s="1"/>
  <c r="F181" i="4" a="1"/>
  <c r="F181" i="4" s="1"/>
  <c r="F160" i="4" a="1"/>
  <c r="F160" i="4" s="1"/>
  <c r="E160" i="4"/>
  <c r="G160" i="4" a="1"/>
  <c r="G160" i="4" s="1"/>
  <c r="F257" i="4" a="1"/>
  <c r="F257" i="4" s="1"/>
  <c r="G257" i="4" a="1"/>
  <c r="G257" i="4" s="1"/>
  <c r="F255" i="4" a="1"/>
  <c r="F255" i="4" s="1"/>
  <c r="E255" i="4"/>
  <c r="G236" i="4" a="1"/>
  <c r="G236" i="4" s="1"/>
  <c r="F236" i="4" a="1"/>
  <c r="F236" i="4" s="1"/>
  <c r="F176" i="4" a="1"/>
  <c r="F176" i="4" s="1"/>
  <c r="G176" i="4" a="1"/>
  <c r="G176" i="4" s="1"/>
  <c r="E157" i="4"/>
  <c r="F157" i="4" a="1"/>
  <c r="F157" i="4" s="1"/>
  <c r="E155" i="4"/>
  <c r="G155" i="4" a="1"/>
  <c r="G155" i="4" s="1"/>
  <c r="F155" i="4" a="1"/>
  <c r="F155" i="4" s="1"/>
  <c r="E153" i="4"/>
  <c r="F153" i="4" a="1"/>
  <c r="F153" i="4" s="1"/>
  <c r="E151" i="4"/>
  <c r="F151" i="4" a="1"/>
  <c r="F151" i="4" s="1"/>
  <c r="G110" i="4" a="1"/>
  <c r="G110" i="4" s="1"/>
  <c r="G99" i="4" a="1"/>
  <c r="G99" i="4" s="1"/>
  <c r="E99" i="4"/>
  <c r="E95" i="4"/>
  <c r="E87" i="4"/>
  <c r="E85" i="4"/>
  <c r="E84" i="4"/>
  <c r="E81" i="4"/>
  <c r="E79" i="4"/>
  <c r="E77" i="4"/>
  <c r="E76" i="4"/>
  <c r="F71" i="4" a="1"/>
  <c r="F71" i="4" s="1"/>
  <c r="F67" i="4" a="1"/>
  <c r="F67" i="4" s="1"/>
  <c r="F63" i="4" a="1"/>
  <c r="F63" i="4" s="1"/>
  <c r="G62" i="4" a="1"/>
  <c r="G62" i="4" s="1"/>
  <c r="F61" i="4" a="1"/>
  <c r="F61" i="4" s="1"/>
  <c r="F59" i="4" a="1"/>
  <c r="F59" i="4" s="1"/>
  <c r="E58" i="4"/>
  <c r="F57" i="4" a="1"/>
  <c r="F57" i="4" s="1"/>
  <c r="G56" i="4" a="1"/>
  <c r="G56" i="4" s="1"/>
  <c r="F55" i="4" a="1"/>
  <c r="F55" i="4" s="1"/>
  <c r="F49" i="4" a="1"/>
  <c r="F49" i="4" s="1"/>
  <c r="G48" i="4" a="1"/>
  <c r="G48" i="4" s="1"/>
  <c r="G165" i="4" a="1"/>
  <c r="G165" i="4" s="1"/>
  <c r="E164" i="4"/>
  <c r="E154" i="4"/>
  <c r="E136" i="4"/>
  <c r="F135" i="4" a="1"/>
  <c r="F135" i="4" s="1"/>
  <c r="G134" i="4" a="1"/>
  <c r="G134" i="4" s="1"/>
  <c r="F131" i="4" a="1"/>
  <c r="F131" i="4" s="1"/>
  <c r="F129" i="4" a="1"/>
  <c r="F129" i="4" s="1"/>
  <c r="F119" i="4" a="1"/>
  <c r="F119" i="4" s="1"/>
  <c r="E68" i="4"/>
  <c r="G67" i="4" a="1"/>
  <c r="G67" i="4" s="1"/>
  <c r="G63" i="4" a="1"/>
  <c r="G63" i="4" s="1"/>
  <c r="G59" i="4" a="1"/>
  <c r="G59" i="4" s="1"/>
  <c r="E52" i="4"/>
  <c r="E48" i="4"/>
  <c r="E134" i="4"/>
  <c r="E96" i="4"/>
  <c r="E92" i="4"/>
  <c r="G86" i="4" a="1"/>
  <c r="G86" i="4" s="1"/>
  <c r="G84" i="4" a="1"/>
  <c r="G84" i="4" s="1"/>
  <c r="G83" i="4" a="1"/>
  <c r="G83" i="4" s="1"/>
  <c r="E82" i="4"/>
  <c r="G80" i="4" a="1"/>
  <c r="G80" i="4" s="1"/>
  <c r="G78" i="4" a="1"/>
  <c r="G78" i="4" s="1"/>
  <c r="G76" i="4" a="1"/>
  <c r="G76" i="4" s="1"/>
  <c r="G75" i="4" a="1"/>
  <c r="G75" i="4" s="1"/>
  <c r="F966" i="4" a="1"/>
  <c r="F966" i="4" s="1"/>
  <c r="F964" i="4" a="1"/>
  <c r="F964" i="4" s="1"/>
  <c r="F960" i="4" a="1"/>
  <c r="F960" i="4" s="1"/>
  <c r="F956" i="4" a="1"/>
  <c r="F956" i="4" s="1"/>
  <c r="E973" i="4"/>
  <c r="E969" i="4"/>
  <c r="E967" i="4"/>
  <c r="G966" i="4" a="1"/>
  <c r="G966" i="4" s="1"/>
  <c r="E965" i="4"/>
  <c r="G964" i="4" a="1"/>
  <c r="G964" i="4" s="1"/>
  <c r="G960" i="4" a="1"/>
  <c r="G960" i="4" s="1"/>
  <c r="G956" i="4" a="1"/>
  <c r="G956" i="4" s="1"/>
  <c r="G977" i="4" a="1"/>
  <c r="G977" i="4" s="1"/>
  <c r="F977" i="4" a="1"/>
  <c r="F977" i="4" s="1"/>
  <c r="E977" i="4"/>
  <c r="G978" i="4" a="1"/>
  <c r="G978" i="4" s="1"/>
  <c r="F978" i="4" a="1"/>
  <c r="F978" i="4" s="1"/>
  <c r="E978" i="4"/>
  <c r="G979" i="4" a="1"/>
  <c r="G979" i="4" s="1"/>
  <c r="F979" i="4" a="1"/>
  <c r="F979" i="4" s="1"/>
  <c r="E979" i="4"/>
  <c r="G980" i="4" a="1"/>
  <c r="G980" i="4" s="1"/>
  <c r="F980" i="4" a="1"/>
  <c r="F980" i="4" s="1"/>
  <c r="E980" i="4"/>
  <c r="G981" i="4" a="1"/>
  <c r="G981" i="4" s="1"/>
  <c r="F981" i="4" a="1"/>
  <c r="F981" i="4" s="1"/>
  <c r="E981" i="4"/>
  <c r="G982" i="4" a="1"/>
  <c r="G982" i="4" s="1"/>
  <c r="F982" i="4" a="1"/>
  <c r="F982" i="4" s="1"/>
  <c r="E982" i="4"/>
  <c r="G983" i="4" a="1"/>
  <c r="G983" i="4" s="1"/>
  <c r="F983" i="4" a="1"/>
  <c r="F983" i="4" s="1"/>
  <c r="E983" i="4"/>
  <c r="G984" i="4" a="1"/>
  <c r="G984" i="4" s="1"/>
  <c r="F984" i="4" a="1"/>
  <c r="F984" i="4" s="1"/>
  <c r="E984" i="4"/>
  <c r="G985" i="4" a="1"/>
  <c r="G985" i="4" s="1"/>
  <c r="F985" i="4" a="1"/>
  <c r="F985" i="4" s="1"/>
  <c r="E985" i="4"/>
  <c r="G986" i="4" a="1"/>
  <c r="G986" i="4" s="1"/>
  <c r="F986" i="4" a="1"/>
  <c r="F986" i="4" s="1"/>
  <c r="E986" i="4"/>
  <c r="G987" i="4" a="1"/>
  <c r="G987" i="4" s="1"/>
  <c r="F987" i="4" a="1"/>
  <c r="F987" i="4" s="1"/>
  <c r="E987" i="4"/>
  <c r="G988" i="4" a="1"/>
  <c r="G988" i="4" s="1"/>
  <c r="F988" i="4" a="1"/>
  <c r="F988" i="4" s="1"/>
  <c r="E988" i="4"/>
  <c r="G989" i="4" a="1"/>
  <c r="G989" i="4" s="1"/>
  <c r="F989" i="4" a="1"/>
  <c r="F989" i="4" s="1"/>
  <c r="E989" i="4"/>
  <c r="G990" i="4" a="1"/>
  <c r="G990" i="4" s="1"/>
  <c r="F990" i="4" a="1"/>
  <c r="F990" i="4" s="1"/>
  <c r="E990" i="4"/>
  <c r="G991" i="4" a="1"/>
  <c r="G991" i="4" s="1"/>
  <c r="F991" i="4" a="1"/>
  <c r="F991" i="4" s="1"/>
  <c r="E991" i="4"/>
  <c r="G992" i="4" a="1"/>
  <c r="G992" i="4" s="1"/>
  <c r="F992" i="4" a="1"/>
  <c r="F992" i="4" s="1"/>
  <c r="E992" i="4"/>
  <c r="G993" i="4" a="1"/>
  <c r="G993" i="4" s="1"/>
  <c r="F993" i="4" a="1"/>
  <c r="F993" i="4" s="1"/>
  <c r="E993" i="4"/>
  <c r="G994" i="4" a="1"/>
  <c r="G994" i="4" s="1"/>
  <c r="F994" i="4" a="1"/>
  <c r="F994" i="4" s="1"/>
  <c r="E994" i="4"/>
  <c r="G995" i="4" a="1"/>
  <c r="G995" i="4" s="1"/>
  <c r="F995" i="4" a="1"/>
  <c r="F995" i="4" s="1"/>
  <c r="E995" i="4"/>
  <c r="G996" i="4" a="1"/>
  <c r="G996" i="4" s="1"/>
  <c r="F996" i="4" a="1"/>
  <c r="F996" i="4" s="1"/>
  <c r="E996" i="4"/>
  <c r="G997" i="4" a="1"/>
  <c r="G997" i="4" s="1"/>
  <c r="F997" i="4" a="1"/>
  <c r="F997" i="4" s="1"/>
  <c r="E997" i="4"/>
  <c r="G998" i="4" a="1"/>
  <c r="G998" i="4" s="1"/>
  <c r="F998" i="4" a="1"/>
  <c r="F998" i="4" s="1"/>
  <c r="E998" i="4"/>
  <c r="G999" i="4" a="1"/>
  <c r="G999" i="4" s="1"/>
  <c r="F999" i="4" a="1"/>
  <c r="F999" i="4" s="1"/>
  <c r="E999" i="4"/>
  <c r="G1000" i="4" a="1"/>
  <c r="G1000" i="4" s="1"/>
  <c r="F1000" i="4" a="1"/>
  <c r="F1000" i="4" s="1"/>
  <c r="E1000" i="4"/>
  <c r="G1001" i="4" a="1"/>
  <c r="G1001" i="4" s="1"/>
  <c r="F1001" i="4" a="1"/>
  <c r="F1001" i="4" s="1"/>
  <c r="E1001" i="4"/>
  <c r="G1002" i="4" a="1"/>
  <c r="G1002" i="4" s="1"/>
  <c r="F1002" i="4" a="1"/>
  <c r="F1002" i="4" s="1"/>
  <c r="E1002" i="4"/>
  <c r="G1003" i="4" a="1"/>
  <c r="G1003" i="4" s="1"/>
  <c r="F1003" i="4" a="1"/>
  <c r="F1003" i="4" s="1"/>
  <c r="E1003" i="4"/>
  <c r="G1004" i="4" a="1"/>
  <c r="G1004" i="4" s="1"/>
  <c r="F1004" i="4" a="1"/>
  <c r="F1004" i="4" s="1"/>
  <c r="E1004" i="4"/>
  <c r="G1005" i="4" a="1"/>
  <c r="G1005" i="4" s="1"/>
  <c r="F1005" i="4" a="1"/>
  <c r="F1005" i="4" s="1"/>
  <c r="E1005" i="4"/>
  <c r="G1006" i="4" a="1"/>
  <c r="G1006" i="4" s="1"/>
  <c r="F1006" i="4" a="1"/>
  <c r="F1006" i="4" s="1"/>
  <c r="E1006" i="4"/>
  <c r="G1007" i="4" a="1"/>
  <c r="G1007" i="4" s="1"/>
  <c r="F1007" i="4" a="1"/>
  <c r="F1007" i="4" s="1"/>
  <c r="E1007" i="4"/>
  <c r="G1008" i="4" a="1"/>
  <c r="G1008" i="4" s="1"/>
  <c r="F1008" i="4" a="1"/>
  <c r="F1008" i="4" s="1"/>
  <c r="E1008" i="4"/>
  <c r="G1009" i="4" a="1"/>
  <c r="G1009" i="4" s="1"/>
  <c r="F1009" i="4" a="1"/>
  <c r="F1009" i="4" s="1"/>
  <c r="E1009" i="4"/>
  <c r="G1010" i="4" a="1"/>
  <c r="G1010" i="4" s="1"/>
  <c r="F1010" i="4" a="1"/>
  <c r="F1010" i="4" s="1"/>
  <c r="E1010" i="4"/>
  <c r="G1011" i="4" a="1"/>
  <c r="G1011" i="4" s="1"/>
  <c r="F1011" i="4" a="1"/>
  <c r="F1011" i="4" s="1"/>
  <c r="E1011" i="4"/>
  <c r="G1012" i="4" a="1"/>
  <c r="G1012" i="4" s="1"/>
  <c r="F1012" i="4" a="1"/>
  <c r="F1012" i="4" s="1"/>
  <c r="E1012" i="4"/>
  <c r="G1013" i="4" a="1"/>
  <c r="G1013" i="4" s="1"/>
  <c r="F1013" i="4" a="1"/>
  <c r="F1013" i="4" s="1"/>
  <c r="E1013" i="4"/>
  <c r="G1014" i="4" a="1"/>
  <c r="G1014" i="4" s="1"/>
  <c r="F1014" i="4" a="1"/>
  <c r="F1014" i="4" s="1"/>
  <c r="E1014" i="4"/>
  <c r="G1015" i="4" a="1"/>
  <c r="G1015" i="4" s="1"/>
  <c r="F1015" i="4" a="1"/>
  <c r="F1015" i="4" s="1"/>
  <c r="E1015" i="4"/>
  <c r="G1016" i="4" a="1"/>
  <c r="G1016" i="4" s="1"/>
  <c r="F1016" i="4" a="1"/>
  <c r="F1016" i="4" s="1"/>
  <c r="E1016" i="4"/>
  <c r="G1017" i="4" a="1"/>
  <c r="G1017" i="4" s="1"/>
  <c r="F1017" i="4" a="1"/>
  <c r="F1017" i="4" s="1"/>
  <c r="E1017" i="4"/>
  <c r="G1018" i="4" a="1"/>
  <c r="G1018" i="4" s="1"/>
  <c r="F1018" i="4" a="1"/>
  <c r="F1018" i="4" s="1"/>
  <c r="E1018" i="4"/>
  <c r="G1019" i="4" a="1"/>
  <c r="G1019" i="4" s="1"/>
  <c r="F1019" i="4" a="1"/>
  <c r="F1019" i="4" s="1"/>
  <c r="E1019" i="4"/>
  <c r="G1020" i="4" a="1"/>
  <c r="G1020" i="4" s="1"/>
  <c r="F1020" i="4" a="1"/>
  <c r="F1020" i="4" s="1"/>
  <c r="E1020" i="4"/>
  <c r="G1021" i="4" a="1"/>
  <c r="G1021" i="4" s="1"/>
  <c r="F1021" i="4" a="1"/>
  <c r="F1021" i="4" s="1"/>
  <c r="E1021" i="4"/>
  <c r="G1022" i="4" a="1"/>
  <c r="G1022" i="4" s="1"/>
  <c r="F1022" i="4" a="1"/>
  <c r="F1022" i="4" s="1"/>
  <c r="E1022" i="4"/>
  <c r="G1023" i="4" a="1"/>
  <c r="G1023" i="4" s="1"/>
  <c r="F1023" i="4" a="1"/>
  <c r="F1023" i="4" s="1"/>
  <c r="E1023" i="4"/>
  <c r="G1024" i="4" a="1"/>
  <c r="G1024" i="4" s="1"/>
  <c r="F1024" i="4" a="1"/>
  <c r="F1024" i="4" s="1"/>
  <c r="E1024" i="4"/>
  <c r="G1025" i="4" a="1"/>
  <c r="G1025" i="4" s="1"/>
  <c r="F1025" i="4" a="1"/>
  <c r="F1025" i="4" s="1"/>
  <c r="E1025" i="4"/>
  <c r="G1026" i="4" a="1"/>
  <c r="G1026" i="4" s="1"/>
  <c r="F1026" i="4" a="1"/>
  <c r="F1026" i="4" s="1"/>
  <c r="E1026" i="4"/>
  <c r="G1027" i="4" a="1"/>
  <c r="G1027" i="4" s="1"/>
  <c r="F1027" i="4" a="1"/>
  <c r="F1027" i="4" s="1"/>
  <c r="E1027" i="4"/>
  <c r="G1028" i="4" a="1"/>
  <c r="G1028" i="4" s="1"/>
  <c r="F1028" i="4" a="1"/>
  <c r="F1028" i="4" s="1"/>
  <c r="E1028" i="4"/>
  <c r="G1029" i="4" a="1"/>
  <c r="G1029" i="4" s="1"/>
  <c r="F1029" i="4" a="1"/>
  <c r="F1029" i="4" s="1"/>
  <c r="E1029" i="4"/>
  <c r="G1030" i="4" a="1"/>
  <c r="G1030" i="4" s="1"/>
  <c r="F1030" i="4" a="1"/>
  <c r="F1030" i="4" s="1"/>
  <c r="E1030" i="4"/>
  <c r="G1031" i="4" a="1"/>
  <c r="G1031" i="4" s="1"/>
  <c r="F1031" i="4" a="1"/>
  <c r="F1031" i="4" s="1"/>
  <c r="E1031" i="4"/>
  <c r="G1032" i="4" a="1"/>
  <c r="G1032" i="4" s="1"/>
  <c r="F1032" i="4" a="1"/>
  <c r="F1032" i="4" s="1"/>
  <c r="E1032" i="4"/>
  <c r="G1033" i="4" a="1"/>
  <c r="G1033" i="4" s="1"/>
  <c r="F1033" i="4" a="1"/>
  <c r="F1033" i="4" s="1"/>
  <c r="E1033" i="4"/>
  <c r="G1034" i="4" a="1"/>
  <c r="G1034" i="4" s="1"/>
  <c r="F1034" i="4" a="1"/>
  <c r="F1034" i="4" s="1"/>
  <c r="E1034" i="4"/>
  <c r="G1035" i="4" a="1"/>
  <c r="G1035" i="4" s="1"/>
  <c r="F1035" i="4" a="1"/>
  <c r="F1035" i="4" s="1"/>
  <c r="E1035" i="4"/>
  <c r="G1036" i="4" a="1"/>
  <c r="G1036" i="4" s="1"/>
  <c r="F1036" i="4" a="1"/>
  <c r="F1036" i="4" s="1"/>
  <c r="E1036" i="4"/>
  <c r="G1037" i="4" a="1"/>
  <c r="G1037" i="4" s="1"/>
  <c r="F1037" i="4" a="1"/>
  <c r="F1037" i="4" s="1"/>
  <c r="E1037" i="4"/>
  <c r="G1038" i="4" a="1"/>
  <c r="G1038" i="4" s="1"/>
  <c r="F1038" i="4" a="1"/>
  <c r="F1038" i="4" s="1"/>
  <c r="E1038" i="4"/>
  <c r="G1039" i="4" a="1"/>
  <c r="G1039" i="4" s="1"/>
  <c r="F1039" i="4" a="1"/>
  <c r="F1039" i="4" s="1"/>
  <c r="E1039" i="4"/>
  <c r="G1040" i="4" a="1"/>
  <c r="G1040" i="4" s="1"/>
  <c r="F1040" i="4" a="1"/>
  <c r="F1040" i="4" s="1"/>
  <c r="E1040" i="4"/>
  <c r="G1041" i="4" a="1"/>
  <c r="G1041" i="4" s="1"/>
  <c r="F1041" i="4" a="1"/>
  <c r="F1041" i="4" s="1"/>
  <c r="E1041" i="4"/>
  <c r="G1042" i="4" a="1"/>
  <c r="G1042" i="4" s="1"/>
  <c r="F1042" i="4" a="1"/>
  <c r="F1042" i="4" s="1"/>
  <c r="E1042" i="4"/>
  <c r="G1043" i="4" a="1"/>
  <c r="G1043" i="4" s="1"/>
  <c r="F1043" i="4" a="1"/>
  <c r="F1043" i="4" s="1"/>
  <c r="E1043" i="4"/>
  <c r="G1044" i="4" a="1"/>
  <c r="G1044" i="4" s="1"/>
  <c r="F1044" i="4" a="1"/>
  <c r="F1044" i="4" s="1"/>
  <c r="E1044" i="4"/>
  <c r="G1045" i="4" a="1"/>
  <c r="G1045" i="4" s="1"/>
  <c r="F1045" i="4" a="1"/>
  <c r="F1045" i="4" s="1"/>
  <c r="E1045" i="4"/>
  <c r="G1046" i="4" a="1"/>
  <c r="G1046" i="4" s="1"/>
  <c r="F1046" i="4" a="1"/>
  <c r="F1046" i="4" s="1"/>
  <c r="E1046" i="4"/>
  <c r="G1047" i="4" a="1"/>
  <c r="G1047" i="4" s="1"/>
  <c r="F1047" i="4" a="1"/>
  <c r="F1047" i="4" s="1"/>
  <c r="E1047" i="4"/>
  <c r="G1048" i="4" a="1"/>
  <c r="G1048" i="4" s="1"/>
  <c r="F1048" i="4" a="1"/>
  <c r="F1048" i="4" s="1"/>
  <c r="E1048" i="4"/>
  <c r="G1049" i="4" a="1"/>
  <c r="G1049" i="4" s="1"/>
  <c r="F1049" i="4" a="1"/>
  <c r="F1049" i="4" s="1"/>
  <c r="E1049" i="4"/>
  <c r="G1050" i="4" a="1"/>
  <c r="G1050" i="4" s="1"/>
  <c r="F1050" i="4" a="1"/>
  <c r="F1050" i="4" s="1"/>
  <c r="E1050" i="4"/>
  <c r="G1051" i="4" a="1"/>
  <c r="G1051" i="4" s="1"/>
  <c r="F1051" i="4" a="1"/>
  <c r="F1051" i="4" s="1"/>
  <c r="E1051" i="4"/>
  <c r="G1052" i="4" a="1"/>
  <c r="G1052" i="4" s="1"/>
  <c r="F1052" i="4" a="1"/>
  <c r="F1052" i="4" s="1"/>
  <c r="E1052" i="4"/>
  <c r="G965" i="4" a="1"/>
  <c r="G965" i="4" s="1"/>
  <c r="E961" i="4"/>
  <c r="G941" i="4" a="1"/>
  <c r="G941" i="4" s="1"/>
  <c r="G913" i="4" a="1"/>
  <c r="G913" i="4" s="1"/>
  <c r="E911" i="4"/>
  <c r="G899" i="4" a="1"/>
  <c r="G899" i="4" s="1"/>
  <c r="G871" i="4" a="1"/>
  <c r="G871" i="4" s="1"/>
  <c r="E867" i="4"/>
  <c r="G847" i="4" a="1"/>
  <c r="G847" i="4" s="1"/>
  <c r="E843" i="4"/>
  <c r="G823" i="4" a="1"/>
  <c r="G823" i="4" s="1"/>
  <c r="E819" i="4"/>
  <c r="G801" i="4" a="1"/>
  <c r="G801" i="4" s="1"/>
  <c r="F789" i="4" a="1"/>
  <c r="F789" i="4" s="1"/>
  <c r="G789" i="4" a="1"/>
  <c r="G789" i="4" s="1"/>
  <c r="F673" i="4" a="1"/>
  <c r="F673" i="4" s="1"/>
  <c r="G673" i="4" a="1"/>
  <c r="G673" i="4" s="1"/>
  <c r="E673" i="4"/>
  <c r="G525" i="4" a="1"/>
  <c r="G525" i="4" s="1"/>
  <c r="E525" i="4"/>
  <c r="F525" i="4" a="1"/>
  <c r="F525" i="4" s="1"/>
  <c r="G931" i="4" a="1"/>
  <c r="G931" i="4" s="1"/>
  <c r="F929" i="4" a="1"/>
  <c r="F929" i="4" s="1"/>
  <c r="E929" i="4"/>
  <c r="G915" i="4" a="1"/>
  <c r="G915" i="4" s="1"/>
  <c r="E897" i="4"/>
  <c r="F811" i="4" a="1"/>
  <c r="F811" i="4" s="1"/>
  <c r="E811" i="4"/>
  <c r="F763" i="4" a="1"/>
  <c r="F763" i="4" s="1"/>
  <c r="G763" i="4" a="1"/>
  <c r="G763" i="4" s="1"/>
  <c r="F739" i="4" a="1"/>
  <c r="F739" i="4" s="1"/>
  <c r="G739" i="4" a="1"/>
  <c r="G739" i="4" s="1"/>
  <c r="E739" i="4"/>
  <c r="F727" i="4" a="1"/>
  <c r="F727" i="4" s="1"/>
  <c r="G727" i="4" a="1"/>
  <c r="G727" i="4" s="1"/>
  <c r="F711" i="4" a="1"/>
  <c r="F711" i="4" s="1"/>
  <c r="G711" i="4" a="1"/>
  <c r="G711" i="4" s="1"/>
  <c r="E583" i="4"/>
  <c r="F583" i="4" a="1"/>
  <c r="F583" i="4" s="1"/>
  <c r="G583" i="4" a="1"/>
  <c r="G583" i="4" s="1"/>
  <c r="E931" i="4"/>
  <c r="G917" i="4" a="1"/>
  <c r="G917" i="4" s="1"/>
  <c r="E913" i="4"/>
  <c r="G901" i="4" a="1"/>
  <c r="G901" i="4" s="1"/>
  <c r="E899" i="4"/>
  <c r="F883" i="4" a="1"/>
  <c r="F883" i="4" s="1"/>
  <c r="E883" i="4"/>
  <c r="G873" i="4" a="1"/>
  <c r="G873" i="4" s="1"/>
  <c r="E871" i="4"/>
  <c r="F859" i="4" a="1"/>
  <c r="F859" i="4" s="1"/>
  <c r="E859" i="4"/>
  <c r="G849" i="4" a="1"/>
  <c r="G849" i="4" s="1"/>
  <c r="E847" i="4"/>
  <c r="F835" i="4" a="1"/>
  <c r="F835" i="4" s="1"/>
  <c r="E835" i="4"/>
  <c r="G825" i="4" a="1"/>
  <c r="G825" i="4" s="1"/>
  <c r="E823" i="4"/>
  <c r="E801" i="4"/>
  <c r="F701" i="4" a="1"/>
  <c r="F701" i="4" s="1"/>
  <c r="E701" i="4"/>
  <c r="G701" i="4" a="1"/>
  <c r="G701" i="4" s="1"/>
  <c r="F589" i="4" a="1"/>
  <c r="F589" i="4" s="1"/>
  <c r="E589" i="4"/>
  <c r="G589" i="4" a="1"/>
  <c r="G589" i="4" s="1"/>
  <c r="E579" i="4"/>
  <c r="F579" i="4" a="1"/>
  <c r="F579" i="4" s="1"/>
  <c r="G579" i="4" a="1"/>
  <c r="G579" i="4" s="1"/>
  <c r="G513" i="4" a="1"/>
  <c r="G513" i="4" s="1"/>
  <c r="E513" i="4"/>
  <c r="F513" i="4" a="1"/>
  <c r="F513" i="4" s="1"/>
  <c r="G919" i="4" a="1"/>
  <c r="G919" i="4" s="1"/>
  <c r="E915" i="4"/>
  <c r="G747" i="4" a="1"/>
  <c r="G747" i="4" s="1"/>
  <c r="F679" i="4" a="1"/>
  <c r="F679" i="4" s="1"/>
  <c r="G679" i="4" a="1"/>
  <c r="G679" i="4" s="1"/>
  <c r="F649" i="4" a="1"/>
  <c r="F649" i="4" s="1"/>
  <c r="G649" i="4" a="1"/>
  <c r="G649" i="4" s="1"/>
  <c r="E649" i="4"/>
  <c r="F791" i="4" a="1"/>
  <c r="F791" i="4" s="1"/>
  <c r="G791" i="4" a="1"/>
  <c r="G791" i="4" s="1"/>
  <c r="F779" i="4" a="1"/>
  <c r="F779" i="4" s="1"/>
  <c r="E779" i="4"/>
  <c r="F759" i="4" a="1"/>
  <c r="F759" i="4" s="1"/>
  <c r="G759" i="4" a="1"/>
  <c r="G759" i="4" s="1"/>
  <c r="F685" i="4" a="1"/>
  <c r="F685" i="4" s="1"/>
  <c r="E685" i="4"/>
  <c r="G441" i="4" a="1"/>
  <c r="G441" i="4" s="1"/>
  <c r="E441" i="4"/>
  <c r="F441" i="4" a="1"/>
  <c r="F441" i="4" s="1"/>
  <c r="F933" i="4" a="1"/>
  <c r="F933" i="4" s="1"/>
  <c r="G933" i="4" a="1"/>
  <c r="G933" i="4" s="1"/>
  <c r="F885" i="4" a="1"/>
  <c r="F885" i="4" s="1"/>
  <c r="G885" i="4" a="1"/>
  <c r="G885" i="4" s="1"/>
  <c r="F861" i="4" a="1"/>
  <c r="F861" i="4" s="1"/>
  <c r="G861" i="4" a="1"/>
  <c r="G861" i="4" s="1"/>
  <c r="F837" i="4" a="1"/>
  <c r="F837" i="4" s="1"/>
  <c r="G837" i="4" a="1"/>
  <c r="G837" i="4" s="1"/>
  <c r="F813" i="4" a="1"/>
  <c r="F813" i="4" s="1"/>
  <c r="G813" i="4" a="1"/>
  <c r="G813" i="4" s="1"/>
  <c r="F625" i="4" a="1"/>
  <c r="F625" i="4" s="1"/>
  <c r="G625" i="4" a="1"/>
  <c r="G625" i="4" s="1"/>
  <c r="E625" i="4"/>
  <c r="G937" i="4" a="1"/>
  <c r="G937" i="4" s="1"/>
  <c r="E935" i="4"/>
  <c r="G923" i="4" a="1"/>
  <c r="G923" i="4" s="1"/>
  <c r="G889" i="4" a="1"/>
  <c r="G889" i="4" s="1"/>
  <c r="E887" i="4"/>
  <c r="G877" i="4" a="1"/>
  <c r="G877" i="4" s="1"/>
  <c r="E875" i="4"/>
  <c r="G853" i="4" a="1"/>
  <c r="G853" i="4" s="1"/>
  <c r="G829" i="4" a="1"/>
  <c r="G829" i="4" s="1"/>
  <c r="G795" i="4" a="1"/>
  <c r="G795" i="4" s="1"/>
  <c r="F787" i="4" a="1"/>
  <c r="F787" i="4" s="1"/>
  <c r="G787" i="4" a="1"/>
  <c r="G787" i="4" s="1"/>
  <c r="E787" i="4"/>
  <c r="F741" i="4" a="1"/>
  <c r="F741" i="4" s="1"/>
  <c r="G741" i="4" a="1"/>
  <c r="G741" i="4" s="1"/>
  <c r="F713" i="4" a="1"/>
  <c r="F713" i="4" s="1"/>
  <c r="E713" i="4"/>
  <c r="F709" i="4" a="1"/>
  <c r="F709" i="4" s="1"/>
  <c r="E709" i="4"/>
  <c r="G709" i="4" a="1"/>
  <c r="G709" i="4" s="1"/>
  <c r="F691" i="4" a="1"/>
  <c r="F691" i="4" s="1"/>
  <c r="G691" i="4" a="1"/>
  <c r="G691" i="4" s="1"/>
  <c r="E691" i="4"/>
  <c r="F655" i="4" a="1"/>
  <c r="F655" i="4" s="1"/>
  <c r="G655" i="4" a="1"/>
  <c r="G655" i="4" s="1"/>
  <c r="F601" i="4" a="1"/>
  <c r="F601" i="4" s="1"/>
  <c r="G601" i="4" a="1"/>
  <c r="G601" i="4" s="1"/>
  <c r="E601" i="4"/>
  <c r="G953" i="4" a="1"/>
  <c r="G953" i="4" s="1"/>
  <c r="G955" i="4" a="1"/>
  <c r="G955" i="4" s="1"/>
  <c r="G907" i="4" a="1"/>
  <c r="G907" i="4" s="1"/>
  <c r="F905" i="4" a="1"/>
  <c r="F905" i="4" s="1"/>
  <c r="E905" i="4"/>
  <c r="F805" i="4" a="1"/>
  <c r="F805" i="4" s="1"/>
  <c r="E805" i="4"/>
  <c r="G781" i="4" a="1"/>
  <c r="G781" i="4" s="1"/>
  <c r="F773" i="4" a="1"/>
  <c r="F773" i="4" s="1"/>
  <c r="G773" i="4" a="1"/>
  <c r="G773" i="4" s="1"/>
  <c r="F731" i="4" a="1"/>
  <c r="F731" i="4" s="1"/>
  <c r="E731" i="4"/>
  <c r="F725" i="4" a="1"/>
  <c r="F725" i="4" s="1"/>
  <c r="G725" i="4" a="1"/>
  <c r="G725" i="4" s="1"/>
  <c r="E725" i="4"/>
  <c r="F671" i="4" a="1"/>
  <c r="F671" i="4" s="1"/>
  <c r="E671" i="4"/>
  <c r="G671" i="4" a="1"/>
  <c r="G671" i="4" s="1"/>
  <c r="F661" i="4" a="1"/>
  <c r="F661" i="4" s="1"/>
  <c r="E661" i="4"/>
  <c r="G489" i="4" a="1"/>
  <c r="G489" i="4" s="1"/>
  <c r="F489" i="4" a="1"/>
  <c r="F489" i="4" s="1"/>
  <c r="G957" i="4" a="1"/>
  <c r="G957" i="4" s="1"/>
  <c r="E953" i="4"/>
  <c r="E937" i="4"/>
  <c r="E923" i="4"/>
  <c r="E907" i="4"/>
  <c r="E889" i="4"/>
  <c r="E877" i="4"/>
  <c r="F863" i="4" a="1"/>
  <c r="F863" i="4" s="1"/>
  <c r="G863" i="4" a="1"/>
  <c r="G863" i="4" s="1"/>
  <c r="E853" i="4"/>
  <c r="F839" i="4" a="1"/>
  <c r="F839" i="4" s="1"/>
  <c r="G839" i="4" a="1"/>
  <c r="G839" i="4" s="1"/>
  <c r="E829" i="4"/>
  <c r="F815" i="4" a="1"/>
  <c r="F815" i="4" s="1"/>
  <c r="G815" i="4" a="1"/>
  <c r="G815" i="4" s="1"/>
  <c r="E795" i="4"/>
  <c r="E781" i="4"/>
  <c r="F761" i="4" a="1"/>
  <c r="F761" i="4" s="1"/>
  <c r="E761" i="4"/>
  <c r="F749" i="4" a="1"/>
  <c r="F749" i="4" s="1"/>
  <c r="G749" i="4" a="1"/>
  <c r="G749" i="4" s="1"/>
  <c r="G449" i="4" a="1"/>
  <c r="G449" i="4" s="1"/>
  <c r="E449" i="4"/>
  <c r="F449" i="4" a="1"/>
  <c r="F449" i="4" s="1"/>
  <c r="F631" i="4" a="1"/>
  <c r="F631" i="4" s="1"/>
  <c r="G631" i="4" a="1"/>
  <c r="G631" i="4" s="1"/>
  <c r="G497" i="4" a="1"/>
  <c r="G497" i="4" s="1"/>
  <c r="E497" i="4"/>
  <c r="F497" i="4" a="1"/>
  <c r="F497" i="4" s="1"/>
  <c r="G485" i="4" a="1"/>
  <c r="G485" i="4" s="1"/>
  <c r="F485" i="4" a="1"/>
  <c r="F485" i="4" s="1"/>
  <c r="E485" i="4"/>
  <c r="G453" i="4" a="1"/>
  <c r="G453" i="4" s="1"/>
  <c r="E453" i="4"/>
  <c r="E925" i="4"/>
  <c r="E841" i="4"/>
  <c r="E817" i="4"/>
  <c r="E797" i="4"/>
  <c r="F757" i="4" a="1"/>
  <c r="F757" i="4" s="1"/>
  <c r="E757" i="4"/>
  <c r="G757" i="4" a="1"/>
  <c r="G757" i="4" s="1"/>
  <c r="F647" i="4" a="1"/>
  <c r="F647" i="4" s="1"/>
  <c r="E647" i="4"/>
  <c r="G647" i="4" a="1"/>
  <c r="G647" i="4" s="1"/>
  <c r="F637" i="4" a="1"/>
  <c r="F637" i="4" s="1"/>
  <c r="E637" i="4"/>
  <c r="F607" i="4" a="1"/>
  <c r="F607" i="4" s="1"/>
  <c r="G607" i="4" a="1"/>
  <c r="G607" i="4" s="1"/>
  <c r="G519" i="4" a="1"/>
  <c r="G519" i="4" s="1"/>
  <c r="E519" i="4"/>
  <c r="F519" i="4" a="1"/>
  <c r="F519" i="4" s="1"/>
  <c r="G961" i="4" a="1"/>
  <c r="G961" i="4" s="1"/>
  <c r="G963" i="4" a="1"/>
  <c r="G963" i="4" s="1"/>
  <c r="F909" i="4" a="1"/>
  <c r="F909" i="4" s="1"/>
  <c r="G909" i="4" a="1"/>
  <c r="G909" i="4" s="1"/>
  <c r="F743" i="4" a="1"/>
  <c r="F743" i="4" s="1"/>
  <c r="G743" i="4" a="1"/>
  <c r="G743" i="4" s="1"/>
  <c r="F715" i="4" a="1"/>
  <c r="F715" i="4" s="1"/>
  <c r="E715" i="4"/>
  <c r="G715" i="4" a="1"/>
  <c r="G715" i="4" s="1"/>
  <c r="F693" i="4" a="1"/>
  <c r="F693" i="4" s="1"/>
  <c r="G693" i="4" a="1"/>
  <c r="G693" i="4" s="1"/>
  <c r="F613" i="4" a="1"/>
  <c r="F613" i="4" s="1"/>
  <c r="E613" i="4"/>
  <c r="G613" i="4" a="1"/>
  <c r="G613" i="4" s="1"/>
  <c r="G475" i="4" a="1"/>
  <c r="G475" i="4" s="1"/>
  <c r="E475" i="4"/>
  <c r="E771" i="4"/>
  <c r="F755" i="4" a="1"/>
  <c r="F755" i="4" s="1"/>
  <c r="E755" i="4"/>
  <c r="E723" i="4"/>
  <c r="F707" i="4" a="1"/>
  <c r="F707" i="4" s="1"/>
  <c r="E707" i="4"/>
  <c r="E677" i="4"/>
  <c r="E665" i="4"/>
  <c r="E653" i="4"/>
  <c r="E641" i="4"/>
  <c r="E629" i="4"/>
  <c r="E617" i="4"/>
  <c r="E605" i="4"/>
  <c r="E593" i="4"/>
  <c r="E537" i="4"/>
  <c r="G451" i="4" a="1"/>
  <c r="G451" i="4" s="1"/>
  <c r="E451" i="4"/>
  <c r="G398" i="4" a="1"/>
  <c r="G398" i="4" s="1"/>
  <c r="E398" i="4"/>
  <c r="G695" i="4" a="1"/>
  <c r="G695" i="4" s="1"/>
  <c r="G567" i="4" a="1"/>
  <c r="G567" i="4" s="1"/>
  <c r="E567" i="4"/>
  <c r="F567" i="4" a="1"/>
  <c r="F567" i="4" s="1"/>
  <c r="G509" i="4" a="1"/>
  <c r="G509" i="4" s="1"/>
  <c r="F509" i="4" a="1"/>
  <c r="F509" i="4" s="1"/>
  <c r="G372" i="4" a="1"/>
  <c r="G372" i="4" s="1"/>
  <c r="E372" i="4"/>
  <c r="F669" i="4" a="1"/>
  <c r="F669" i="4" s="1"/>
  <c r="E669" i="4"/>
  <c r="F645" i="4" a="1"/>
  <c r="F645" i="4" s="1"/>
  <c r="E645" i="4"/>
  <c r="G623" i="4" a="1"/>
  <c r="G623" i="4" s="1"/>
  <c r="F621" i="4" a="1"/>
  <c r="F621" i="4" s="1"/>
  <c r="E621" i="4"/>
  <c r="G599" i="4" a="1"/>
  <c r="G599" i="4" s="1"/>
  <c r="F597" i="4" a="1"/>
  <c r="F597" i="4" s="1"/>
  <c r="E597" i="4"/>
  <c r="F561" i="4" a="1"/>
  <c r="F561" i="4" s="1"/>
  <c r="G547" i="4" a="1"/>
  <c r="G547" i="4" s="1"/>
  <c r="E547" i="4"/>
  <c r="G427" i="4" a="1"/>
  <c r="G427" i="4" s="1"/>
  <c r="F427" i="4" a="1"/>
  <c r="F427" i="4" s="1"/>
  <c r="G421" i="4" a="1"/>
  <c r="G421" i="4" s="1"/>
  <c r="E421" i="4"/>
  <c r="F683" i="4" a="1"/>
  <c r="F683" i="4" s="1"/>
  <c r="E683" i="4"/>
  <c r="F659" i="4" a="1"/>
  <c r="F659" i="4" s="1"/>
  <c r="E659" i="4"/>
  <c r="F635" i="4" a="1"/>
  <c r="F635" i="4" s="1"/>
  <c r="E635" i="4"/>
  <c r="E623" i="4"/>
  <c r="F611" i="4" a="1"/>
  <c r="F611" i="4" s="1"/>
  <c r="E611" i="4"/>
  <c r="E599" i="4"/>
  <c r="F587" i="4" a="1"/>
  <c r="F587" i="4" s="1"/>
  <c r="E587" i="4"/>
  <c r="E561" i="4"/>
  <c r="G461" i="4" a="1"/>
  <c r="G461" i="4" s="1"/>
  <c r="F461" i="4" a="1"/>
  <c r="F461" i="4" s="1"/>
  <c r="G411" i="4" a="1"/>
  <c r="G411" i="4" s="1"/>
  <c r="E411" i="4"/>
  <c r="F411" i="4" a="1"/>
  <c r="F411" i="4" s="1"/>
  <c r="G533" i="4" a="1"/>
  <c r="G533" i="4" s="1"/>
  <c r="F533" i="4" a="1"/>
  <c r="F533" i="4" s="1"/>
  <c r="G499" i="4" a="1"/>
  <c r="G499" i="4" s="1"/>
  <c r="E499" i="4"/>
  <c r="G477" i="4" a="1"/>
  <c r="G477" i="4" s="1"/>
  <c r="E477" i="4"/>
  <c r="G471" i="4" a="1"/>
  <c r="G471" i="4" s="1"/>
  <c r="E471" i="4"/>
  <c r="F471" i="4" a="1"/>
  <c r="F471" i="4" s="1"/>
  <c r="G549" i="4" a="1"/>
  <c r="G549" i="4" s="1"/>
  <c r="E549" i="4"/>
  <c r="G543" i="4" a="1"/>
  <c r="G543" i="4" s="1"/>
  <c r="E543" i="4"/>
  <c r="F543" i="4" a="1"/>
  <c r="F543" i="4" s="1"/>
  <c r="G392" i="4" a="1"/>
  <c r="G392" i="4" s="1"/>
  <c r="E392" i="4"/>
  <c r="F392" i="4" a="1"/>
  <c r="F392" i="4" s="1"/>
  <c r="E767" i="4"/>
  <c r="E751" i="4"/>
  <c r="E719" i="4"/>
  <c r="E703" i="4"/>
  <c r="G501" i="4" a="1"/>
  <c r="G501" i="4" s="1"/>
  <c r="E501" i="4"/>
  <c r="G495" i="4" a="1"/>
  <c r="G495" i="4" s="1"/>
  <c r="E495" i="4"/>
  <c r="F495" i="4" a="1"/>
  <c r="F495" i="4" s="1"/>
  <c r="G429" i="4" a="1"/>
  <c r="G429" i="4" s="1"/>
  <c r="E429" i="4"/>
  <c r="F783" i="4" a="1"/>
  <c r="F783" i="4" s="1"/>
  <c r="G783" i="4" a="1"/>
  <c r="G783" i="4" s="1"/>
  <c r="G771" i="4" a="1"/>
  <c r="G771" i="4" s="1"/>
  <c r="F735" i="4" a="1"/>
  <c r="F735" i="4" s="1"/>
  <c r="G735" i="4" a="1"/>
  <c r="G735" i="4" s="1"/>
  <c r="G723" i="4" a="1"/>
  <c r="G723" i="4" s="1"/>
  <c r="F687" i="4" a="1"/>
  <c r="F687" i="4" s="1"/>
  <c r="G687" i="4" a="1"/>
  <c r="G687" i="4" s="1"/>
  <c r="G677" i="4" a="1"/>
  <c r="G677" i="4" s="1"/>
  <c r="G665" i="4" a="1"/>
  <c r="G665" i="4" s="1"/>
  <c r="F663" i="4" a="1"/>
  <c r="F663" i="4" s="1"/>
  <c r="G663" i="4" a="1"/>
  <c r="G663" i="4" s="1"/>
  <c r="G653" i="4" a="1"/>
  <c r="G653" i="4" s="1"/>
  <c r="G641" i="4" a="1"/>
  <c r="G641" i="4" s="1"/>
  <c r="F639" i="4" a="1"/>
  <c r="F639" i="4" s="1"/>
  <c r="G639" i="4" a="1"/>
  <c r="G639" i="4" s="1"/>
  <c r="G629" i="4" a="1"/>
  <c r="G629" i="4" s="1"/>
  <c r="G617" i="4" a="1"/>
  <c r="G617" i="4" s="1"/>
  <c r="F615" i="4" a="1"/>
  <c r="F615" i="4" s="1"/>
  <c r="G615" i="4" a="1"/>
  <c r="G615" i="4" s="1"/>
  <c r="G605" i="4" a="1"/>
  <c r="G605" i="4" s="1"/>
  <c r="G593" i="4" a="1"/>
  <c r="G593" i="4" s="1"/>
  <c r="F591" i="4" a="1"/>
  <c r="F591" i="4" s="1"/>
  <c r="G591" i="4" a="1"/>
  <c r="G591" i="4" s="1"/>
  <c r="E881" i="4"/>
  <c r="E857" i="4"/>
  <c r="E833" i="4"/>
  <c r="E809" i="4"/>
  <c r="E785" i="4"/>
  <c r="E737" i="4"/>
  <c r="E689" i="4"/>
  <c r="E581" i="4"/>
  <c r="F581" i="4" a="1"/>
  <c r="F581" i="4" s="1"/>
  <c r="G573" i="4" a="1"/>
  <c r="G573" i="4" s="1"/>
  <c r="E573" i="4"/>
  <c r="G557" i="4" a="1"/>
  <c r="G557" i="4" s="1"/>
  <c r="F557" i="4" a="1"/>
  <c r="F557" i="4" s="1"/>
  <c r="E545" i="4"/>
  <c r="F537" i="4" a="1"/>
  <c r="F537" i="4" s="1"/>
  <c r="G523" i="4" a="1"/>
  <c r="G523" i="4" s="1"/>
  <c r="E523" i="4"/>
  <c r="E465" i="4"/>
  <c r="F451" i="4" a="1"/>
  <c r="F451" i="4" s="1"/>
  <c r="G419" i="4" a="1"/>
  <c r="G419" i="4" s="1"/>
  <c r="E419" i="4"/>
  <c r="F398" i="4" a="1"/>
  <c r="F398" i="4" s="1"/>
  <c r="E326" i="4"/>
  <c r="F326" i="4" a="1"/>
  <c r="F326" i="4" s="1"/>
  <c r="G326" i="4" a="1"/>
  <c r="G326" i="4" s="1"/>
  <c r="G266" i="4" a="1"/>
  <c r="G266" i="4" s="1"/>
  <c r="E266" i="4"/>
  <c r="F266" i="4" a="1"/>
  <c r="F266" i="4" s="1"/>
  <c r="F250" i="4" a="1"/>
  <c r="F250" i="4" s="1"/>
  <c r="E250" i="4"/>
  <c r="G250" i="4" a="1"/>
  <c r="G250" i="4" s="1"/>
  <c r="E565" i="4"/>
  <c r="F447" i="4" a="1"/>
  <c r="F447" i="4" s="1"/>
  <c r="F425" i="4" a="1"/>
  <c r="F425" i="4" s="1"/>
  <c r="G382" i="4" a="1"/>
  <c r="G382" i="4" s="1"/>
  <c r="E382" i="4"/>
  <c r="F382" i="4" a="1"/>
  <c r="F382" i="4" s="1"/>
  <c r="G368" i="4" a="1"/>
  <c r="G368" i="4" s="1"/>
  <c r="E368" i="4"/>
  <c r="E304" i="4"/>
  <c r="F304" i="4" a="1"/>
  <c r="F304" i="4" s="1"/>
  <c r="E204" i="4"/>
  <c r="F204" i="4" a="1"/>
  <c r="F204" i="4" s="1"/>
  <c r="G204" i="4" a="1"/>
  <c r="G204" i="4" s="1"/>
  <c r="F198" i="4" a="1"/>
  <c r="F198" i="4" s="1"/>
  <c r="E198" i="4"/>
  <c r="G198" i="4" a="1"/>
  <c r="G198" i="4" s="1"/>
  <c r="G555" i="4" a="1"/>
  <c r="G555" i="4" s="1"/>
  <c r="E555" i="4"/>
  <c r="F555" i="4" a="1"/>
  <c r="F555" i="4" s="1"/>
  <c r="G531" i="4" a="1"/>
  <c r="G531" i="4" s="1"/>
  <c r="E531" i="4"/>
  <c r="F531" i="4" a="1"/>
  <c r="F531" i="4" s="1"/>
  <c r="G507" i="4" a="1"/>
  <c r="G507" i="4" s="1"/>
  <c r="E507" i="4"/>
  <c r="F507" i="4" a="1"/>
  <c r="F507" i="4" s="1"/>
  <c r="G483" i="4" a="1"/>
  <c r="G483" i="4" s="1"/>
  <c r="E483" i="4"/>
  <c r="F483" i="4" a="1"/>
  <c r="F483" i="4" s="1"/>
  <c r="G459" i="4" a="1"/>
  <c r="G459" i="4" s="1"/>
  <c r="E459" i="4"/>
  <c r="F459" i="4" a="1"/>
  <c r="F459" i="4" s="1"/>
  <c r="E447" i="4"/>
  <c r="G435" i="4" a="1"/>
  <c r="G435" i="4" s="1"/>
  <c r="E435" i="4"/>
  <c r="F435" i="4" a="1"/>
  <c r="F435" i="4" s="1"/>
  <c r="E425" i="4"/>
  <c r="G415" i="4" a="1"/>
  <c r="G415" i="4" s="1"/>
  <c r="E415" i="4"/>
  <c r="G402" i="4" a="1"/>
  <c r="G402" i="4" s="1"/>
  <c r="E402" i="4"/>
  <c r="G394" i="4" a="1"/>
  <c r="G394" i="4" s="1"/>
  <c r="F394" i="4" a="1"/>
  <c r="F394" i="4" s="1"/>
  <c r="G388" i="4" a="1"/>
  <c r="G388" i="4" s="1"/>
  <c r="E388" i="4"/>
  <c r="F388" i="4" a="1"/>
  <c r="F388" i="4" s="1"/>
  <c r="F396" i="4" a="1"/>
  <c r="F396" i="4" s="1"/>
  <c r="E260" i="4"/>
  <c r="F260" i="4" a="1"/>
  <c r="F260" i="4" s="1"/>
  <c r="E240" i="4"/>
  <c r="F240" i="4" a="1"/>
  <c r="F240" i="4" s="1"/>
  <c r="G240" i="4" a="1"/>
  <c r="G240" i="4" s="1"/>
  <c r="E396" i="4"/>
  <c r="G349" i="4" a="1"/>
  <c r="G349" i="4" s="1"/>
  <c r="E349" i="4"/>
  <c r="F349" i="4" a="1"/>
  <c r="F349" i="4" s="1"/>
  <c r="G353" i="4" a="1"/>
  <c r="G353" i="4" s="1"/>
  <c r="F353" i="4" a="1"/>
  <c r="F353" i="4" s="1"/>
  <c r="G345" i="4" a="1"/>
  <c r="G345" i="4" s="1"/>
  <c r="F345" i="4" a="1"/>
  <c r="F345" i="4" s="1"/>
  <c r="G417" i="4" a="1"/>
  <c r="G417" i="4" s="1"/>
  <c r="F417" i="4" a="1"/>
  <c r="F417" i="4" s="1"/>
  <c r="G370" i="4" a="1"/>
  <c r="G370" i="4" s="1"/>
  <c r="F370" i="4" a="1"/>
  <c r="F370" i="4" s="1"/>
  <c r="G364" i="4" a="1"/>
  <c r="G364" i="4" s="1"/>
  <c r="E364" i="4"/>
  <c r="F364" i="4" a="1"/>
  <c r="F364" i="4" s="1"/>
  <c r="G336" i="4" a="1"/>
  <c r="G336" i="4" s="1"/>
  <c r="E336" i="4"/>
  <c r="F336" i="4" a="1"/>
  <c r="F336" i="4" s="1"/>
  <c r="E340" i="4"/>
  <c r="F340" i="4" a="1"/>
  <c r="F340" i="4" s="1"/>
  <c r="G340" i="4" a="1"/>
  <c r="G340" i="4" s="1"/>
  <c r="F244" i="4" a="1"/>
  <c r="F244" i="4" s="1"/>
  <c r="E244" i="4"/>
  <c r="G244" i="4" a="1"/>
  <c r="G244" i="4" s="1"/>
  <c r="G405" i="4" a="1"/>
  <c r="G405" i="4" s="1"/>
  <c r="E405" i="4"/>
  <c r="G357" i="4" a="1"/>
  <c r="G357" i="4" s="1"/>
  <c r="E357" i="4"/>
  <c r="F357" i="4" a="1"/>
  <c r="F357" i="4" s="1"/>
  <c r="G343" i="4" a="1"/>
  <c r="G343" i="4" s="1"/>
  <c r="E343" i="4"/>
  <c r="F343" i="4" a="1"/>
  <c r="F343" i="4" s="1"/>
  <c r="E216" i="4"/>
  <c r="G216" i="4" a="1"/>
  <c r="G216" i="4" s="1"/>
  <c r="F216" i="4" a="1"/>
  <c r="F216" i="4" s="1"/>
  <c r="E196" i="4"/>
  <c r="G196" i="4" a="1"/>
  <c r="G196" i="4" s="1"/>
  <c r="F196" i="4" a="1"/>
  <c r="F196" i="4" s="1"/>
  <c r="F356" i="4" a="1"/>
  <c r="F356" i="4" s="1"/>
  <c r="G356" i="4" a="1"/>
  <c r="G356" i="4" s="1"/>
  <c r="E356" i="4"/>
  <c r="G327" i="4" a="1"/>
  <c r="G327" i="4" s="1"/>
  <c r="E327" i="4"/>
  <c r="F327" i="4" a="1"/>
  <c r="F327" i="4" s="1"/>
  <c r="F320" i="4" a="1"/>
  <c r="F320" i="4" s="1"/>
  <c r="G291" i="4" a="1"/>
  <c r="G291" i="4" s="1"/>
  <c r="F265" i="4" a="1"/>
  <c r="F265" i="4" s="1"/>
  <c r="G265" i="4" a="1"/>
  <c r="G265" i="4" s="1"/>
  <c r="F344" i="4" a="1"/>
  <c r="F344" i="4" s="1"/>
  <c r="E320" i="4"/>
  <c r="F314" i="4" a="1"/>
  <c r="F314" i="4" s="1"/>
  <c r="G311" i="4" a="1"/>
  <c r="G311" i="4" s="1"/>
  <c r="E291" i="4"/>
  <c r="G276" i="4" a="1"/>
  <c r="G276" i="4" s="1"/>
  <c r="G253" i="4" a="1"/>
  <c r="G253" i="4" s="1"/>
  <c r="E224" i="4"/>
  <c r="E308" i="4"/>
  <c r="F308" i="4" a="1"/>
  <c r="F308" i="4" s="1"/>
  <c r="E268" i="4"/>
  <c r="G268" i="4" a="1"/>
  <c r="G268" i="4" s="1"/>
  <c r="F241" i="4" a="1"/>
  <c r="F241" i="4" s="1"/>
  <c r="G241" i="4" a="1"/>
  <c r="G241" i="4" s="1"/>
  <c r="E577" i="4"/>
  <c r="E553" i="4"/>
  <c r="E529" i="4"/>
  <c r="E505" i="4"/>
  <c r="E481" i="4"/>
  <c r="E457" i="4"/>
  <c r="E433" i="4"/>
  <c r="E409" i="4"/>
  <c r="E386" i="4"/>
  <c r="E362" i="4"/>
  <c r="E330" i="4"/>
  <c r="G330" i="4" a="1"/>
  <c r="G330" i="4" s="1"/>
  <c r="E302" i="4"/>
  <c r="G293" i="4" a="1"/>
  <c r="G293" i="4" s="1"/>
  <c r="E282" i="4"/>
  <c r="G282" i="4" a="1"/>
  <c r="G282" i="4" s="1"/>
  <c r="G267" i="4" a="1"/>
  <c r="G267" i="4" s="1"/>
  <c r="F256" i="4" a="1"/>
  <c r="F256" i="4" s="1"/>
  <c r="G256" i="4" a="1"/>
  <c r="G256" i="4" s="1"/>
  <c r="E253" i="4"/>
  <c r="F234" i="4" a="1"/>
  <c r="F234" i="4" s="1"/>
  <c r="G234" i="4" a="1"/>
  <c r="G234" i="4" s="1"/>
  <c r="F180" i="4" a="1"/>
  <c r="F180" i="4" s="1"/>
  <c r="F437" i="4" a="1"/>
  <c r="F437" i="4" s="1"/>
  <c r="F413" i="4" a="1"/>
  <c r="F413" i="4" s="1"/>
  <c r="F390" i="4" a="1"/>
  <c r="F390" i="4" s="1"/>
  <c r="F366" i="4" a="1"/>
  <c r="F366" i="4" s="1"/>
  <c r="E354" i="4"/>
  <c r="G354" i="4" a="1"/>
  <c r="G354" i="4" s="1"/>
  <c r="F351" i="4" a="1"/>
  <c r="F351" i="4" s="1"/>
  <c r="G319" i="4" a="1"/>
  <c r="G319" i="4" s="1"/>
  <c r="E319" i="4"/>
  <c r="F305" i="4" a="1"/>
  <c r="F305" i="4" s="1"/>
  <c r="G305" i="4" a="1"/>
  <c r="G305" i="4" s="1"/>
  <c r="G290" i="4" a="1"/>
  <c r="G290" i="4" s="1"/>
  <c r="F285" i="4" a="1"/>
  <c r="F285" i="4" s="1"/>
  <c r="E285" i="4"/>
  <c r="F261" i="4" a="1"/>
  <c r="F261" i="4" s="1"/>
  <c r="E261" i="4"/>
  <c r="G261" i="4" a="1"/>
  <c r="G261" i="4" s="1"/>
  <c r="F329" i="4" a="1"/>
  <c r="F329" i="4" s="1"/>
  <c r="E310" i="4"/>
  <c r="G310" i="4" a="1"/>
  <c r="G310" i="4" s="1"/>
  <c r="F290" i="4" a="1"/>
  <c r="F290" i="4" s="1"/>
  <c r="E220" i="4"/>
  <c r="G220" i="4" a="1"/>
  <c r="G220" i="4" s="1"/>
  <c r="F332" i="4" a="1"/>
  <c r="F332" i="4" s="1"/>
  <c r="G332" i="4" a="1"/>
  <c r="G332" i="4" s="1"/>
  <c r="E329" i="4"/>
  <c r="F301" i="4" a="1"/>
  <c r="F301" i="4" s="1"/>
  <c r="E301" i="4"/>
  <c r="E295" i="4"/>
  <c r="F284" i="4" a="1"/>
  <c r="F284" i="4" s="1"/>
  <c r="G284" i="4" a="1"/>
  <c r="G284" i="4" s="1"/>
  <c r="E281" i="4"/>
  <c r="F249" i="4" a="1"/>
  <c r="F249" i="4" s="1"/>
  <c r="E249" i="4"/>
  <c r="G249" i="4" a="1"/>
  <c r="G249" i="4" s="1"/>
  <c r="G232" i="4" a="1"/>
  <c r="G232" i="4" s="1"/>
  <c r="E232" i="4"/>
  <c r="F232" i="4" a="1"/>
  <c r="F232" i="4" s="1"/>
  <c r="G321" i="4" a="1"/>
  <c r="G321" i="4" s="1"/>
  <c r="F321" i="4" a="1"/>
  <c r="F321" i="4" s="1"/>
  <c r="E272" i="4"/>
  <c r="G272" i="4" a="1"/>
  <c r="G272" i="4" s="1"/>
  <c r="F263" i="4" a="1"/>
  <c r="F263" i="4" s="1"/>
  <c r="E263" i="4"/>
  <c r="E192" i="4"/>
  <c r="G192" i="4" a="1"/>
  <c r="G192" i="4" s="1"/>
  <c r="F192" i="4" a="1"/>
  <c r="F192" i="4" s="1"/>
  <c r="F378" i="4" a="1"/>
  <c r="F378" i="4" s="1"/>
  <c r="F358" i="4" a="1"/>
  <c r="F358" i="4" s="1"/>
  <c r="E350" i="4"/>
  <c r="F350" i="4" a="1"/>
  <c r="F350" i="4" s="1"/>
  <c r="F347" i="4" a="1"/>
  <c r="F347" i="4" s="1"/>
  <c r="F331" i="4" a="1"/>
  <c r="F331" i="4" s="1"/>
  <c r="G315" i="4" a="1"/>
  <c r="G315" i="4" s="1"/>
  <c r="E315" i="4"/>
  <c r="F315" i="4" a="1"/>
  <c r="F315" i="4" s="1"/>
  <c r="F309" i="4" a="1"/>
  <c r="F309" i="4" s="1"/>
  <c r="E309" i="4"/>
  <c r="F286" i="4" a="1"/>
  <c r="F286" i="4" s="1"/>
  <c r="F404" i="4" a="1"/>
  <c r="F404" i="4" s="1"/>
  <c r="F380" i="4" a="1"/>
  <c r="F380" i="4" s="1"/>
  <c r="E378" i="4"/>
  <c r="F355" i="4" a="1"/>
  <c r="F355" i="4" s="1"/>
  <c r="E347" i="4"/>
  <c r="G339" i="4" a="1"/>
  <c r="G339" i="4" s="1"/>
  <c r="E339" i="4"/>
  <c r="F339" i="4" a="1"/>
  <c r="F339" i="4" s="1"/>
  <c r="E331" i="4"/>
  <c r="F325" i="4" a="1"/>
  <c r="F325" i="4" s="1"/>
  <c r="F303" i="4" a="1"/>
  <c r="F303" i="4" s="1"/>
  <c r="E303" i="4"/>
  <c r="G303" i="4" a="1"/>
  <c r="G303" i="4" s="1"/>
  <c r="E297" i="4"/>
  <c r="E286" i="4"/>
  <c r="E280" i="4"/>
  <c r="F280" i="4" a="1"/>
  <c r="F280" i="4" s="1"/>
  <c r="E274" i="4"/>
  <c r="E265" i="4"/>
  <c r="F242" i="4" a="1"/>
  <c r="F242" i="4" s="1"/>
  <c r="E242" i="4"/>
  <c r="F200" i="4" a="1"/>
  <c r="F200" i="4" s="1"/>
  <c r="G296" i="4" a="1"/>
  <c r="G296" i="4" s="1"/>
  <c r="E287" i="4"/>
  <c r="G275" i="4" a="1"/>
  <c r="G275" i="4" s="1"/>
  <c r="E273" i="4"/>
  <c r="G218" i="4" a="1"/>
  <c r="G218" i="4" s="1"/>
  <c r="G194" i="4" a="1"/>
  <c r="G194" i="4" s="1"/>
  <c r="F156" i="4" a="1"/>
  <c r="F156" i="4" s="1"/>
  <c r="E156" i="4"/>
  <c r="G156" i="4" a="1"/>
  <c r="G156" i="4" s="1"/>
  <c r="F148" i="4" a="1"/>
  <c r="F148" i="4" s="1"/>
  <c r="G148" i="4" a="1"/>
  <c r="G148" i="4" s="1"/>
  <c r="F142" i="4" a="1"/>
  <c r="F142" i="4" s="1"/>
  <c r="E142" i="4"/>
  <c r="G142" i="4" a="1"/>
  <c r="G142" i="4" s="1"/>
  <c r="F313" i="4" a="1"/>
  <c r="F313" i="4" s="1"/>
  <c r="G313" i="4" a="1"/>
  <c r="G313" i="4" s="1"/>
  <c r="F341" i="4" a="1"/>
  <c r="F341" i="4" s="1"/>
  <c r="F317" i="4" a="1"/>
  <c r="F317" i="4" s="1"/>
  <c r="F254" i="4" a="1"/>
  <c r="F254" i="4" s="1"/>
  <c r="G239" i="4" a="1"/>
  <c r="G239" i="4" s="1"/>
  <c r="F237" i="4" a="1"/>
  <c r="F237" i="4" s="1"/>
  <c r="E237" i="4"/>
  <c r="F289" i="4" a="1"/>
  <c r="F289" i="4" s="1"/>
  <c r="G289" i="4" a="1"/>
  <c r="G289" i="4" s="1"/>
  <c r="F229" i="4" a="1"/>
  <c r="F229" i="4" s="1"/>
  <c r="E229" i="4"/>
  <c r="F166" i="4" a="1"/>
  <c r="F166" i="4" s="1"/>
  <c r="E166" i="4"/>
  <c r="F158" i="4" a="1"/>
  <c r="F158" i="4" s="1"/>
  <c r="G158" i="4" a="1"/>
  <c r="G158" i="4" s="1"/>
  <c r="F152" i="4" a="1"/>
  <c r="F152" i="4" s="1"/>
  <c r="E152" i="4"/>
  <c r="F146" i="4" a="1"/>
  <c r="F146" i="4" s="1"/>
  <c r="G146" i="4" a="1"/>
  <c r="G146" i="4" s="1"/>
  <c r="E146" i="4"/>
  <c r="F132" i="4" a="1"/>
  <c r="F132" i="4" s="1"/>
  <c r="E132" i="4"/>
  <c r="G132" i="4" a="1"/>
  <c r="G132" i="4" s="1"/>
  <c r="F126" i="4" a="1"/>
  <c r="F126" i="4" s="1"/>
  <c r="E126" i="4"/>
  <c r="G126" i="4" a="1"/>
  <c r="G126" i="4" s="1"/>
  <c r="F233" i="4" a="1"/>
  <c r="F233" i="4" s="1"/>
  <c r="G233" i="4" a="1"/>
  <c r="G233" i="4" s="1"/>
  <c r="F230" i="4" a="1"/>
  <c r="F230" i="4" s="1"/>
  <c r="F210" i="4" a="1"/>
  <c r="F210" i="4" s="1"/>
  <c r="F186" i="4" a="1"/>
  <c r="F186" i="4" s="1"/>
  <c r="G172" i="4" a="1"/>
  <c r="G172" i="4" s="1"/>
  <c r="E230" i="4"/>
  <c r="E172" i="4"/>
  <c r="F162" i="4" a="1"/>
  <c r="F162" i="4" s="1"/>
  <c r="E162" i="4"/>
  <c r="F128" i="4" a="1"/>
  <c r="F128" i="4" s="1"/>
  <c r="E128" i="4"/>
  <c r="F66" i="4" a="1"/>
  <c r="F66" i="4" s="1"/>
  <c r="E66" i="4"/>
  <c r="G66" i="4" a="1"/>
  <c r="G66" i="4" s="1"/>
  <c r="F114" i="4" a="1"/>
  <c r="F114" i="4" s="1"/>
  <c r="E114" i="4"/>
  <c r="G114" i="4" a="1"/>
  <c r="G114" i="4" s="1"/>
  <c r="F90" i="4" a="1"/>
  <c r="F90" i="4" s="1"/>
  <c r="E90" i="4"/>
  <c r="G90" i="4" a="1"/>
  <c r="G90" i="4" s="1"/>
  <c r="F130" i="4" a="1"/>
  <c r="F130" i="4" s="1"/>
  <c r="G130" i="4" a="1"/>
  <c r="G130" i="4" s="1"/>
  <c r="F122" i="4" a="1"/>
  <c r="F122" i="4" s="1"/>
  <c r="G122" i="4" a="1"/>
  <c r="G122" i="4" s="1"/>
  <c r="F98" i="4" a="1"/>
  <c r="F98" i="4" s="1"/>
  <c r="G98" i="4" a="1"/>
  <c r="G98" i="4" s="1"/>
  <c r="F74" i="4" a="1"/>
  <c r="F74" i="4" s="1"/>
  <c r="G74" i="4" a="1"/>
  <c r="G74" i="4" s="1"/>
  <c r="G154" i="4" a="1"/>
  <c r="G154" i="4" s="1"/>
  <c r="E150" i="4"/>
  <c r="G138" i="4" a="1"/>
  <c r="G138" i="4" s="1"/>
  <c r="F118" i="4" a="1"/>
  <c r="F118" i="4" s="1"/>
  <c r="E118" i="4"/>
  <c r="G118" i="4" a="1"/>
  <c r="G118" i="4" s="1"/>
  <c r="F94" i="4" a="1"/>
  <c r="F94" i="4" s="1"/>
  <c r="E94" i="4"/>
  <c r="G94" i="4" a="1"/>
  <c r="G94" i="4" s="1"/>
  <c r="F70" i="4" a="1"/>
  <c r="F70" i="4" s="1"/>
  <c r="E70" i="4"/>
  <c r="G70" i="4" a="1"/>
  <c r="G70" i="4" s="1"/>
  <c r="F170" i="4" a="1"/>
  <c r="F170" i="4" s="1"/>
  <c r="G170" i="4" a="1"/>
  <c r="G170" i="4" s="1"/>
  <c r="E50" i="4"/>
  <c r="E26" i="4"/>
  <c r="G106" i="4" a="1"/>
  <c r="G106" i="4" s="1"/>
  <c r="E102" i="4"/>
  <c r="G82" i="4" a="1"/>
  <c r="G82" i="4" s="1"/>
  <c r="E78" i="4"/>
  <c r="G58" i="4" a="1"/>
  <c r="G58" i="4" s="1"/>
  <c r="G34" i="4" a="1"/>
  <c r="G34" i="4" s="1"/>
  <c r="G10" i="4" a="1"/>
  <c r="G10" i="4" s="1"/>
  <c r="E104" i="4"/>
  <c r="E80" i="4"/>
  <c r="E56" i="4"/>
  <c r="E32" i="4"/>
  <c r="E34" i="4"/>
  <c r="E10" i="4"/>
  <c r="G112" i="4" a="1"/>
  <c r="G112" i="4" s="1"/>
  <c r="G88" i="4" a="1"/>
  <c r="G88" i="4" s="1"/>
  <c r="G64" i="4" a="1"/>
  <c r="G64" i="4" s="1"/>
  <c r="G40" i="4" a="1"/>
  <c r="G40" i="4" s="1"/>
  <c r="G16" i="4" a="1"/>
  <c r="G16" i="4" s="1"/>
  <c r="E110" i="4"/>
  <c r="E86" i="4"/>
  <c r="E62" i="4"/>
  <c r="G42" i="4" a="1"/>
  <c r="G42" i="4" s="1"/>
  <c r="E38" i="4"/>
  <c r="G18" i="4" a="1"/>
  <c r="G18" i="4" s="1"/>
  <c r="E14" i="4"/>
  <c r="E112" i="4"/>
  <c r="E88" i="4"/>
  <c r="E64" i="4"/>
  <c r="E40" i="4"/>
  <c r="E16" i="4"/>
  <c r="G46" i="4" a="1"/>
  <c r="G46" i="4" s="1"/>
  <c r="G22" i="4" a="1"/>
  <c r="G22" i="4" s="1"/>
  <c r="G50" i="4" a="1"/>
  <c r="G50" i="4" s="1"/>
  <c r="E46" i="4"/>
  <c r="G26" i="4" a="1"/>
  <c r="G26" i="4" s="1"/>
  <c r="E22" i="4"/>
  <c r="C12" i="1"/>
  <c r="C6" i="4" l="1"/>
  <c r="B6" i="4"/>
  <c r="J17" i="6"/>
  <c r="J18" i="6"/>
  <c r="J19" i="6"/>
  <c r="J20" i="6"/>
  <c r="C7" i="3"/>
  <c r="F12" i="1"/>
  <c r="G26" i="1"/>
  <c r="H24" i="1" l="1"/>
  <c r="J24" i="1"/>
  <c r="C46" i="1" l="1"/>
  <c r="F5" i="15"/>
  <c r="B5" i="15"/>
  <c r="A5" i="15"/>
  <c r="C26" i="1" l="1"/>
  <c r="E46" i="1"/>
  <c r="D46" i="1"/>
  <c r="E5" i="15"/>
  <c r="D5" i="15"/>
  <c r="J25" i="1" l="1"/>
  <c r="H12" i="1"/>
  <c r="H25" i="1" l="1"/>
  <c r="E26" i="1"/>
  <c r="F26" i="1"/>
  <c r="D26" i="1"/>
  <c r="J7" i="6"/>
  <c r="J5" i="6"/>
  <c r="J9" i="6"/>
  <c r="J8" i="6"/>
  <c r="J6" i="6"/>
  <c r="J10" i="6"/>
  <c r="J11" i="6"/>
  <c r="J13" i="6"/>
  <c r="J16" i="6"/>
  <c r="J15" i="6"/>
  <c r="J12" i="6"/>
  <c r="J14" i="6"/>
  <c r="H22" i="1" l="1"/>
  <c r="J22" i="1"/>
  <c r="H20" i="1"/>
  <c r="J20" i="1"/>
  <c r="H23" i="1"/>
  <c r="J23" i="1"/>
  <c r="H19" i="1"/>
  <c r="J19" i="1"/>
  <c r="H21" i="1"/>
  <c r="J21" i="1"/>
  <c r="I26" i="1"/>
  <c r="H18" i="1"/>
  <c r="A12" i="1" l="1"/>
  <c r="G12" i="1" s="1"/>
  <c r="J26" i="1"/>
  <c r="H26" i="1"/>
  <c r="D12" i="1"/>
  <c r="E6" i="4"/>
  <c r="F6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<sst xmlns="http://schemas.openxmlformats.org/spreadsheetml/2006/main" count="13237" uniqueCount="2138">
  <si>
    <t>ASSET AUDIT REPORT - January 2026</t>
  </si>
  <si>
    <t>Site Code</t>
  </si>
  <si>
    <t>PLCB</t>
  </si>
  <si>
    <t>Site Name</t>
  </si>
  <si>
    <t>KLS</t>
  </si>
  <si>
    <t>Audit Date</t>
  </si>
  <si>
    <t>Auditor</t>
  </si>
  <si>
    <t>James Ochard</t>
  </si>
  <si>
    <t>Audit Period</t>
  </si>
  <si>
    <t>Q1 2026</t>
  </si>
  <si>
    <t>Report Generated</t>
  </si>
  <si>
    <t>KEY PERFORMANCE INDICATORS</t>
  </si>
  <si>
    <t>Site Data</t>
  </si>
  <si>
    <t>IT Allocation Data</t>
  </si>
  <si>
    <t>Operational Devices PBI Data</t>
  </si>
  <si>
    <t>On-Site Total</t>
  </si>
  <si>
    <t>IT Allocation Total</t>
  </si>
  <si>
    <t>Variance</t>
  </si>
  <si>
    <t>PBI Total</t>
  </si>
  <si>
    <t>60-Day Inactive</t>
  </si>
  <si>
    <t>ASSET INVENTORY BY TYPE</t>
  </si>
  <si>
    <t>Device Type</t>
  </si>
  <si>
    <t>Prior Count</t>
  </si>
  <si>
    <t>Good</t>
  </si>
  <si>
    <t>Bad</t>
  </si>
  <si>
    <t>RMA</t>
  </si>
  <si>
    <t>Lost</t>
  </si>
  <si>
    <t>PBI Report Diff</t>
  </si>
  <si>
    <t>Current Count</t>
  </si>
  <si>
    <t>Δ Change</t>
  </si>
  <si>
    <t>TC58</t>
  </si>
  <si>
    <t>ET45</t>
  </si>
  <si>
    <t>ET56</t>
  </si>
  <si>
    <t>L10WA</t>
  </si>
  <si>
    <t>MC930</t>
  </si>
  <si>
    <t>Samsung</t>
  </si>
  <si>
    <t>TC57</t>
  </si>
  <si>
    <t>RT10A</t>
  </si>
  <si>
    <t>TOTAL</t>
  </si>
  <si>
    <t>Total Accessories</t>
  </si>
  <si>
    <t>ACCESSORY INVENTORY BY TYPE</t>
  </si>
  <si>
    <t>DS3608</t>
  </si>
  <si>
    <t>RS5100</t>
  </si>
  <si>
    <t>RelayX</t>
  </si>
  <si>
    <t>QP148454</t>
  </si>
  <si>
    <t>TC58 Accessory</t>
  </si>
  <si>
    <t>TC58 Battery</t>
  </si>
  <si>
    <t>MC930 Battery</t>
  </si>
  <si>
    <t>RS5100 Battery</t>
  </si>
  <si>
    <t>NX-1300</t>
  </si>
  <si>
    <t>VoCollect</t>
  </si>
  <si>
    <t>NOT CONNECTED IN LAST 60 DAYS</t>
  </si>
  <si>
    <t xml:space="preserve">Justification </t>
  </si>
  <si>
    <t>Count</t>
  </si>
  <si>
    <t>Ticket</t>
  </si>
  <si>
    <t>Open Ticket to remove from GL</t>
  </si>
  <si>
    <t>RITM10115486</t>
  </si>
  <si>
    <t>RITM10128571</t>
  </si>
  <si>
    <t>New device on report - to audit</t>
  </si>
  <si>
    <t>n/a</t>
  </si>
  <si>
    <t>Total</t>
  </si>
  <si>
    <t>10</t>
  </si>
  <si>
    <t>2</t>
  </si>
  <si>
    <t>Serial Number</t>
  </si>
  <si>
    <t>Asset Number</t>
  </si>
  <si>
    <t>Model</t>
  </si>
  <si>
    <t>Condition</t>
  </si>
  <si>
    <t>Status</t>
  </si>
  <si>
    <t>Shift</t>
  </si>
  <si>
    <t>Assigned User</t>
  </si>
  <si>
    <t>Last Scan Date</t>
  </si>
  <si>
    <t>GL</t>
  </si>
  <si>
    <t>Comment</t>
  </si>
  <si>
    <t>Scanned</t>
  </si>
  <si>
    <t>G</t>
  </si>
  <si>
    <t>No longer supported</t>
  </si>
  <si>
    <t>B</t>
  </si>
  <si>
    <t>OPS011</t>
  </si>
  <si>
    <t>OPS007</t>
  </si>
  <si>
    <t>OPS014</t>
  </si>
  <si>
    <t>ET015</t>
  </si>
  <si>
    <t>OPS002</t>
  </si>
  <si>
    <t>ELD005</t>
  </si>
  <si>
    <t>OPS013</t>
  </si>
  <si>
    <t>OPS001</t>
  </si>
  <si>
    <t>OPS017</t>
  </si>
  <si>
    <t>T12</t>
  </si>
  <si>
    <t>OPS010</t>
  </si>
  <si>
    <t>T50</t>
  </si>
  <si>
    <t>OPS016</t>
  </si>
  <si>
    <t>ELD003</t>
  </si>
  <si>
    <t>OPS012</t>
  </si>
  <si>
    <t>ELD006</t>
  </si>
  <si>
    <t>ET012</t>
  </si>
  <si>
    <t>OPS005</t>
  </si>
  <si>
    <t>CELLULARTAB#1</t>
  </si>
  <si>
    <t>ELD002</t>
  </si>
  <si>
    <t>CELLULARTAB#2</t>
  </si>
  <si>
    <t>OPS003</t>
  </si>
  <si>
    <t>CELLULARTAB#3</t>
  </si>
  <si>
    <t>OPS006</t>
  </si>
  <si>
    <t>LOST</t>
  </si>
  <si>
    <t>Jamie Murray</t>
  </si>
  <si>
    <t>Asset S21207524200573 has been updated.</t>
  </si>
  <si>
    <t>OPS004</t>
  </si>
  <si>
    <t>ELD45064</t>
  </si>
  <si>
    <t>ELD45062</t>
  </si>
  <si>
    <t>ELD45051</t>
  </si>
  <si>
    <t>ELD45001</t>
  </si>
  <si>
    <t>ELD45029</t>
  </si>
  <si>
    <t>ELD45067</t>
  </si>
  <si>
    <t>ELD45068</t>
  </si>
  <si>
    <t>ELD45017</t>
  </si>
  <si>
    <t>ELD45045</t>
  </si>
  <si>
    <t>ELD45036</t>
  </si>
  <si>
    <t>ELD45072</t>
  </si>
  <si>
    <t>ELD45035</t>
  </si>
  <si>
    <t>ELD45070</t>
  </si>
  <si>
    <t>ELD45043</t>
  </si>
  <si>
    <t>ELD45050</t>
  </si>
  <si>
    <t>ELD45044</t>
  </si>
  <si>
    <t>ELD45058</t>
  </si>
  <si>
    <t>ELD45034</t>
  </si>
  <si>
    <t>ELD45031</t>
  </si>
  <si>
    <t>ELD45048</t>
  </si>
  <si>
    <t>ELD45019</t>
  </si>
  <si>
    <t>ELD45040</t>
  </si>
  <si>
    <t>ELD45006</t>
  </si>
  <si>
    <t>ELD45069</t>
  </si>
  <si>
    <t>ELD45022</t>
  </si>
  <si>
    <t>ELD45020</t>
  </si>
  <si>
    <t>ELD45049</t>
  </si>
  <si>
    <t>ELD45012</t>
  </si>
  <si>
    <t>ELD45039</t>
  </si>
  <si>
    <t>ELD45032</t>
  </si>
  <si>
    <t>ELD45061</t>
  </si>
  <si>
    <t>ELD45063</t>
  </si>
  <si>
    <t>ELD45018</t>
  </si>
  <si>
    <t>ELD45023</t>
  </si>
  <si>
    <t>ELD45004</t>
  </si>
  <si>
    <t>ELD45013</t>
  </si>
  <si>
    <t>ELD45060</t>
  </si>
  <si>
    <t>ELD45037</t>
  </si>
  <si>
    <t>ELD45024</t>
  </si>
  <si>
    <t>ELD45003</t>
  </si>
  <si>
    <t>ELD45015</t>
  </si>
  <si>
    <t>ELD45021</t>
  </si>
  <si>
    <t>ELD45005</t>
  </si>
  <si>
    <t>ELD45028</t>
  </si>
  <si>
    <t>ELD45065</t>
  </si>
  <si>
    <t>ELD45041</t>
  </si>
  <si>
    <t>ELD45010</t>
  </si>
  <si>
    <t>ELD45008</t>
  </si>
  <si>
    <t>ELD45059</t>
  </si>
  <si>
    <t>ELD45011</t>
  </si>
  <si>
    <t>ELD45026</t>
  </si>
  <si>
    <t>ELD45066</t>
  </si>
  <si>
    <t>ELD45038</t>
  </si>
  <si>
    <t>ELD45009</t>
  </si>
  <si>
    <t>ELD45055</t>
  </si>
  <si>
    <t>ELD45025</t>
  </si>
  <si>
    <t>ELD45071</t>
  </si>
  <si>
    <t>ELD45033</t>
  </si>
  <si>
    <t>Both side scan buttons are not working.</t>
  </si>
  <si>
    <t>Barcode is not showing, and a random light come on.</t>
  </si>
  <si>
    <t>SM-T307U</t>
  </si>
  <si>
    <t>0966843</t>
  </si>
  <si>
    <t>0966884</t>
  </si>
  <si>
    <t>0966900</t>
  </si>
  <si>
    <t>0966967</t>
  </si>
  <si>
    <t>0967007</t>
  </si>
  <si>
    <t>0967049</t>
  </si>
  <si>
    <t>0967080</t>
  </si>
  <si>
    <t>0967122</t>
  </si>
  <si>
    <t>0967205</t>
  </si>
  <si>
    <t>0967262</t>
  </si>
  <si>
    <t>0967304</t>
  </si>
  <si>
    <t>0967460</t>
  </si>
  <si>
    <t>0968526</t>
  </si>
  <si>
    <t>0968567</t>
  </si>
  <si>
    <t>0968666</t>
  </si>
  <si>
    <t>0968906</t>
  </si>
  <si>
    <t>0969102</t>
  </si>
  <si>
    <t>0969128</t>
  </si>
  <si>
    <t>0969144</t>
  </si>
  <si>
    <t>0969243</t>
  </si>
  <si>
    <t>0969326</t>
  </si>
  <si>
    <t>0969409</t>
  </si>
  <si>
    <t>0969508</t>
  </si>
  <si>
    <t>0969565</t>
  </si>
  <si>
    <t>0969581</t>
  </si>
  <si>
    <t>0969607</t>
  </si>
  <si>
    <t>0969649</t>
  </si>
  <si>
    <t>0969664</t>
  </si>
  <si>
    <t>0969706</t>
  </si>
  <si>
    <t>0969722</t>
  </si>
  <si>
    <t>0969789</t>
  </si>
  <si>
    <t>0969821</t>
  </si>
  <si>
    <t>0969920</t>
  </si>
  <si>
    <t>0970001</t>
  </si>
  <si>
    <t>0970266</t>
  </si>
  <si>
    <t>0970381</t>
  </si>
  <si>
    <t>0972502</t>
  </si>
  <si>
    <t>0973443</t>
  </si>
  <si>
    <t>0973609</t>
  </si>
  <si>
    <t>0973765</t>
  </si>
  <si>
    <t>0973823</t>
  </si>
  <si>
    <t>0974748</t>
  </si>
  <si>
    <t>0978723</t>
  </si>
  <si>
    <t>0978863</t>
  </si>
  <si>
    <t>0979028</t>
  </si>
  <si>
    <t>0980448</t>
  </si>
  <si>
    <t>0980646</t>
  </si>
  <si>
    <t>0980745</t>
  </si>
  <si>
    <t>0983145</t>
  </si>
  <si>
    <t>0983285</t>
  </si>
  <si>
    <t>0983921</t>
  </si>
  <si>
    <t>0983962</t>
  </si>
  <si>
    <t>0984028</t>
  </si>
  <si>
    <t>0984085</t>
  </si>
  <si>
    <t>0984127</t>
  </si>
  <si>
    <t>0984168</t>
  </si>
  <si>
    <t>0984226</t>
  </si>
  <si>
    <t>0984366</t>
  </si>
  <si>
    <t>0984440</t>
  </si>
  <si>
    <t>0984465</t>
  </si>
  <si>
    <t>0984523</t>
  </si>
  <si>
    <t>0984606</t>
  </si>
  <si>
    <t>0984622</t>
  </si>
  <si>
    <t>0984648</t>
  </si>
  <si>
    <t>0984689</t>
  </si>
  <si>
    <t>0984705</t>
  </si>
  <si>
    <t>0984762</t>
  </si>
  <si>
    <t>0985041</t>
  </si>
  <si>
    <t>0985421</t>
  </si>
  <si>
    <t>0985629</t>
  </si>
  <si>
    <t>0987369</t>
  </si>
  <si>
    <t>0987484</t>
  </si>
  <si>
    <t>0987583</t>
  </si>
  <si>
    <t>0988821</t>
  </si>
  <si>
    <t>0988862</t>
  </si>
  <si>
    <t>0989027</t>
  </si>
  <si>
    <t>0989100</t>
  </si>
  <si>
    <t>0989183</t>
  </si>
  <si>
    <t>0989282</t>
  </si>
  <si>
    <t>0992948</t>
  </si>
  <si>
    <t>0993367</t>
  </si>
  <si>
    <t>0993482</t>
  </si>
  <si>
    <t>0993540</t>
  </si>
  <si>
    <t>1008504</t>
  </si>
  <si>
    <t>1008587</t>
  </si>
  <si>
    <t>1008645</t>
  </si>
  <si>
    <t>1008702</t>
  </si>
  <si>
    <t>1008728</t>
  </si>
  <si>
    <t>1008744</t>
  </si>
  <si>
    <t>1008868</t>
  </si>
  <si>
    <t>1009023</t>
  </si>
  <si>
    <t>1009189</t>
  </si>
  <si>
    <t>1014569</t>
  </si>
  <si>
    <t>1014627</t>
  </si>
  <si>
    <t>1014783</t>
  </si>
  <si>
    <t>1014809</t>
  </si>
  <si>
    <t>1014825</t>
  </si>
  <si>
    <t>1014940</t>
  </si>
  <si>
    <t>19353523600582</t>
  </si>
  <si>
    <t>19353523600598</t>
  </si>
  <si>
    <t>19353523600599</t>
  </si>
  <si>
    <t>19353523600606</t>
  </si>
  <si>
    <t>19353523600611</t>
  </si>
  <si>
    <t>19353523600640</t>
  </si>
  <si>
    <t>19353523600641</t>
  </si>
  <si>
    <t>19470027</t>
  </si>
  <si>
    <t>19470058</t>
  </si>
  <si>
    <t>19470136</t>
  </si>
  <si>
    <t>20132523600152</t>
  </si>
  <si>
    <t>20132523600162</t>
  </si>
  <si>
    <t>21195523600019</t>
  </si>
  <si>
    <t>21195523600051</t>
  </si>
  <si>
    <t>21195523600067</t>
  </si>
  <si>
    <t>21195523600068</t>
  </si>
  <si>
    <t>21195523600076</t>
  </si>
  <si>
    <t>21195523600090</t>
  </si>
  <si>
    <t>21195523600092</t>
  </si>
  <si>
    <t>21200523600621</t>
  </si>
  <si>
    <t>21200523601003</t>
  </si>
  <si>
    <t>21340065</t>
  </si>
  <si>
    <t>22161523600084</t>
  </si>
  <si>
    <t>22167523600665</t>
  </si>
  <si>
    <t>22167523600751</t>
  </si>
  <si>
    <t>22293524700136</t>
  </si>
  <si>
    <t>ELD45046</t>
  </si>
  <si>
    <t>12/6/25</t>
  </si>
  <si>
    <t>22293524700264</t>
  </si>
  <si>
    <t>ELD45030</t>
  </si>
  <si>
    <t>22293524700272</t>
  </si>
  <si>
    <t>ELD45007</t>
  </si>
  <si>
    <t>22293524700275</t>
  </si>
  <si>
    <t>ELD45047</t>
  </si>
  <si>
    <t>22293524700283</t>
  </si>
  <si>
    <t>ELD45014</t>
  </si>
  <si>
    <t>22293524700303</t>
  </si>
  <si>
    <t>ELD45053</t>
  </si>
  <si>
    <t>22293524700326</t>
  </si>
  <si>
    <t>ELD45027</t>
  </si>
  <si>
    <t>22293524700343</t>
  </si>
  <si>
    <t>ELD45054</t>
  </si>
  <si>
    <t>22293524700382</t>
  </si>
  <si>
    <t>ELD45016</t>
  </si>
  <si>
    <t>22293524700386</t>
  </si>
  <si>
    <t>ELD45056</t>
  </si>
  <si>
    <t>22293524700389</t>
  </si>
  <si>
    <t>ELD45057</t>
  </si>
  <si>
    <t>22293524700399</t>
  </si>
  <si>
    <t>ELD45002</t>
  </si>
  <si>
    <t>22293524700410</t>
  </si>
  <si>
    <t>ELD45052</t>
  </si>
  <si>
    <t>22293524700411</t>
  </si>
  <si>
    <t>ELD45042</t>
  </si>
  <si>
    <t>22332522506104</t>
  </si>
  <si>
    <t xml:space="preserve">Barcode scanner laser is not showing. </t>
  </si>
  <si>
    <t>BB35</t>
  </si>
  <si>
    <t>BB4</t>
  </si>
  <si>
    <t>BB5</t>
  </si>
  <si>
    <t>FB002</t>
  </si>
  <si>
    <t>FB003</t>
  </si>
  <si>
    <t>FB005</t>
  </si>
  <si>
    <t>FB006</t>
  </si>
  <si>
    <t>FB007</t>
  </si>
  <si>
    <t>FB008</t>
  </si>
  <si>
    <t>FB009</t>
  </si>
  <si>
    <t>FB010</t>
  </si>
  <si>
    <t>FB011</t>
  </si>
  <si>
    <t>FB012</t>
  </si>
  <si>
    <t>FB013</t>
  </si>
  <si>
    <t>FB014</t>
  </si>
  <si>
    <t>FB015</t>
  </si>
  <si>
    <t>FB016</t>
  </si>
  <si>
    <t>FB017</t>
  </si>
  <si>
    <t>FB019</t>
  </si>
  <si>
    <t>FB021</t>
  </si>
  <si>
    <t>FB023</t>
  </si>
  <si>
    <t>FB024</t>
  </si>
  <si>
    <t>FB025</t>
  </si>
  <si>
    <t>FB026</t>
  </si>
  <si>
    <t>FB027</t>
  </si>
  <si>
    <t>FB029</t>
  </si>
  <si>
    <t>FB030</t>
  </si>
  <si>
    <t>FB031</t>
  </si>
  <si>
    <t>FB032</t>
  </si>
  <si>
    <t>FB034</t>
  </si>
  <si>
    <t>FB035</t>
  </si>
  <si>
    <t>FB036</t>
  </si>
  <si>
    <t>FB037</t>
  </si>
  <si>
    <t>FB038</t>
  </si>
  <si>
    <t>FB101</t>
  </si>
  <si>
    <t>FB102</t>
  </si>
  <si>
    <t>FB104</t>
  </si>
  <si>
    <t>FB106</t>
  </si>
  <si>
    <t>FB107</t>
  </si>
  <si>
    <t>FB108</t>
  </si>
  <si>
    <t>FB109</t>
  </si>
  <si>
    <t>FB110</t>
  </si>
  <si>
    <t>FB112</t>
  </si>
  <si>
    <t>FB113</t>
  </si>
  <si>
    <t>FB114</t>
  </si>
  <si>
    <t>FB115</t>
  </si>
  <si>
    <t>FB117</t>
  </si>
  <si>
    <t>FB120</t>
  </si>
  <si>
    <t>FB121</t>
  </si>
  <si>
    <t>FB122</t>
  </si>
  <si>
    <t>FB123</t>
  </si>
  <si>
    <t>FB124</t>
  </si>
  <si>
    <t>FB125</t>
  </si>
  <si>
    <t>FB126</t>
  </si>
  <si>
    <t>FB127</t>
  </si>
  <si>
    <t>FB131</t>
  </si>
  <si>
    <t>FB132</t>
  </si>
  <si>
    <t>FB133</t>
  </si>
  <si>
    <t>FB134</t>
  </si>
  <si>
    <t>FB138</t>
  </si>
  <si>
    <t>FB140</t>
  </si>
  <si>
    <t>FB141</t>
  </si>
  <si>
    <t>FB142</t>
  </si>
  <si>
    <t>FB143</t>
  </si>
  <si>
    <t>FB144</t>
  </si>
  <si>
    <t>FB145</t>
  </si>
  <si>
    <t>FB146</t>
  </si>
  <si>
    <t>FB147</t>
  </si>
  <si>
    <t>FB149</t>
  </si>
  <si>
    <t>FB150</t>
  </si>
  <si>
    <t>FB151</t>
  </si>
  <si>
    <t>FB152</t>
  </si>
  <si>
    <t>FB153</t>
  </si>
  <si>
    <t>FB154</t>
  </si>
  <si>
    <t>FB155</t>
  </si>
  <si>
    <t>FB156</t>
  </si>
  <si>
    <t>FB157</t>
  </si>
  <si>
    <t>FB158</t>
  </si>
  <si>
    <t>FB159</t>
  </si>
  <si>
    <t>FB160</t>
  </si>
  <si>
    <t>FB161</t>
  </si>
  <si>
    <t>FB162</t>
  </si>
  <si>
    <t>FB163</t>
  </si>
  <si>
    <t>FB164</t>
  </si>
  <si>
    <t>FB165</t>
  </si>
  <si>
    <t>FB166</t>
  </si>
  <si>
    <t>FB167</t>
  </si>
  <si>
    <t>FB168</t>
  </si>
  <si>
    <t>FB169</t>
  </si>
  <si>
    <t>FB170</t>
  </si>
  <si>
    <t>FB171</t>
  </si>
  <si>
    <t>FB172</t>
  </si>
  <si>
    <t>FB173</t>
  </si>
  <si>
    <t>FB174</t>
  </si>
  <si>
    <t>FB175</t>
  </si>
  <si>
    <t>FB176</t>
  </si>
  <si>
    <t>FB177</t>
  </si>
  <si>
    <t>FB178</t>
  </si>
  <si>
    <t>FB179</t>
  </si>
  <si>
    <t>FB180</t>
  </si>
  <si>
    <t>FB181</t>
  </si>
  <si>
    <t>FB182</t>
  </si>
  <si>
    <t>FB183</t>
  </si>
  <si>
    <t>FB184</t>
  </si>
  <si>
    <t>FB186</t>
  </si>
  <si>
    <t>FB187</t>
  </si>
  <si>
    <t>FB23</t>
  </si>
  <si>
    <t>FB34</t>
  </si>
  <si>
    <t>FB43</t>
  </si>
  <si>
    <t>FB50</t>
  </si>
  <si>
    <t>FB51</t>
  </si>
  <si>
    <t>FB52</t>
  </si>
  <si>
    <t>FB53</t>
  </si>
  <si>
    <t>FB54</t>
  </si>
  <si>
    <t>FB55</t>
  </si>
  <si>
    <t>FB56</t>
  </si>
  <si>
    <t>FB57</t>
  </si>
  <si>
    <t>FB58</t>
  </si>
  <si>
    <t>FB59</t>
  </si>
  <si>
    <t>FB60</t>
  </si>
  <si>
    <t>FB61</t>
  </si>
  <si>
    <t>FB62</t>
  </si>
  <si>
    <t>FB63</t>
  </si>
  <si>
    <t>FB64</t>
  </si>
  <si>
    <t>FB65</t>
  </si>
  <si>
    <t>FB66</t>
  </si>
  <si>
    <t>FB68</t>
  </si>
  <si>
    <t>FB69</t>
  </si>
  <si>
    <t>FB70</t>
  </si>
  <si>
    <t>FB71</t>
  </si>
  <si>
    <t>FB72</t>
  </si>
  <si>
    <t>FB74</t>
  </si>
  <si>
    <t>FB75</t>
  </si>
  <si>
    <t>FB76</t>
  </si>
  <si>
    <t>FB77</t>
  </si>
  <si>
    <t>FB78</t>
  </si>
  <si>
    <t>FB79</t>
  </si>
  <si>
    <t>FB80</t>
  </si>
  <si>
    <t>FB81</t>
  </si>
  <si>
    <t>FB82</t>
  </si>
  <si>
    <t>FB83</t>
  </si>
  <si>
    <t>FB84</t>
  </si>
  <si>
    <t>FB85</t>
  </si>
  <si>
    <t>Guardshack</t>
  </si>
  <si>
    <t>KNWD101</t>
  </si>
  <si>
    <t>KNWD102</t>
  </si>
  <si>
    <t>KNWD103</t>
  </si>
  <si>
    <t>KWrd002</t>
  </si>
  <si>
    <t>Lobby1</t>
  </si>
  <si>
    <t>Lobby2</t>
  </si>
  <si>
    <t>Mason</t>
  </si>
  <si>
    <t>Pollard</t>
  </si>
  <si>
    <t>R52N40GY1TT</t>
  </si>
  <si>
    <t>R52N50GCBMH</t>
  </si>
  <si>
    <t>R52R502ZE6L</t>
  </si>
  <si>
    <t>R52R5030A9N</t>
  </si>
  <si>
    <t>R52R5030T4B</t>
  </si>
  <si>
    <t>R52R503479J</t>
  </si>
  <si>
    <t>R52R504C3ZD</t>
  </si>
  <si>
    <t>R52R504CY9X</t>
  </si>
  <si>
    <t>R52R504CYVX</t>
  </si>
  <si>
    <t>R52R504D5CF</t>
  </si>
  <si>
    <t>R52R504DKNB</t>
  </si>
  <si>
    <t>R52R504E3QA</t>
  </si>
  <si>
    <t>R52R504EKTY</t>
  </si>
  <si>
    <t>R52R504H2DX</t>
  </si>
  <si>
    <t>R52R504H4DL</t>
  </si>
  <si>
    <t>R52R504H4LT</t>
  </si>
  <si>
    <t>R52R504JQHM</t>
  </si>
  <si>
    <t>R52R504K3YR</t>
  </si>
  <si>
    <t>R52R505Q1ZA</t>
  </si>
  <si>
    <t>R52R505Q2YL</t>
  </si>
  <si>
    <t>R52R505QV9B</t>
  </si>
  <si>
    <t>R52R505QVKW</t>
  </si>
  <si>
    <t>R52R505R68L</t>
  </si>
  <si>
    <t>R52R505TYGH</t>
  </si>
  <si>
    <t>R52R70F7C4N</t>
  </si>
  <si>
    <t>R9PT5066KQZ</t>
  </si>
  <si>
    <t>R9PT600ZHFF</t>
  </si>
  <si>
    <t>RADIO08</t>
  </si>
  <si>
    <t>RADIO09</t>
  </si>
  <si>
    <t>RADIO10</t>
  </si>
  <si>
    <t>RADIO11</t>
  </si>
  <si>
    <t>RADIO12</t>
  </si>
  <si>
    <t>RADIO13</t>
  </si>
  <si>
    <t>RADIO17</t>
  </si>
  <si>
    <t>RADIO19</t>
  </si>
  <si>
    <t>RADIO20</t>
  </si>
  <si>
    <t>Radio21</t>
  </si>
  <si>
    <t>RADIO23</t>
  </si>
  <si>
    <t>RADIO24</t>
  </si>
  <si>
    <t xml:space="preserve">RADIO27 </t>
  </si>
  <si>
    <t>RADIO29</t>
  </si>
  <si>
    <t>RADIO34</t>
  </si>
  <si>
    <t>TC58B001</t>
  </si>
  <si>
    <t>TC58B002</t>
  </si>
  <si>
    <t>TC58B003</t>
  </si>
  <si>
    <t>TC58B004</t>
  </si>
  <si>
    <t>TC58B005</t>
  </si>
  <si>
    <t>TC58B006</t>
  </si>
  <si>
    <t>TC58B007</t>
  </si>
  <si>
    <t>TC58B008</t>
  </si>
  <si>
    <t>TC58B009</t>
  </si>
  <si>
    <t>TC58B010</t>
  </si>
  <si>
    <t>TC58B011</t>
  </si>
  <si>
    <t>TC58B012</t>
  </si>
  <si>
    <t>TC58B013</t>
  </si>
  <si>
    <t>TC58B014</t>
  </si>
  <si>
    <t>TC58B015</t>
  </si>
  <si>
    <t>TC58B016</t>
  </si>
  <si>
    <t>TC58B017</t>
  </si>
  <si>
    <t>TC58B018</t>
  </si>
  <si>
    <t>TC58B019</t>
  </si>
  <si>
    <t>TC58B020</t>
  </si>
  <si>
    <t>TC58B021</t>
  </si>
  <si>
    <t>TC58B022</t>
  </si>
  <si>
    <t>TC58B023</t>
  </si>
  <si>
    <t>TC58B024</t>
  </si>
  <si>
    <t>TC58B025</t>
  </si>
  <si>
    <t>TC58B026</t>
  </si>
  <si>
    <t>TC58B027</t>
  </si>
  <si>
    <t>TC58B028</t>
  </si>
  <si>
    <t>TC58B029</t>
  </si>
  <si>
    <t>TC58B030</t>
  </si>
  <si>
    <t>TC58B031</t>
  </si>
  <si>
    <t>TC58B032</t>
  </si>
  <si>
    <t>TC58B033</t>
  </si>
  <si>
    <t>TC58B034</t>
  </si>
  <si>
    <t>TC58B035</t>
  </si>
  <si>
    <t>TC58B036</t>
  </si>
  <si>
    <t>TC58B037</t>
  </si>
  <si>
    <t>TC58B038</t>
  </si>
  <si>
    <t>TC58B039</t>
  </si>
  <si>
    <t>TC58B040</t>
  </si>
  <si>
    <t>TC58B042</t>
  </si>
  <si>
    <t>TC58B043</t>
  </si>
  <si>
    <t>TC58B044</t>
  </si>
  <si>
    <t>TC58B045</t>
  </si>
  <si>
    <t>TC58B046</t>
  </si>
  <si>
    <t>TC58B047</t>
  </si>
  <si>
    <t>TC58B048</t>
  </si>
  <si>
    <t>TC58B049</t>
  </si>
  <si>
    <t>TC58B050</t>
  </si>
  <si>
    <t>TC58B051</t>
  </si>
  <si>
    <t>TC58B052</t>
  </si>
  <si>
    <t>TC58B053</t>
  </si>
  <si>
    <t>TC58B054</t>
  </si>
  <si>
    <t>TC58B055</t>
  </si>
  <si>
    <t>TC58B056</t>
  </si>
  <si>
    <t>TC58B057</t>
  </si>
  <si>
    <t>TC58B058</t>
  </si>
  <si>
    <t>TC58B059</t>
  </si>
  <si>
    <t>TC58B060</t>
  </si>
  <si>
    <t>TC58B061</t>
  </si>
  <si>
    <t>TC58B062</t>
  </si>
  <si>
    <t>TC58B063</t>
  </si>
  <si>
    <t>TC58B064</t>
  </si>
  <si>
    <t>TC58B065</t>
  </si>
  <si>
    <t>TC58B066</t>
  </si>
  <si>
    <t>TC58B067</t>
  </si>
  <si>
    <t>TC58B068</t>
  </si>
  <si>
    <t>TC58B069</t>
  </si>
  <si>
    <t>TC58B070</t>
  </si>
  <si>
    <t>TC58B071</t>
  </si>
  <si>
    <t>TC58B072</t>
  </si>
  <si>
    <t>TC58B073</t>
  </si>
  <si>
    <t>TC58B074</t>
  </si>
  <si>
    <t>TC58B075</t>
  </si>
  <si>
    <t>TC58B076</t>
  </si>
  <si>
    <t>TC58B077</t>
  </si>
  <si>
    <t>TC58B078</t>
  </si>
  <si>
    <t>TC58B079</t>
  </si>
  <si>
    <t>TC58B080</t>
  </si>
  <si>
    <t>TC58B081</t>
  </si>
  <si>
    <t>TC58B082</t>
  </si>
  <si>
    <t>TC58B083</t>
  </si>
  <si>
    <t>TC58B084</t>
  </si>
  <si>
    <t>TC58B085</t>
  </si>
  <si>
    <t>TC58B086</t>
  </si>
  <si>
    <t>TC58B088</t>
  </si>
  <si>
    <t>TC58B089</t>
  </si>
  <si>
    <t>TC58B090</t>
  </si>
  <si>
    <t>TC58B091</t>
  </si>
  <si>
    <t>TC58B092</t>
  </si>
  <si>
    <t>TC58B093</t>
  </si>
  <si>
    <t>TC58B094</t>
  </si>
  <si>
    <t>TC58B095</t>
  </si>
  <si>
    <t>TC58B096</t>
  </si>
  <si>
    <t>TC58B097</t>
  </si>
  <si>
    <t>TC58B098</t>
  </si>
  <si>
    <t>TC58B099</t>
  </si>
  <si>
    <t>TC58B100</t>
  </si>
  <si>
    <t>TC58B101</t>
  </si>
  <si>
    <t>TC58B102</t>
  </si>
  <si>
    <t>TC58B103</t>
  </si>
  <si>
    <t>TC58B104</t>
  </si>
  <si>
    <t>TC58B105</t>
  </si>
  <si>
    <t>TC58B106</t>
  </si>
  <si>
    <t>TC58B107</t>
  </si>
  <si>
    <t>TC58B108</t>
  </si>
  <si>
    <t>TC58B109</t>
  </si>
  <si>
    <t>TC58B110</t>
  </si>
  <si>
    <t>TC58B111</t>
  </si>
  <si>
    <t>TC58B112</t>
  </si>
  <si>
    <t>TC58B113</t>
  </si>
  <si>
    <t>TC58B114</t>
  </si>
  <si>
    <t>TC58B115</t>
  </si>
  <si>
    <t>TC58B116</t>
  </si>
  <si>
    <t>TC58B117</t>
  </si>
  <si>
    <t>TC58B118</t>
  </si>
  <si>
    <t>TC58B119</t>
  </si>
  <si>
    <t>TC58B120</t>
  </si>
  <si>
    <t>TC58B121</t>
  </si>
  <si>
    <t>TC58B122</t>
  </si>
  <si>
    <t>TC58B123</t>
  </si>
  <si>
    <t>TC58B124</t>
  </si>
  <si>
    <t>TC58B125</t>
  </si>
  <si>
    <t>TC58B126</t>
  </si>
  <si>
    <t>TC58B127</t>
  </si>
  <si>
    <t>TC58B128</t>
  </si>
  <si>
    <t>TC58B129</t>
  </si>
  <si>
    <t>TC58B130</t>
  </si>
  <si>
    <t>TC58B131</t>
  </si>
  <si>
    <t>TC58B133</t>
  </si>
  <si>
    <t>TC58B134</t>
  </si>
  <si>
    <t>TC58B135</t>
  </si>
  <si>
    <t>TC58B136</t>
  </si>
  <si>
    <t>TC58B137</t>
  </si>
  <si>
    <t>TC58B139</t>
  </si>
  <si>
    <t>TC58B141</t>
  </si>
  <si>
    <t>TC58B142</t>
  </si>
  <si>
    <t>TC58B144</t>
  </si>
  <si>
    <t>TC58B145</t>
  </si>
  <si>
    <t>TC58B147</t>
  </si>
  <si>
    <t>TC58B150</t>
  </si>
  <si>
    <t>TC58B151</t>
  </si>
  <si>
    <t>TC58B152</t>
  </si>
  <si>
    <t>TC58B153</t>
  </si>
  <si>
    <t>TC58B154</t>
  </si>
  <si>
    <t>TC58B155</t>
  </si>
  <si>
    <t>TC58B156</t>
  </si>
  <si>
    <t>TC58B157</t>
  </si>
  <si>
    <t>TC58B158</t>
  </si>
  <si>
    <t>TC58B159</t>
  </si>
  <si>
    <t>TC58B160</t>
  </si>
  <si>
    <t>TC58B161</t>
  </si>
  <si>
    <t>TC58B162</t>
  </si>
  <si>
    <t>TC58B163</t>
  </si>
  <si>
    <t>TC58B164</t>
  </si>
  <si>
    <t>TC58B165</t>
  </si>
  <si>
    <t>TC58B166</t>
  </si>
  <si>
    <t>TC58B167</t>
  </si>
  <si>
    <t>TC58B168</t>
  </si>
  <si>
    <t>TC58B169</t>
  </si>
  <si>
    <t>TC58B170</t>
  </si>
  <si>
    <t>TC58B171</t>
  </si>
  <si>
    <t>TC58B173</t>
  </si>
  <si>
    <t>TC58B175</t>
  </si>
  <si>
    <t>TC58B176</t>
  </si>
  <si>
    <t>Guard</t>
  </si>
  <si>
    <t>Daniel Principe</t>
  </si>
  <si>
    <t>22325522505119</t>
  </si>
  <si>
    <t>22332522506035</t>
  </si>
  <si>
    <t>22332522506066</t>
  </si>
  <si>
    <t>22332522506089</t>
  </si>
  <si>
    <t>22332522506109</t>
  </si>
  <si>
    <t>22332522506115</t>
  </si>
  <si>
    <t>22332522506128</t>
  </si>
  <si>
    <t>22332522506152</t>
  </si>
  <si>
    <t>22332522506206</t>
  </si>
  <si>
    <t>22332522506210</t>
  </si>
  <si>
    <t>22332522506217</t>
  </si>
  <si>
    <t>22348522505254</t>
  </si>
  <si>
    <t>22348522505268</t>
  </si>
  <si>
    <t>22348522505269</t>
  </si>
  <si>
    <t>22348522505309</t>
  </si>
  <si>
    <t>22348522505334</t>
  </si>
  <si>
    <t>22348522505340</t>
  </si>
  <si>
    <t>22348522507483</t>
  </si>
  <si>
    <t>22348522507495</t>
  </si>
  <si>
    <t>22348522507547</t>
  </si>
  <si>
    <t>22348522507590</t>
  </si>
  <si>
    <t>22349522504529</t>
  </si>
  <si>
    <t>FB148</t>
  </si>
  <si>
    <t>TC58B041</t>
  </si>
  <si>
    <t>TC58B087</t>
  </si>
  <si>
    <t>MHE RM-886 NO LABEL</t>
  </si>
  <si>
    <t>C4D36A719A33</t>
  </si>
  <si>
    <t>BAD SCAN</t>
  </si>
  <si>
    <t>23055R0183</t>
  </si>
  <si>
    <t>BB11</t>
  </si>
  <si>
    <t>BB12</t>
  </si>
  <si>
    <t>BB14</t>
  </si>
  <si>
    <t>BB15</t>
  </si>
  <si>
    <t>BB16</t>
  </si>
  <si>
    <t>BB19</t>
  </si>
  <si>
    <t>BB2</t>
  </si>
  <si>
    <t>BB21</t>
  </si>
  <si>
    <t>BB22</t>
  </si>
  <si>
    <t>BB26</t>
  </si>
  <si>
    <t>BB27</t>
  </si>
  <si>
    <t>BB29</t>
  </si>
  <si>
    <t>BB3</t>
  </si>
  <si>
    <t>BB30</t>
  </si>
  <si>
    <t>BB32</t>
  </si>
  <si>
    <t>BB33</t>
  </si>
  <si>
    <t>ELD45073</t>
  </si>
  <si>
    <t>ELD45074</t>
  </si>
  <si>
    <t>GL Substring: '61.5158*' (Filters = [dCO: '61', dCC: '5158'])</t>
  </si>
  <si>
    <t>GL String</t>
  </si>
  <si>
    <t>Category</t>
  </si>
  <si>
    <t>Amount</t>
  </si>
  <si>
    <t>Detail1(UserVendor)</t>
  </si>
  <si>
    <t>Detail2(PRJ.)</t>
  </si>
  <si>
    <t>Country</t>
  </si>
  <si>
    <t>Sector</t>
  </si>
  <si>
    <t>Period</t>
  </si>
  <si>
    <t>Year</t>
  </si>
  <si>
    <t>1MthAgo</t>
  </si>
  <si>
    <t>2MthAgo</t>
  </si>
  <si>
    <t>3MthAgo</t>
  </si>
  <si>
    <t>4MthAgo</t>
  </si>
  <si>
    <t>5MthAgo</t>
  </si>
  <si>
    <t>6MthAgo</t>
  </si>
  <si>
    <t>7MthAgo</t>
  </si>
  <si>
    <t>8MthAgo</t>
  </si>
  <si>
    <t>9MthAgo</t>
  </si>
  <si>
    <t>10MthAgo</t>
  </si>
  <si>
    <t>11MthAgo</t>
  </si>
  <si>
    <t>12MthAgo</t>
  </si>
  <si>
    <t>dCO</t>
  </si>
  <si>
    <t>dCC</t>
  </si>
  <si>
    <t>dCU</t>
  </si>
  <si>
    <t>dAC</t>
  </si>
  <si>
    <t>dAT</t>
  </si>
  <si>
    <t>dSA</t>
  </si>
  <si>
    <t>61.5851.5531.8233.10.000</t>
  </si>
  <si>
    <t>RF HARDWARE</t>
  </si>
  <si>
    <t xml:space="preserve"> 19149522503415</t>
  </si>
  <si>
    <t xml:space="preserve">HSN: 19149522503415, MAC: c81cfe8c1278                            </t>
  </si>
  <si>
    <t>US</t>
  </si>
  <si>
    <t>RETAIL CORE EXCL SLG</t>
  </si>
  <si>
    <t>12</t>
  </si>
  <si>
    <t>2025</t>
  </si>
  <si>
    <t>61</t>
  </si>
  <si>
    <t>5851</t>
  </si>
  <si>
    <t>5531</t>
  </si>
  <si>
    <t>8233</t>
  </si>
  <si>
    <t>000</t>
  </si>
  <si>
    <t xml:space="preserve"> 19172522500971</t>
  </si>
  <si>
    <t xml:space="preserve">HSN: 19172522500971, MAC: 94FB298DAAFC                            </t>
  </si>
  <si>
    <t xml:space="preserve"> 19172522501070</t>
  </si>
  <si>
    <t xml:space="preserve">HSN: 19172522501070, MAC: 94fb298ddf00                            </t>
  </si>
  <si>
    <t xml:space="preserve"> 19172522501096</t>
  </si>
  <si>
    <t xml:space="preserve">HSN: 19172522501096, MAC: 94fb2992bfea                            </t>
  </si>
  <si>
    <t xml:space="preserve"> 19172522501101</t>
  </si>
  <si>
    <t xml:space="preserve">HSN: 19172522501101, MAC: 94fb298dddbb                            </t>
  </si>
  <si>
    <t xml:space="preserve"> 19187522500435</t>
  </si>
  <si>
    <t xml:space="preserve">HSN: 19187522500435, MAC: 94fb298f5c18                            </t>
  </si>
  <si>
    <t xml:space="preserve"> 19187522504542</t>
  </si>
  <si>
    <t xml:space="preserve">HSN: 19187522504542, MAC: 94fb298f5dcf                            </t>
  </si>
  <si>
    <t xml:space="preserve"> 19187522504630</t>
  </si>
  <si>
    <t xml:space="preserve">HSN: 19187522504630, MAC: 78b8d6900f29                            </t>
  </si>
  <si>
    <t xml:space="preserve"> 19187522504962</t>
  </si>
  <si>
    <t xml:space="preserve">HSN: 19187522504962, MAC: 94fb298fa742                            </t>
  </si>
  <si>
    <t xml:space="preserve"> 19201522506033</t>
  </si>
  <si>
    <t xml:space="preserve">HSN: 19201522506033, MAC: c81cfeeee0ef                            </t>
  </si>
  <si>
    <t xml:space="preserve"> 19220522500569</t>
  </si>
  <si>
    <t xml:space="preserve">HSN: 19220522500569, MAC: 94fb2992b411                            </t>
  </si>
  <si>
    <t xml:space="preserve"> 19220522500721</t>
  </si>
  <si>
    <t xml:space="preserve">HSN: 19220522500721, MAC: c81cfe8d1c29                            </t>
  </si>
  <si>
    <t xml:space="preserve"> 19220522500856</t>
  </si>
  <si>
    <t xml:space="preserve">HSN: 19220522500856, MAC: 94fb2992809c                            </t>
  </si>
  <si>
    <t xml:space="preserve"> 19220522500989</t>
  </si>
  <si>
    <t xml:space="preserve">HSN: 19220522500989, MAC: 94fb2990e180                            </t>
  </si>
  <si>
    <t xml:space="preserve"> 19220522501021</t>
  </si>
  <si>
    <t xml:space="preserve">HSN: 19220522501021, MAC: 78b8d64713a1                            </t>
  </si>
  <si>
    <t xml:space="preserve"> 19221522504357</t>
  </si>
  <si>
    <t xml:space="preserve">HSN: 19221522504357, MAC: 94fb29c0915d                            </t>
  </si>
  <si>
    <t xml:space="preserve"> 19221522504434</t>
  </si>
  <si>
    <t xml:space="preserve">HSN: 19221522504434, MAC: 94fb2992bfd2                            </t>
  </si>
  <si>
    <t xml:space="preserve"> 19231522509409</t>
  </si>
  <si>
    <t xml:space="preserve">HSN: 19231522509409, MAC: c81cfe7d6c73                            </t>
  </si>
  <si>
    <t xml:space="preserve"> 19334522504272</t>
  </si>
  <si>
    <t xml:space="preserve">HSN: 19334522504272, MAC: c81cfe4b77d0                            </t>
  </si>
  <si>
    <t xml:space="preserve"> 19353523600552</t>
  </si>
  <si>
    <t>L10AW</t>
  </si>
  <si>
    <t xml:space="preserve">HSN: 19353523600552, MAC: 94fb297ecb59                            </t>
  </si>
  <si>
    <t xml:space="preserve"> 19353523600563</t>
  </si>
  <si>
    <t xml:space="preserve">HSN: 19353523600563, MAC: 94fb297ecb6e                            </t>
  </si>
  <si>
    <t xml:space="preserve"> 19353523600584</t>
  </si>
  <si>
    <t xml:space="preserve">HSN: 19353523600584, MAC: 94fb297edc37                            </t>
  </si>
  <si>
    <t xml:space="preserve"> 19353523600589</t>
  </si>
  <si>
    <t xml:space="preserve">HSN: 19353523600589, MAC: 94fb297ebd19                            </t>
  </si>
  <si>
    <t xml:space="preserve"> 19353523600592</t>
  </si>
  <si>
    <t xml:space="preserve">HSN: 19353523600592, MAC: 94fb29ed25f5                            </t>
  </si>
  <si>
    <t xml:space="preserve"> 19353523600603</t>
  </si>
  <si>
    <t xml:space="preserve">HSN: 19353523600603, MAC: 94fb297ecbc5                            </t>
  </si>
  <si>
    <t xml:space="preserve"> 19353523600611</t>
  </si>
  <si>
    <t xml:space="preserve">HSN: 19353523600611, MAC: 94fb297ecb89                            </t>
  </si>
  <si>
    <t xml:space="preserve"> 19353523600624</t>
  </si>
  <si>
    <t xml:space="preserve">HSN: 19353523600624, MAC: 94fb297ecbd1                            </t>
  </si>
  <si>
    <t xml:space="preserve"> 19353523600630</t>
  </si>
  <si>
    <t xml:space="preserve">HSN: 19353523600630, MAC: 94fb297ecb74                            </t>
  </si>
  <si>
    <t xml:space="preserve"> 19353523600633</t>
  </si>
  <si>
    <t xml:space="preserve">HSN: 19353523600633, MAC: 94fb297ecb02                            </t>
  </si>
  <si>
    <t xml:space="preserve"> 19353523600635</t>
  </si>
  <si>
    <t xml:space="preserve">HSN: 19353523600635, MAC: 94fb297eca15                            </t>
  </si>
  <si>
    <t xml:space="preserve"> 19353523600636</t>
  </si>
  <si>
    <t xml:space="preserve">HSN: 19353523600636, MAC: 94fb29ed25d7                            </t>
  </si>
  <si>
    <t xml:space="preserve"> 19353523600641</t>
  </si>
  <si>
    <t xml:space="preserve">HSN: 19353523600641, MAC: 94fb297ecadb                            </t>
  </si>
  <si>
    <t xml:space="preserve"> 19353523600643</t>
  </si>
  <si>
    <t xml:space="preserve">HSN: 19353523600643, MAC: 94fb297ebba5                            </t>
  </si>
  <si>
    <t xml:space="preserve"> 19353523600649</t>
  </si>
  <si>
    <t xml:space="preserve">HSN: 19353523600649, MAC: 94fb297ebb24                            </t>
  </si>
  <si>
    <t xml:space="preserve"> 20114522510250</t>
  </si>
  <si>
    <t>MC93</t>
  </si>
  <si>
    <t xml:space="preserve">HSN: 20114522510250, MAC: 94fb29bcf689                            </t>
  </si>
  <si>
    <t xml:space="preserve"> 20114522519801</t>
  </si>
  <si>
    <t xml:space="preserve">HSN: 20114522519801, MAC: 78b8d60b0a53                            </t>
  </si>
  <si>
    <t xml:space="preserve"> 20114522519866</t>
  </si>
  <si>
    <t xml:space="preserve">HSN: 20114522519866, MAC: 78b8d60b090e                            </t>
  </si>
  <si>
    <t xml:space="preserve"> 20114522519901</t>
  </si>
  <si>
    <t xml:space="preserve">HSN: 20114522519901, MAC: 78b8d60b079c                            </t>
  </si>
  <si>
    <t xml:space="preserve"> 20114522519987</t>
  </si>
  <si>
    <t xml:space="preserve">HSN: 20114522519987, MAC: 78b8d60b0994                            </t>
  </si>
  <si>
    <t xml:space="preserve"> 20114522520027</t>
  </si>
  <si>
    <t xml:space="preserve">HSN: 20114522520027, MAC: 78b8d60b08d2                            </t>
  </si>
  <si>
    <t xml:space="preserve"> 20114523600355</t>
  </si>
  <si>
    <t xml:space="preserve">HSN: 20114523600355, MAC: 94fb297f51d6                            </t>
  </si>
  <si>
    <t xml:space="preserve"> 20114523600384</t>
  </si>
  <si>
    <t xml:space="preserve">HSN: 20114523600384, MAC: 94fb297f530b                            </t>
  </si>
  <si>
    <t xml:space="preserve"> 20132523600137</t>
  </si>
  <si>
    <t xml:space="preserve">HSN: 20132523600137, MAC: 94fb297f6b02                            </t>
  </si>
  <si>
    <t xml:space="preserve"> 20132523600158</t>
  </si>
  <si>
    <t xml:space="preserve">HSN: 20132523600158, MAC: 94fb297f6b44                            </t>
  </si>
  <si>
    <t xml:space="preserve"> 21014522502210</t>
  </si>
  <si>
    <t xml:space="preserve">HSN: 21014522502210, MAC: 78b8d668781d                            </t>
  </si>
  <si>
    <t xml:space="preserve"> 21014522502220</t>
  </si>
  <si>
    <t xml:space="preserve">HSN: 21014522502220, MAC: 78b8d6db1a08                            </t>
  </si>
  <si>
    <t xml:space="preserve"> 21014522502426</t>
  </si>
  <si>
    <t xml:space="preserve">HSN: 21014522502426, MAC: c81cfe7fc74b                            </t>
  </si>
  <si>
    <t xml:space="preserve"> 21014522502447</t>
  </si>
  <si>
    <t xml:space="preserve">HSN: 21014522502447, MAC: c81cfe8d1ffc                            </t>
  </si>
  <si>
    <t xml:space="preserve"> 21014522502500</t>
  </si>
  <si>
    <t xml:space="preserve">HSN: 21014522502500, MAC: 78b8d667c9df                            </t>
  </si>
  <si>
    <t xml:space="preserve"> 21014522502502</t>
  </si>
  <si>
    <t xml:space="preserve">HSN: 21014522502502, MAC: 78b8d6687905                            </t>
  </si>
  <si>
    <t xml:space="preserve"> 21014522502513</t>
  </si>
  <si>
    <t xml:space="preserve">HSN: 21014522502513, MAC: 78b8d66877a3                            </t>
  </si>
  <si>
    <t xml:space="preserve"> 21014522502561</t>
  </si>
  <si>
    <t xml:space="preserve">HSN: 21014522502561, MAC: 78b8d6687850                            </t>
  </si>
  <si>
    <t xml:space="preserve"> 21014522502609</t>
  </si>
  <si>
    <t xml:space="preserve">HSN: 21014522502609, MAC: c81cfe8d1c79                            </t>
  </si>
  <si>
    <t xml:space="preserve"> 21014522502703</t>
  </si>
  <si>
    <t xml:space="preserve">HSN: 21014522502703, MAC: 94fb29c03f8b                            </t>
  </si>
  <si>
    <t xml:space="preserve"> 21014522502705</t>
  </si>
  <si>
    <t xml:space="preserve">HSN: 21014522502705, MAC: 78b8d667c5db                            </t>
  </si>
  <si>
    <t xml:space="preserve"> 21014522521222</t>
  </si>
  <si>
    <t xml:space="preserve">HSN: 21014522521222, MAC: 78b8d6687aa7                            </t>
  </si>
  <si>
    <t xml:space="preserve"> 21014522521230</t>
  </si>
  <si>
    <t xml:space="preserve">HSN: 21014522521230, MAC: 78b8d668796e                            </t>
  </si>
  <si>
    <t xml:space="preserve"> 21014522521239</t>
  </si>
  <si>
    <t xml:space="preserve">HSN: 21014522521239, MAC: c81cfe4b77ff                            </t>
  </si>
  <si>
    <t xml:space="preserve"> 21014522521250</t>
  </si>
  <si>
    <t xml:space="preserve">HSN: 21014522521250, MAC: 94fb29913296                            </t>
  </si>
  <si>
    <t xml:space="preserve"> 21014522521276</t>
  </si>
  <si>
    <t xml:space="preserve">HSN: 21014522521276, MAC: 78b8d6687a9d                            </t>
  </si>
  <si>
    <t xml:space="preserve"> 21014522521304</t>
  </si>
  <si>
    <t xml:space="preserve">HSN: 21014522521304, MAC: 78b8d6687a30                            </t>
  </si>
  <si>
    <t xml:space="preserve"> 21014522521328</t>
  </si>
  <si>
    <t xml:space="preserve">HSN: 21014522521328, MAC: 78b8d6687ac9                            </t>
  </si>
  <si>
    <t xml:space="preserve"> 21014522521345</t>
  </si>
  <si>
    <t xml:space="preserve">HSN: 21014522521345, MAC: 78b8d6687b9d                            </t>
  </si>
  <si>
    <t xml:space="preserve"> 21014522521365</t>
  </si>
  <si>
    <t xml:space="preserve">HSN: 21014522521365, MAC: 78b8d66877de                            </t>
  </si>
  <si>
    <t xml:space="preserve"> 21014522521366</t>
  </si>
  <si>
    <t xml:space="preserve">HSN: 21014522521366, MAC: 78b8d6687cca                            </t>
  </si>
  <si>
    <t xml:space="preserve"> 21014522521372</t>
  </si>
  <si>
    <t xml:space="preserve">HSN: 21014522521372, MAC: 78b8d66879fe                            </t>
  </si>
  <si>
    <t xml:space="preserve"> 21014522521406</t>
  </si>
  <si>
    <t xml:space="preserve">HSN: 21014522521406, MAC: 78b8d6687bc9                            </t>
  </si>
  <si>
    <t xml:space="preserve"> 21014522521410</t>
  </si>
  <si>
    <t xml:space="preserve">HSN: 21014522521410, MAC: 78b8d66879e6                            </t>
  </si>
  <si>
    <t xml:space="preserve"> 21014522521418</t>
  </si>
  <si>
    <t xml:space="preserve">HSN: 21014522521418, MAC: 78b8d6db1e86                            </t>
  </si>
  <si>
    <t xml:space="preserve"> 21014522521429</t>
  </si>
  <si>
    <t xml:space="preserve">HSN: 21014522521429, MAC: 78b8d6687ccb                            </t>
  </si>
  <si>
    <t xml:space="preserve"> 21014522521432</t>
  </si>
  <si>
    <t xml:space="preserve">HSN: 21014522521432, MAC: 78b8d690195a                            </t>
  </si>
  <si>
    <t xml:space="preserve"> 21014522521450</t>
  </si>
  <si>
    <t xml:space="preserve">HSN: 21014522521450, MAC: 78b8d6687b3a                            </t>
  </si>
  <si>
    <t xml:space="preserve"> 21014522521477</t>
  </si>
  <si>
    <t xml:space="preserve">HSN: 21014522521477, MAC: 78b8d6687aaf                            </t>
  </si>
  <si>
    <t xml:space="preserve"> 21014522521491</t>
  </si>
  <si>
    <t xml:space="preserve">HSN: 21014522521491, MAC: 78b8d6687881                            </t>
  </si>
  <si>
    <t xml:space="preserve"> 21014522521531</t>
  </si>
  <si>
    <t xml:space="preserve">HSN: 21014522521531, MAC: 78b8d6687c13                            </t>
  </si>
  <si>
    <t xml:space="preserve"> 21014522521543</t>
  </si>
  <si>
    <t xml:space="preserve">HSN: 21014522521543, MAC: c81cfe7def58                            </t>
  </si>
  <si>
    <t xml:space="preserve"> 21014522521544</t>
  </si>
  <si>
    <t xml:space="preserve">HSN: 21014522521544, MAC: c81cfebcc200                            </t>
  </si>
  <si>
    <t xml:space="preserve"> 21014522521547</t>
  </si>
  <si>
    <t xml:space="preserve">HSN: 21014522521547, MAC: 78b8d6687763                            </t>
  </si>
  <si>
    <t xml:space="preserve"> 21014522521599</t>
  </si>
  <si>
    <t xml:space="preserve">HSN: 21014522521599, MAC: 78b8d6687b22                            </t>
  </si>
  <si>
    <t xml:space="preserve"> 21014522521658</t>
  </si>
  <si>
    <t xml:space="preserve">HSN: 21014522521658, MAC: 78b8d6687ab9                            </t>
  </si>
  <si>
    <t xml:space="preserve"> 21014522521660</t>
  </si>
  <si>
    <t xml:space="preserve">HSN: 21014522521660, MAC: 94fb2991ea86                            </t>
  </si>
  <si>
    <t xml:space="preserve"> 21014522521675</t>
  </si>
  <si>
    <t xml:space="preserve">HSN: 21014522521675, MAC: 78B8D66877D1                            </t>
  </si>
  <si>
    <t xml:space="preserve"> 21014522521688</t>
  </si>
  <si>
    <t xml:space="preserve">HSN: 21014522521688, MAC: 78b8d66877d7                            </t>
  </si>
  <si>
    <t xml:space="preserve"> 21014522521715</t>
  </si>
  <si>
    <t xml:space="preserve">HSN: 21014522521715, MAC: 78b8d6687bfc                            </t>
  </si>
  <si>
    <t xml:space="preserve"> 21014522521719</t>
  </si>
  <si>
    <t xml:space="preserve">HSN: 21014522521719, MAC: 78b8d6687801                            </t>
  </si>
  <si>
    <t xml:space="preserve"> 21014522521734</t>
  </si>
  <si>
    <t xml:space="preserve">HSN: 21014522521734, MAC: 78b8d6687bd8                            </t>
  </si>
  <si>
    <t xml:space="preserve"> 21014522521738</t>
  </si>
  <si>
    <t xml:space="preserve">HSN: 21014522521738, MAC: 78b8d6687bbe                            </t>
  </si>
  <si>
    <t xml:space="preserve"> 21014522521745</t>
  </si>
  <si>
    <t xml:space="preserve">HSN: 21014522521745, MAC: 78b8d6687995                            </t>
  </si>
  <si>
    <t xml:space="preserve"> 21014522521749</t>
  </si>
  <si>
    <t xml:space="preserve">HSN: 21014522521749, MAC: 78b8d6687cce                            </t>
  </si>
  <si>
    <t xml:space="preserve"> 21014522521775</t>
  </si>
  <si>
    <t xml:space="preserve">HSN: 21014522521775, MAC: 78b8d6687b14                            </t>
  </si>
  <si>
    <t xml:space="preserve"> 21014522521778</t>
  </si>
  <si>
    <t xml:space="preserve">HSN: 21014522521778, MAC: 78B8D6687C4A                            </t>
  </si>
  <si>
    <t xml:space="preserve"> 21014522521793</t>
  </si>
  <si>
    <t xml:space="preserve">HSN: 21014522521793, MAC: 78b8d66877db                            </t>
  </si>
  <si>
    <t xml:space="preserve"> 21014522521797</t>
  </si>
  <si>
    <t xml:space="preserve">HSN: 21014522521797, MAC: 94fb29ac053d                            </t>
  </si>
  <si>
    <t xml:space="preserve"> 21014522521859</t>
  </si>
  <si>
    <t xml:space="preserve">HSN: 21014522521859, MAC: c81cfe101e0d                            </t>
  </si>
  <si>
    <t xml:space="preserve"> 21014522521875</t>
  </si>
  <si>
    <t xml:space="preserve">HSN: 21014522521875, MAC: 78B8D6687C67                            </t>
  </si>
  <si>
    <t xml:space="preserve"> 21014522521885</t>
  </si>
  <si>
    <t xml:space="preserve">HSN: 21014522521885, MAC: 78b8d6687bf6                            </t>
  </si>
  <si>
    <t xml:space="preserve"> 21015522501673</t>
  </si>
  <si>
    <t xml:space="preserve">HSN: 21015522501673, MAC: 78b8d668798b                            </t>
  </si>
  <si>
    <t xml:space="preserve"> 21015522501676</t>
  </si>
  <si>
    <t xml:space="preserve">HSN: 21015522501676, MAC: 78b8d6687c59                            </t>
  </si>
  <si>
    <t xml:space="preserve"> 21015522501690</t>
  </si>
  <si>
    <t xml:space="preserve">HSN: 21015522501690, MAC: 78b8d66878a5                            </t>
  </si>
  <si>
    <t xml:space="preserve"> 21015522501703</t>
  </si>
  <si>
    <t xml:space="preserve">HSN: 21015522501703, MAC: 78b8d6687cb0                            </t>
  </si>
  <si>
    <t xml:space="preserve"> 21015522501714</t>
  </si>
  <si>
    <t xml:space="preserve">HSN: 21015522501714, MAC: 78b8d6687c20                            </t>
  </si>
  <si>
    <t xml:space="preserve"> 21015522501729</t>
  </si>
  <si>
    <t xml:space="preserve">HSN: 21015522501729, MAC: 78b8d668798c                            </t>
  </si>
  <si>
    <t xml:space="preserve"> 21015522501731</t>
  </si>
  <si>
    <t xml:space="preserve">HSN: 21015522501731, MAC: 78B8D6687BCE                            </t>
  </si>
  <si>
    <t xml:space="preserve"> 21015522501753</t>
  </si>
  <si>
    <t xml:space="preserve">HSN: 21015522501753, MAC: 78b8d6687b66                            </t>
  </si>
  <si>
    <t xml:space="preserve"> 21015522501769</t>
  </si>
  <si>
    <t xml:space="preserve">HSN: 21015522501769, MAC: 78B8D66878D4                            </t>
  </si>
  <si>
    <t xml:space="preserve"> 21015522501786</t>
  </si>
  <si>
    <t xml:space="preserve">HSN: 21015522501786, MAC: 78b8d6687cb8                            </t>
  </si>
  <si>
    <t xml:space="preserve"> 21103523600462</t>
  </si>
  <si>
    <t xml:space="preserve">HSN: 21103523600462, MAC: 94fb29e2f462                            </t>
  </si>
  <si>
    <t xml:space="preserve"> 21103523600473</t>
  </si>
  <si>
    <t xml:space="preserve">HSN: 21103523600473, MAC: 94fb29e2f7a8                            </t>
  </si>
  <si>
    <t xml:space="preserve"> 21103523600510</t>
  </si>
  <si>
    <t xml:space="preserve">HSN: 21103523600510, MAC: 94fb29e2f8ae                            </t>
  </si>
  <si>
    <t xml:space="preserve"> 21103523600513</t>
  </si>
  <si>
    <t xml:space="preserve">HSN: 21103523600513, MAC: 94fb29e2f8e2                            </t>
  </si>
  <si>
    <t xml:space="preserve"> 21103523600526</t>
  </si>
  <si>
    <t xml:space="preserve">HSN: 21103523600526, MAC: 94fb29e2f8f4                            </t>
  </si>
  <si>
    <t xml:space="preserve"> 21103523600541</t>
  </si>
  <si>
    <t xml:space="preserve">HSN: 21103523600541, MAC: 94fb29e2f8d0                            </t>
  </si>
  <si>
    <t xml:space="preserve"> 21103523600562</t>
  </si>
  <si>
    <t xml:space="preserve">HSN: 21103523600562, MAC: 94fb29e2f6d6                            </t>
  </si>
  <si>
    <t xml:space="preserve"> 21103523600564</t>
  </si>
  <si>
    <t xml:space="preserve">HSN: 21103523600564, MAC: 94fb29e2f5fa                            </t>
  </si>
  <si>
    <t xml:space="preserve"> 21103523600569</t>
  </si>
  <si>
    <t xml:space="preserve">HSN: 21103523600569, MAC: 94fb29e2f6c8                            </t>
  </si>
  <si>
    <t xml:space="preserve"> 21103523600604</t>
  </si>
  <si>
    <t xml:space="preserve">HSN: 21103523600604, MAC: 94fb29e2f906                            </t>
  </si>
  <si>
    <t xml:space="preserve"> 21103523600617</t>
  </si>
  <si>
    <t xml:space="preserve">HSN: 21103523600617, MAC: 94fb29e2f678                            </t>
  </si>
  <si>
    <t xml:space="preserve"> 21103523600624</t>
  </si>
  <si>
    <t xml:space="preserve">HSN: 21103523600624, MAC: 94fb29e2f4ac                            </t>
  </si>
  <si>
    <t xml:space="preserve"> 21103523600642</t>
  </si>
  <si>
    <t xml:space="preserve">HSN: 21103523600642, MAC: 94fb29e2f48e                            </t>
  </si>
  <si>
    <t xml:space="preserve"> 21103523600666</t>
  </si>
  <si>
    <t xml:space="preserve">HSN: 21103523600666, MAC: 94fb29e2f4ba                            </t>
  </si>
  <si>
    <t xml:space="preserve"> 21103523600669</t>
  </si>
  <si>
    <t xml:space="preserve">HSN: 21103523600669, MAC: 94fb29e2f63e                            </t>
  </si>
  <si>
    <t xml:space="preserve"> 21103523600673</t>
  </si>
  <si>
    <t xml:space="preserve">HSN: 21103523600673, MAC: 94fb29e2f568                            </t>
  </si>
  <si>
    <t xml:space="preserve"> 21103523600714</t>
  </si>
  <si>
    <t xml:space="preserve">HSN: 21103523600714, MAC: 94fb29e2f63c                            </t>
  </si>
  <si>
    <t xml:space="preserve"> 21103523600722</t>
  </si>
  <si>
    <t xml:space="preserve">HSN: 21103523600722, MAC: 94fb29e2f484                            </t>
  </si>
  <si>
    <t xml:space="preserve"> 21103523600742</t>
  </si>
  <si>
    <t xml:space="preserve">HSN: 21103523600742, MAC: 94fb29e2f488                            </t>
  </si>
  <si>
    <t xml:space="preserve"> 21103523600746</t>
  </si>
  <si>
    <t xml:space="preserve">HSN: 21103523600746, MAC: 94fb29e2f668                            </t>
  </si>
  <si>
    <t xml:space="preserve"> 21103523600788</t>
  </si>
  <si>
    <t xml:space="preserve">HSN: 21103523600788, MAC: 94fb29e2f596                            </t>
  </si>
  <si>
    <t xml:space="preserve"> 21103523600793</t>
  </si>
  <si>
    <t xml:space="preserve">HSN: 21103523600793, MAC: 94fb29e2f88a                            </t>
  </si>
  <si>
    <t xml:space="preserve"> 21103523600809</t>
  </si>
  <si>
    <t xml:space="preserve">HSN: 21103523600809, MAC: 94fb29e2f814                            </t>
  </si>
  <si>
    <t xml:space="preserve"> 21103523600821</t>
  </si>
  <si>
    <t xml:space="preserve">HSN: 21103523600821, MAC: 94fb29e2f5a4                            </t>
  </si>
  <si>
    <t xml:space="preserve"> 21103523600846</t>
  </si>
  <si>
    <t xml:space="preserve">HSN: 21103523600846, MAC: 94fb29e2f466                            </t>
  </si>
  <si>
    <t xml:space="preserve"> 21103523600847</t>
  </si>
  <si>
    <t xml:space="preserve">HSN: 21103523600847, MAC: 94fb29e2f692                            </t>
  </si>
  <si>
    <t xml:space="preserve"> 21103523600862</t>
  </si>
  <si>
    <t xml:space="preserve">HSN: 21103523600862, MAC: 94fb29e2f780                            </t>
  </si>
  <si>
    <t xml:space="preserve"> 21103523600876</t>
  </si>
  <si>
    <t xml:space="preserve">HSN: 21103523600876, MAC: 94fb29e2f790                            </t>
  </si>
  <si>
    <t xml:space="preserve"> 21103523600907</t>
  </si>
  <si>
    <t xml:space="preserve">HSN: 21103523600907, MAC: 94fb29e2f6b4                            </t>
  </si>
  <si>
    <t xml:space="preserve"> 21103523600927</t>
  </si>
  <si>
    <t xml:space="preserve">HSN: 21103523600927, MAC: 94fb29e2ad8c                            </t>
  </si>
  <si>
    <t xml:space="preserve"> 21103523600931</t>
  </si>
  <si>
    <t xml:space="preserve">HSN: 21103523600931, MAC: 94fb29e2ad86                            </t>
  </si>
  <si>
    <t xml:space="preserve"> 21103523600967</t>
  </si>
  <si>
    <t xml:space="preserve">HSN: 21103523600967, MAC: 94fb29e2f72a                            </t>
  </si>
  <si>
    <t>61.5851.5531.8233.20.000</t>
  </si>
  <si>
    <t xml:space="preserve"> 21103523600986</t>
  </si>
  <si>
    <t xml:space="preserve">HSN: 21103523600986, MAC: 94fb29e2fb3e                            </t>
  </si>
  <si>
    <t>20</t>
  </si>
  <si>
    <t xml:space="preserve"> 21103523600992</t>
  </si>
  <si>
    <t xml:space="preserve">HSN: 21103523600992, MAC: 94fb29e2f960                            </t>
  </si>
  <si>
    <t xml:space="preserve"> 21103523600995</t>
  </si>
  <si>
    <t xml:space="preserve">HSN: 21103523600995, MAC: 94fb29e2f84a                            </t>
  </si>
  <si>
    <t xml:space="preserve"> 21103523601018</t>
  </si>
  <si>
    <t xml:space="preserve">HSN: 21103523601018, MAC: 94fb29e2ada4                            </t>
  </si>
  <si>
    <t xml:space="preserve"> 21103523601019</t>
  </si>
  <si>
    <t xml:space="preserve">HSN: 21103523601019, MAC: 94fb29e22b96                            </t>
  </si>
  <si>
    <t xml:space="preserve"> 21112523600223</t>
  </si>
  <si>
    <t xml:space="preserve">HSN: 21112523600223, MAC: 94fb29e2fa5e                            </t>
  </si>
  <si>
    <t xml:space="preserve"> 21112523600381</t>
  </si>
  <si>
    <t xml:space="preserve">HSN: 21112523600381, MAC: 94fb29e319fd                            </t>
  </si>
  <si>
    <t xml:space="preserve"> 21112523600612</t>
  </si>
  <si>
    <t xml:space="preserve">HSN: 21112523600612, MAC: 94fb29e2fa92                            </t>
  </si>
  <si>
    <t xml:space="preserve"> 21112523600726</t>
  </si>
  <si>
    <t xml:space="preserve">HSN: 21112523600726, MAC: 94fb29e30d93                            </t>
  </si>
  <si>
    <t xml:space="preserve"> 21112523600869</t>
  </si>
  <si>
    <t xml:space="preserve">HSN: 21112523600869, MAC: 94fb29e2f57c                            </t>
  </si>
  <si>
    <t xml:space="preserve"> 21112523600873</t>
  </si>
  <si>
    <t xml:space="preserve">HSN: 21112523600873, MAC: 94fb29e2f6bc                            </t>
  </si>
  <si>
    <t xml:space="preserve"> 21112523601043</t>
  </si>
  <si>
    <t xml:space="preserve">HSN: 21112523601043, MAC: 94fb29e31a05                            </t>
  </si>
  <si>
    <t xml:space="preserve"> 21112523601141</t>
  </si>
  <si>
    <t xml:space="preserve">HSN: 21112523601141, MAC: 94fb29e30d40                            </t>
  </si>
  <si>
    <t xml:space="preserve"> 21112523601232</t>
  </si>
  <si>
    <t xml:space="preserve">HSN: 21112523601232, MAC: 94fb29e31a37                            </t>
  </si>
  <si>
    <t xml:space="preserve"> 21112523601376</t>
  </si>
  <si>
    <t xml:space="preserve">HSN: 21112523601376, MAC: 94fb29e31aed                            </t>
  </si>
  <si>
    <t xml:space="preserve"> 21123523600269</t>
  </si>
  <si>
    <t xml:space="preserve">HSN: 21123523600269, MAC: 94fb29e3247a                            </t>
  </si>
  <si>
    <t xml:space="preserve"> 21123523600496</t>
  </si>
  <si>
    <t xml:space="preserve">HSN: 21123523600496, MAC: 94fb29e32560                            </t>
  </si>
  <si>
    <t xml:space="preserve"> 21123523600563</t>
  </si>
  <si>
    <t xml:space="preserve">HSN: 21123523600563, MAC: 94fb29e32532                            </t>
  </si>
  <si>
    <t xml:space="preserve"> 21195523600007</t>
  </si>
  <si>
    <t xml:space="preserve">HSN: 21195523600007, MAC: 94fb29e3e784                            </t>
  </si>
  <si>
    <t xml:space="preserve"> 21195523600008</t>
  </si>
  <si>
    <t xml:space="preserve">HSN: 21195523600008, MAC: 94fb29e3e77e                            </t>
  </si>
  <si>
    <t xml:space="preserve"> 21195523600018</t>
  </si>
  <si>
    <t xml:space="preserve">HSN: 21195523600018, MAC: 94fb29e3e703                            </t>
  </si>
  <si>
    <t xml:space="preserve"> 21195523600019</t>
  </si>
  <si>
    <t xml:space="preserve">HSN: 21195523600019, MAC: 94fb29e3e6e5                            </t>
  </si>
  <si>
    <t xml:space="preserve"> 21195523600030</t>
  </si>
  <si>
    <t xml:space="preserve">HSN: 21195523600030, MAC: 94fb29ed276f                            </t>
  </si>
  <si>
    <t xml:space="preserve"> 21195523600051</t>
  </si>
  <si>
    <t xml:space="preserve">HSN: 21195523600051, MAC: 94fb29e3e8b3                            </t>
  </si>
  <si>
    <t xml:space="preserve"> 21195523600067</t>
  </si>
  <si>
    <t xml:space="preserve">HSN: 21195523600067, MAC: 94fb29e3e6b8                            </t>
  </si>
  <si>
    <t xml:space="preserve"> 21195523600068</t>
  </si>
  <si>
    <t xml:space="preserve">HSN: 21195523600068, MAC: 94fb29e3d683                            </t>
  </si>
  <si>
    <t xml:space="preserve"> 21195523600076</t>
  </si>
  <si>
    <t xml:space="preserve">HSN: 21195523600076, MAC: 94fb29e3e5b2                            </t>
  </si>
  <si>
    <t xml:space="preserve"> 21195523600081</t>
  </si>
  <si>
    <t xml:space="preserve">HSN: 21195523600081, MAC: 94fb29e3e6be                            </t>
  </si>
  <si>
    <t xml:space="preserve"> 21195523600088</t>
  </si>
  <si>
    <t xml:space="preserve">HSN: 21195523600088, MAC: 94fb29ed24ff                            </t>
  </si>
  <si>
    <t xml:space="preserve"> 21195523600090</t>
  </si>
  <si>
    <t xml:space="preserve">HSN: 21195523600090, MAC: 94fb29e3e910                            </t>
  </si>
  <si>
    <t xml:space="preserve"> 21195523600092</t>
  </si>
  <si>
    <t xml:space="preserve">HSN: 21195523600092, MAC: 94fb29e3e93a                            </t>
  </si>
  <si>
    <t xml:space="preserve"> 21196524200367</t>
  </si>
  <si>
    <t xml:space="preserve">HSN: 21196524200367, MAC: 94fb29bf12f0                            </t>
  </si>
  <si>
    <t xml:space="preserve"> 21196524200414</t>
  </si>
  <si>
    <t xml:space="preserve">HSN: 21196524200414, MAC: 94fb29bf1347                            </t>
  </si>
  <si>
    <t xml:space="preserve"> 21196524200465</t>
  </si>
  <si>
    <t xml:space="preserve">HSN: 21196524200465, MAC: 94fb29bf1269                            </t>
  </si>
  <si>
    <t xml:space="preserve"> 21196524200496</t>
  </si>
  <si>
    <t xml:space="preserve">HSN: 21196524200496, MAC: 94fb29bf1172                            </t>
  </si>
  <si>
    <t xml:space="preserve"> 21200523600621</t>
  </si>
  <si>
    <t xml:space="preserve">HSN: 21200523600621, MAC: 94fb29e3eb80                            </t>
  </si>
  <si>
    <t xml:space="preserve"> 21200523600951</t>
  </si>
  <si>
    <t xml:space="preserve">HSN: 21200523600951, MAC: 94fb29e3fbf0                            </t>
  </si>
  <si>
    <t xml:space="preserve"> 21200523600972</t>
  </si>
  <si>
    <t xml:space="preserve">HSN: 21200523600972, MAC: 94fb29e3f5d8                            </t>
  </si>
  <si>
    <t xml:space="preserve"> 21200523601003</t>
  </si>
  <si>
    <t xml:space="preserve">HSN: 21200523601003, MAC: 94fb29ed2724                            </t>
  </si>
  <si>
    <t xml:space="preserve"> 21207524200538</t>
  </si>
  <si>
    <t xml:space="preserve">HSN: 21207524200538, MAC: 94fb29bf4d28                            </t>
  </si>
  <si>
    <t xml:space="preserve"> 21207524200541</t>
  </si>
  <si>
    <t xml:space="preserve">HSN: 21207524200541, MAC: 94fb29bf4cc6                            </t>
  </si>
  <si>
    <t xml:space="preserve"> 21207524200572</t>
  </si>
  <si>
    <t xml:space="preserve">HSN: 21207524200572, MAC: 94fb29bf4c24                            </t>
  </si>
  <si>
    <t xml:space="preserve"> 21207524200573</t>
  </si>
  <si>
    <t xml:space="preserve">HSN: 21207524200573, MAC: 94fb29bf4cdd                            </t>
  </si>
  <si>
    <t xml:space="preserve"> 21207524200576</t>
  </si>
  <si>
    <t xml:space="preserve">HSN: 21207524200576, MAC: 94fb29bf4cc9                            </t>
  </si>
  <si>
    <t xml:space="preserve"> 21207524200631</t>
  </si>
  <si>
    <t xml:space="preserve">HSN: 21207524200631, MAC: 94fb29bf4c51                            </t>
  </si>
  <si>
    <t xml:space="preserve"> 21207524200649</t>
  </si>
  <si>
    <t xml:space="preserve">HSN: 21207524200649, MAC: 94fb29bf4acd                            </t>
  </si>
  <si>
    <t xml:space="preserve"> 21207524200654</t>
  </si>
  <si>
    <t xml:space="preserve">HSN: 21207524200654, MAC: 94fb29bf4d27                            </t>
  </si>
  <si>
    <t xml:space="preserve"> 21207524200664</t>
  </si>
  <si>
    <t xml:space="preserve">HSN: 21207524200664, MAC: 94fb29bf4d3b                            </t>
  </si>
  <si>
    <t xml:space="preserve"> 21207524200665</t>
  </si>
  <si>
    <t xml:space="preserve">HSN: 21207524200665, MAC: 94fb29bf49c8                            </t>
  </si>
  <si>
    <t xml:space="preserve"> 21207524200668</t>
  </si>
  <si>
    <t xml:space="preserve">HSN: 21207524200668, MAC: 94fb29bf4d0c                            </t>
  </si>
  <si>
    <t xml:space="preserve"> 21333523600389</t>
  </si>
  <si>
    <t xml:space="preserve">HSN: 21333523600389, MAC: 94fb29e68ca0                            </t>
  </si>
  <si>
    <t xml:space="preserve"> 21333523600637</t>
  </si>
  <si>
    <t xml:space="preserve">HSN: 21333523600637, MAC: 94fb29e68cd2                            </t>
  </si>
  <si>
    <t xml:space="preserve"> 21333523600836</t>
  </si>
  <si>
    <t xml:space="preserve">HSN: 21333523600836, MAC: 94fb29e68d2a                            </t>
  </si>
  <si>
    <t xml:space="preserve"> 21342523600077</t>
  </si>
  <si>
    <t xml:space="preserve">HSN: 21342523600077, MAC: 94fb29e69323                            </t>
  </si>
  <si>
    <t xml:space="preserve"> 21342523600085</t>
  </si>
  <si>
    <t xml:space="preserve">HSN: 21342523600085, MAC: 94fb29e6923d                            </t>
  </si>
  <si>
    <t xml:space="preserve"> 21342523600099</t>
  </si>
  <si>
    <t xml:space="preserve">HSN: 21342523600099, MAC: 94fb29e699c8                            </t>
  </si>
  <si>
    <t xml:space="preserve"> 21342523600100</t>
  </si>
  <si>
    <t xml:space="preserve">HSN: 21342523600100, MAC: 94fb29e69fb0                            </t>
  </si>
  <si>
    <t xml:space="preserve"> 21342523600113</t>
  </si>
  <si>
    <t xml:space="preserve">HSN: 21342523600113, MAC: 94fb29e694e0                            </t>
  </si>
  <si>
    <t xml:space="preserve"> 21342523600114</t>
  </si>
  <si>
    <t xml:space="preserve">HSN: 21342523600114, MAC: 94fb29e6941e                            </t>
  </si>
  <si>
    <t xml:space="preserve"> 21342523600123</t>
  </si>
  <si>
    <t xml:space="preserve">HSN: 21342523600123, MAC: 94fb29e6aa99                            </t>
  </si>
  <si>
    <t xml:space="preserve"> 21342523600140</t>
  </si>
  <si>
    <t xml:space="preserve">HSN: 21342523600140, MAC: 94fb29e698a6                            </t>
  </si>
  <si>
    <t xml:space="preserve"> 21342523600141</t>
  </si>
  <si>
    <t xml:space="preserve">HSN: 21342523600141, MAC: 94fb29e69520                            </t>
  </si>
  <si>
    <t xml:space="preserve"> 21342523600161</t>
  </si>
  <si>
    <t xml:space="preserve">HSN: 21342523600161, MAC: 94fb29e69c68                            </t>
  </si>
  <si>
    <t xml:space="preserve"> 21342523600171</t>
  </si>
  <si>
    <t xml:space="preserve">HSN: 21342523600171, MAC: 94fb29e694f3                            </t>
  </si>
  <si>
    <t xml:space="preserve"> 21342523600186</t>
  </si>
  <si>
    <t xml:space="preserve">HSN: 21342523600186, MAC: 94fb29e69287                            </t>
  </si>
  <si>
    <t xml:space="preserve"> 21342523600189</t>
  </si>
  <si>
    <t xml:space="preserve">HSN: 21342523600189, MAC: 94fb29e69c8f                            </t>
  </si>
  <si>
    <t xml:space="preserve"> 21342523600196</t>
  </si>
  <si>
    <t xml:space="preserve">HSN: 21342523600196, MAC: 94fb29e69289                            </t>
  </si>
  <si>
    <t xml:space="preserve"> 21342523600216</t>
  </si>
  <si>
    <t xml:space="preserve">HSN: 21342523600216, MAC: 94fb29e6944d                            </t>
  </si>
  <si>
    <t xml:space="preserve"> 21342523600217</t>
  </si>
  <si>
    <t xml:space="preserve">HSN: 21342523600217, MAC: 94fb29e6ac09                            </t>
  </si>
  <si>
    <t xml:space="preserve"> 21342523600225</t>
  </si>
  <si>
    <t xml:space="preserve">HSN: 21342523600225, MAC: 94fb29e6997e                            </t>
  </si>
  <si>
    <t xml:space="preserve"> 21342523600226</t>
  </si>
  <si>
    <t xml:space="preserve">HSN: 21342523600226, MAC: 94fb29e69d4c                            </t>
  </si>
  <si>
    <t xml:space="preserve"> 21342523600230</t>
  </si>
  <si>
    <t xml:space="preserve">HSN: 21342523600230, MAC: 94fb29e695d8                            </t>
  </si>
  <si>
    <t xml:space="preserve"> 21342523600234</t>
  </si>
  <si>
    <t xml:space="preserve">HSN: 21342523600234, MAC: 94fb29e69a18                            </t>
  </si>
  <si>
    <t xml:space="preserve"> 21342523600235</t>
  </si>
  <si>
    <t xml:space="preserve">HSN: 21342523600235, MAC: 94fb29e6ab5b                            </t>
  </si>
  <si>
    <t xml:space="preserve"> 21342523600238</t>
  </si>
  <si>
    <t xml:space="preserve">HSN: 21342523600238, MAC: 94fb29e6a0e7                            </t>
  </si>
  <si>
    <t xml:space="preserve"> 21342523600240</t>
  </si>
  <si>
    <t xml:space="preserve">HSN: 21342523600240, MAC: 94fb29e695ec                            </t>
  </si>
  <si>
    <t xml:space="preserve"> 21342523600244</t>
  </si>
  <si>
    <t xml:space="preserve">HSN: 21342523600244, MAC: 94fb29e69fb2                            </t>
  </si>
  <si>
    <t xml:space="preserve"> 21342523600254</t>
  </si>
  <si>
    <t xml:space="preserve">HSN: 21342523600254, MAC: 94fb29e6aa19                            </t>
  </si>
  <si>
    <t xml:space="preserve"> 21342523600271</t>
  </si>
  <si>
    <t xml:space="preserve">HSN: 21342523600271, MAC: 94fb29e69c7f                            </t>
  </si>
  <si>
    <t xml:space="preserve"> 21342523600284</t>
  </si>
  <si>
    <t xml:space="preserve">HSN: 21342523600284, MAC: 94fb29e69d7a                            </t>
  </si>
  <si>
    <t xml:space="preserve"> 21342523600295</t>
  </si>
  <si>
    <t xml:space="preserve">HSN: 21342523600295, MAC: 94fb29e694a9                            </t>
  </si>
  <si>
    <t xml:space="preserve"> 21342523600495</t>
  </si>
  <si>
    <t xml:space="preserve">HSN: 21342523600495, MAC: 94fb29e68ef2                            </t>
  </si>
  <si>
    <t xml:space="preserve"> 22134523600199</t>
  </si>
  <si>
    <t xml:space="preserve">HSN: 22134523600199, MAC: 94fb29ecd3d6                            </t>
  </si>
  <si>
    <t xml:space="preserve"> 22134523600247</t>
  </si>
  <si>
    <t xml:space="preserve">HSN: 22134523600247, MAC: 94fb29e78b46                            </t>
  </si>
  <si>
    <t xml:space="preserve"> 22134523600293</t>
  </si>
  <si>
    <t xml:space="preserve">HSN: 22134523600293, MAC: 94fb29e81e7e                            </t>
  </si>
  <si>
    <t xml:space="preserve"> 22137523600119</t>
  </si>
  <si>
    <t xml:space="preserve">HSN: 22137523600119, MAC: 94fb29e8055d                            </t>
  </si>
  <si>
    <t xml:space="preserve"> 22137523600169</t>
  </si>
  <si>
    <t xml:space="preserve">HSN: 22137523600169, MAC: 94fb29e8201d                            </t>
  </si>
  <si>
    <t xml:space="preserve"> 22139523601892</t>
  </si>
  <si>
    <t xml:space="preserve">HSN: 22139523601892, MAC: 94fb29e8218d                            </t>
  </si>
  <si>
    <t xml:space="preserve"> 22161523600031</t>
  </si>
  <si>
    <t xml:space="preserve">HSN: 22161523600031, MAC: 94fb29e89f78                            </t>
  </si>
  <si>
    <t xml:space="preserve"> 22161523600061</t>
  </si>
  <si>
    <t xml:space="preserve">HSN: 22161523600061, MAC: 94fb29e89d04                            </t>
  </si>
  <si>
    <t xml:space="preserve"> 22161523600084</t>
  </si>
  <si>
    <t xml:space="preserve">HSN: 22161523600084, MAC: 94fb29e89e84                            </t>
  </si>
  <si>
    <t xml:space="preserve"> 22161523600228</t>
  </si>
  <si>
    <t xml:space="preserve">HSN: 22161523600228, MAC: 94fb29e8a4dd                            </t>
  </si>
  <si>
    <t xml:space="preserve"> 22167523600602</t>
  </si>
  <si>
    <t xml:space="preserve">HSN: 22167523600602, MAC: 94fb29e8a7e7                            </t>
  </si>
  <si>
    <t xml:space="preserve"> 22167523600629</t>
  </si>
  <si>
    <t xml:space="preserve">HSN: 22167523600629, MAC: 94fb29e89d52                            </t>
  </si>
  <si>
    <t xml:space="preserve"> 22167523600665</t>
  </si>
  <si>
    <t xml:space="preserve">HSN: 22167523600665, MAC: 94fb29e8a16c                            </t>
  </si>
  <si>
    <t xml:space="preserve"> 22167523600692</t>
  </si>
  <si>
    <t xml:space="preserve">HSN: 22167523600692, MAC: 94fb29e89e78                            </t>
  </si>
  <si>
    <t xml:space="preserve"> 22167523600739</t>
  </si>
  <si>
    <t xml:space="preserve">HSN: 22167523600739, MAC: 94fb29e8a0c9                            </t>
  </si>
  <si>
    <t xml:space="preserve"> 22167523600751</t>
  </si>
  <si>
    <t xml:space="preserve">HSN: 22167523600751, MAC: 94fb29e8a133                            </t>
  </si>
  <si>
    <t xml:space="preserve"> 22168522503949</t>
  </si>
  <si>
    <t xml:space="preserve">HSN: 22168522503949, MAC: c81cfe4a6560                            </t>
  </si>
  <si>
    <t xml:space="preserve"> 22168522504043</t>
  </si>
  <si>
    <t xml:space="preserve">HSN: 22168522504043, MAC: c81cfe164778                            </t>
  </si>
  <si>
    <t xml:space="preserve"> 22231523600890</t>
  </si>
  <si>
    <t xml:space="preserve">HSN: 22231523600890, MAC: 94fb29e9e49e                            </t>
  </si>
  <si>
    <t xml:space="preserve"> 22292524701416</t>
  </si>
  <si>
    <t xml:space="preserve">HSN: 22292524701416, MAC: c81cfe30e873                            </t>
  </si>
  <si>
    <t xml:space="preserve"> 22292524701427</t>
  </si>
  <si>
    <t xml:space="preserve">HSN: 22292524701427, MAC: c81cfe30e88c                            </t>
  </si>
  <si>
    <t xml:space="preserve"> 22293524700004</t>
  </si>
  <si>
    <t xml:space="preserve">HSN: 22293524700004, MAC: c81cfe30e8b0                            </t>
  </si>
  <si>
    <t xml:space="preserve"> 22293524700010</t>
  </si>
  <si>
    <t xml:space="preserve">HSN: 22293524700010, MAC: c81cfe30e8b8                            </t>
  </si>
  <si>
    <t xml:space="preserve"> 22293524700050</t>
  </si>
  <si>
    <t xml:space="preserve">HSN: 22293524700050, MAC: c81cfe30e90a                            </t>
  </si>
  <si>
    <t xml:space="preserve"> 22293524700086</t>
  </si>
  <si>
    <t xml:space="preserve">HSN: 22293524700086, MAC: c81cfe30e954                            </t>
  </si>
  <si>
    <t xml:space="preserve"> 22293524700101</t>
  </si>
  <si>
    <t xml:space="preserve">HSN: 22293524700101, MAC: c81cfe30e971                            </t>
  </si>
  <si>
    <t xml:space="preserve"> 22293524700120</t>
  </si>
  <si>
    <t xml:space="preserve">HSN: 22293524700120, MAC: c81cfe30e998                            </t>
  </si>
  <si>
    <t xml:space="preserve"> 22293524700136</t>
  </si>
  <si>
    <t xml:space="preserve">HSN: 22293524700136, MAC: c81cfe30e9b7                            </t>
  </si>
  <si>
    <t xml:space="preserve"> 22293524700256</t>
  </si>
  <si>
    <t xml:space="preserve">HSN: 22293524700256, MAC: c81cfe30eaa8                            </t>
  </si>
  <si>
    <t xml:space="preserve"> 22293524700264</t>
  </si>
  <si>
    <t xml:space="preserve">HSN: 22293524700264, MAC: c81cfe30eab8                            </t>
  </si>
  <si>
    <t xml:space="preserve"> 22293524700272</t>
  </si>
  <si>
    <t xml:space="preserve">HSN: 22293524700272, MAC: c81cfe30eac8                            </t>
  </si>
  <si>
    <t xml:space="preserve"> 22293524700275</t>
  </si>
  <si>
    <t xml:space="preserve">HSN: 22293524700275, MAC: c81cfe30eacb                            </t>
  </si>
  <si>
    <t xml:space="preserve"> 22293524700283</t>
  </si>
  <si>
    <t xml:space="preserve">HSN: 22293524700283, MAC: c81cfe30eae0                            </t>
  </si>
  <si>
    <t xml:space="preserve"> 22293524700303</t>
  </si>
  <si>
    <t xml:space="preserve">HSN: 22293524700303, MAC: c81cfe30eb05                            </t>
  </si>
  <si>
    <t xml:space="preserve"> 22293524700326</t>
  </si>
  <si>
    <t xml:space="preserve">HSN: 22293524700326, MAC: c81cfe30eb2e                            </t>
  </si>
  <si>
    <t xml:space="preserve"> 22293524700343</t>
  </si>
  <si>
    <t xml:space="preserve">HSN: 22293524700343, MAC: c81cfe30eb53                            </t>
  </si>
  <si>
    <t xml:space="preserve"> 22293524700382</t>
  </si>
  <si>
    <t xml:space="preserve">HSN: 22293524700382, MAC: c81cfe30eba4                            </t>
  </si>
  <si>
    <t xml:space="preserve"> 22293524700386</t>
  </si>
  <si>
    <t xml:space="preserve">HSN: 22293524700386, MAC: c81cfe30ebac                            </t>
  </si>
  <si>
    <t xml:space="preserve"> 22293524700389</t>
  </si>
  <si>
    <t xml:space="preserve">HSN: 22293524700389, MAC: c81cfe30ebb2                            </t>
  </si>
  <si>
    <t xml:space="preserve"> 22293524700399</t>
  </si>
  <si>
    <t xml:space="preserve">HSN: 22293524700399, MAC: c81cfe30ebc6                            </t>
  </si>
  <si>
    <t xml:space="preserve"> 22293524700410</t>
  </si>
  <si>
    <t xml:space="preserve">HSN: 22293524700410, MAC: c81cfe30ebdc                            </t>
  </si>
  <si>
    <t xml:space="preserve"> 22293524700411</t>
  </si>
  <si>
    <t xml:space="preserve">HSN: 22293524700411, MAC: c81cfe30ebde                            </t>
  </si>
  <si>
    <t xml:space="preserve"> 22293524700437</t>
  </si>
  <si>
    <t xml:space="preserve">HSN: 22293524700437, MAC: c81cfe30ec12                            </t>
  </si>
  <si>
    <t xml:space="preserve"> 22293524700443</t>
  </si>
  <si>
    <t xml:space="preserve">HSN: 22293524700443, MAC: c81cfe30ec1b                            </t>
  </si>
  <si>
    <t xml:space="preserve"> 22293524700446</t>
  </si>
  <si>
    <t xml:space="preserve">HSN: 22293524700446, MAC: c81cfe30ec22                            </t>
  </si>
  <si>
    <t xml:space="preserve"> 22293524700476</t>
  </si>
  <si>
    <t xml:space="preserve">HSN: 22293524700476, MAC: c81cfe30ec60                            </t>
  </si>
  <si>
    <t xml:space="preserve"> 22293524700491</t>
  </si>
  <si>
    <t xml:space="preserve">HSN: 22293524700491, MAC: c81cfe30ec7e                            </t>
  </si>
  <si>
    <t xml:space="preserve"> 22293524700501</t>
  </si>
  <si>
    <t xml:space="preserve">HSN: 22293524700501, MAC: c81cfe30ec92                            </t>
  </si>
  <si>
    <t xml:space="preserve"> 22293524700535</t>
  </si>
  <si>
    <t xml:space="preserve">HSN: 22293524700535, MAC: c81cfe30ecd8                            </t>
  </si>
  <si>
    <t xml:space="preserve"> 22293524700538</t>
  </si>
  <si>
    <t xml:space="preserve">HSN: 22293524700538, MAC: c81cfe30ecdc                            </t>
  </si>
  <si>
    <t xml:space="preserve"> 22293524700563</t>
  </si>
  <si>
    <t xml:space="preserve">HSN: 22293524700563, MAC: c81cfe30ed10                            </t>
  </si>
  <si>
    <t xml:space="preserve"> 22293524700580</t>
  </si>
  <si>
    <t xml:space="preserve">HSN: 22293524700580, MAC: c81cfe30ed32                            </t>
  </si>
  <si>
    <t xml:space="preserve"> 22293524700813</t>
  </si>
  <si>
    <t xml:space="preserve">HSN: 22293524700813, MAC: c81cfe30ef12                            </t>
  </si>
  <si>
    <t xml:space="preserve"> 22293524700879</t>
  </si>
  <si>
    <t xml:space="preserve">HSN: 22293524700879, MAC: c81cfe30ef96                            </t>
  </si>
  <si>
    <t xml:space="preserve"> 22293524700885</t>
  </si>
  <si>
    <t xml:space="preserve">HSN: 22293524700885, MAC: c81cfe30efa2                            </t>
  </si>
  <si>
    <t xml:space="preserve"> 22293524700935</t>
  </si>
  <si>
    <t xml:space="preserve">HSN: 22293524700935, MAC: c81cfe30f002                            </t>
  </si>
  <si>
    <t xml:space="preserve"> 22293524701109</t>
  </si>
  <si>
    <t xml:space="preserve">HSN: 22293524701109, MAC: c81cfe30f160                            </t>
  </si>
  <si>
    <t xml:space="preserve"> 22293524701200</t>
  </si>
  <si>
    <t xml:space="preserve">HSN: 22293524701200, MAC: c81cfe30f217                            </t>
  </si>
  <si>
    <t xml:space="preserve"> 22293524701250</t>
  </si>
  <si>
    <t xml:space="preserve">HSN: 22293524701250, MAC: c81cfe30f277                            </t>
  </si>
  <si>
    <t xml:space="preserve"> 22293524701293</t>
  </si>
  <si>
    <t xml:space="preserve">HSN: 22293524701293, MAC: c81cfe30f2d1                            </t>
  </si>
  <si>
    <t xml:space="preserve"> 22293524701312</t>
  </si>
  <si>
    <t xml:space="preserve">HSN: 22293524701312, MAC: c81cfe30f342                            </t>
  </si>
  <si>
    <t xml:space="preserve"> 22293524701316</t>
  </si>
  <si>
    <t xml:space="preserve">HSN: 22293524701316, MAC: c81cfe30f2fe                            </t>
  </si>
  <si>
    <t xml:space="preserve"> 22293524701318</t>
  </si>
  <si>
    <t xml:space="preserve">HSN: 22293524701318, MAC: c81cfe30f33d                            </t>
  </si>
  <si>
    <t xml:space="preserve"> 22293524701339</t>
  </si>
  <si>
    <t xml:space="preserve">HSN: 22293524701339, MAC: c81cfe30f33c                            </t>
  </si>
  <si>
    <t xml:space="preserve"> 22293524701363</t>
  </si>
  <si>
    <t xml:space="preserve">HSN: 22293524701363, MAC: c81cfe30f374                            </t>
  </si>
  <si>
    <t xml:space="preserve"> 22293524701382</t>
  </si>
  <si>
    <t xml:space="preserve">HSN: 22293524701382, MAC: c81cfe30f39a                            </t>
  </si>
  <si>
    <t xml:space="preserve"> 22293524701395</t>
  </si>
  <si>
    <t xml:space="preserve">HSN: 22293524701395, MAC: c81cfe30f3b0                            </t>
  </si>
  <si>
    <t xml:space="preserve"> 22293524701468</t>
  </si>
  <si>
    <t xml:space="preserve">HSN: 22293524701468, MAC: c81cfe30f43f                            </t>
  </si>
  <si>
    <t xml:space="preserve"> 22293524701485</t>
  </si>
  <si>
    <t xml:space="preserve">HSN: 22293524701485, MAC: c81cfe30f460                            </t>
  </si>
  <si>
    <t xml:space="preserve"> 22293524701510</t>
  </si>
  <si>
    <t xml:space="preserve">HSN: 22293524701510, MAC: c81cfe30f496                            </t>
  </si>
  <si>
    <t xml:space="preserve"> 22293524701544</t>
  </si>
  <si>
    <t xml:space="preserve">HSN: 22293524701544, MAC: c81cfe30f4db                            </t>
  </si>
  <si>
    <t xml:space="preserve"> 22293524701571</t>
  </si>
  <si>
    <t xml:space="preserve">HSN: 22293524701571, MAC: c81cfe30f512                            </t>
  </si>
  <si>
    <t xml:space="preserve"> 22293524701594</t>
  </si>
  <si>
    <t xml:space="preserve">HSN: 22293524701594, MAC: c81cfe30f540                            </t>
  </si>
  <si>
    <t xml:space="preserve"> 22293524701600</t>
  </si>
  <si>
    <t xml:space="preserve">HSN: 22293524701600, MAC: c81cfe30f54c                            </t>
  </si>
  <si>
    <t xml:space="preserve"> 22293524701603</t>
  </si>
  <si>
    <t xml:space="preserve">HSN: 22293524701603, MAC: c81cfe30f550                            </t>
  </si>
  <si>
    <t xml:space="preserve"> 22293524701681</t>
  </si>
  <si>
    <t xml:space="preserve">HSN: 22293524701681, MAC: c81cfe30f5e6                            </t>
  </si>
  <si>
    <t xml:space="preserve"> 22293524701686</t>
  </si>
  <si>
    <t xml:space="preserve">HSN: 22293524701686, MAC: c81cfe30f5f0                            </t>
  </si>
  <si>
    <t xml:space="preserve"> 22293524701715</t>
  </si>
  <si>
    <t xml:space="preserve">HSN: 22293524701715, MAC: c81cfe30f626                            </t>
  </si>
  <si>
    <t xml:space="preserve"> 22293524701735</t>
  </si>
  <si>
    <t xml:space="preserve">HSN: 22293524701735, MAC: c81cfe30f646                            </t>
  </si>
  <si>
    <t xml:space="preserve"> 22293524701769</t>
  </si>
  <si>
    <t xml:space="preserve">HSN: 22293524701769, MAC: c81cfe30f68e                            </t>
  </si>
  <si>
    <t xml:space="preserve"> 22293524701834</t>
  </si>
  <si>
    <t xml:space="preserve">HSN: 22293524701834, MAC: c81cfe30f70e                            </t>
  </si>
  <si>
    <t xml:space="preserve"> 22293524701850</t>
  </si>
  <si>
    <t xml:space="preserve">HSN: 22293524701850, MAC: c81cfe30f730                            </t>
  </si>
  <si>
    <t xml:space="preserve"> 22293524701891</t>
  </si>
  <si>
    <t xml:space="preserve">HSN: 22293524701891, MAC: c81cfe30f78a                            </t>
  </si>
  <si>
    <t xml:space="preserve"> 22293524701893</t>
  </si>
  <si>
    <t xml:space="preserve">HSN: 22293524701893, MAC: c81cfe30f78e                            </t>
  </si>
  <si>
    <t xml:space="preserve"> 22294524700060</t>
  </si>
  <si>
    <t xml:space="preserve">HSN: 22294524700060, MAC: c81cfe30f82e                            </t>
  </si>
  <si>
    <t xml:space="preserve"> 22294524700106</t>
  </si>
  <si>
    <t xml:space="preserve">HSN: 22294524700106, MAC: c81cfe30f886                            </t>
  </si>
  <si>
    <t xml:space="preserve"> 22294524700112</t>
  </si>
  <si>
    <t xml:space="preserve">HSN: 22294524700112, MAC: c81cfe30f892                            </t>
  </si>
  <si>
    <t xml:space="preserve"> 22294524700130</t>
  </si>
  <si>
    <t xml:space="preserve">HSN: 22294524700130, MAC: c81cfe30f8b8                            </t>
  </si>
  <si>
    <t xml:space="preserve"> 22294524700151</t>
  </si>
  <si>
    <t xml:space="preserve">HSN: 22294524700151, MAC: c81cfe30f8e0                            </t>
  </si>
  <si>
    <t xml:space="preserve"> 22294524700201</t>
  </si>
  <si>
    <t xml:space="preserve">HSN: 22294524700201, MAC: c81cfe30f96e                            </t>
  </si>
  <si>
    <t xml:space="preserve"> 22294524700202</t>
  </si>
  <si>
    <t xml:space="preserve">HSN: 22294524700202, MAC: c81cfe30f946                            </t>
  </si>
  <si>
    <t xml:space="preserve"> 22294524700324</t>
  </si>
  <si>
    <t xml:space="preserve">HSN: 22294524700324, MAC: c81cfe30fa3e                            </t>
  </si>
  <si>
    <t xml:space="preserve"> 22322522503014</t>
  </si>
  <si>
    <t xml:space="preserve">HSN: 22322522503014, MAC: c81cfe71ccb7                            </t>
  </si>
  <si>
    <t xml:space="preserve"> 22322522503026</t>
  </si>
  <si>
    <t xml:space="preserve">HSN: 22322522503026, MAC: c81cfe71cc01                            </t>
  </si>
  <si>
    <t xml:space="preserve"> 22322522503038</t>
  </si>
  <si>
    <t xml:space="preserve">HSN: 22322522503038, MAC: c81cfe71d155                            </t>
  </si>
  <si>
    <t xml:space="preserve"> 22322522503117</t>
  </si>
  <si>
    <t xml:space="preserve">HSN: 22322522503117, MAC: c81cfe71cbd3                            </t>
  </si>
  <si>
    <t xml:space="preserve"> 22323522509986</t>
  </si>
  <si>
    <t xml:space="preserve">HSN: 22323522509986, MAC: c81cfe71d04a                            </t>
  </si>
  <si>
    <t xml:space="preserve"> 22323522510010</t>
  </si>
  <si>
    <t xml:space="preserve">HSN: 22323522510010, MAC: c81cfe71d1d9                            </t>
  </si>
  <si>
    <t xml:space="preserve"> 22323522510027</t>
  </si>
  <si>
    <t xml:space="preserve">HSN: 22323522510027, MAC: c81cfe71cc79                            </t>
  </si>
  <si>
    <t xml:space="preserve"> 22323522510096</t>
  </si>
  <si>
    <t xml:space="preserve">HSN: 22323522510096, MAC: c81cfe71cebe                            </t>
  </si>
  <si>
    <t xml:space="preserve"> 22323522510099</t>
  </si>
  <si>
    <t xml:space="preserve">HSN: 22323522510099, MAC: c81cfe71d0bc                            </t>
  </si>
  <si>
    <t xml:space="preserve"> 22323522510105</t>
  </si>
  <si>
    <t xml:space="preserve">HSN: 22323522510105, MAC: c81cfe71cdc7                            </t>
  </si>
  <si>
    <t xml:space="preserve"> 22323522510128</t>
  </si>
  <si>
    <t xml:space="preserve">HSN: 22323522510128, MAC: c81cfe71d050                            </t>
  </si>
  <si>
    <t xml:space="preserve"> 22323522510143</t>
  </si>
  <si>
    <t xml:space="preserve">HSN: 22323522510143, MAC: c81cfe71d3a5                            </t>
  </si>
  <si>
    <t xml:space="preserve"> 22323522510144</t>
  </si>
  <si>
    <t xml:space="preserve">HSN: 22323522510144, MAC: c81cfe71d1b5                            </t>
  </si>
  <si>
    <t xml:space="preserve"> 22323522510158</t>
  </si>
  <si>
    <t xml:space="preserve">HSN: 22323522510158, MAC: c81cfe71cd9a                            </t>
  </si>
  <si>
    <t xml:space="preserve"> 22323522510161</t>
  </si>
  <si>
    <t xml:space="preserve">HSN: 22323522510161, MAC: c81cfe71d35a                            </t>
  </si>
  <si>
    <t xml:space="preserve"> 22323522510162</t>
  </si>
  <si>
    <t xml:space="preserve">HSN: 22323522510162, MAC: c81cfe71cd61                            </t>
  </si>
  <si>
    <t xml:space="preserve"> 22323522510203</t>
  </si>
  <si>
    <t xml:space="preserve">HSN: 22323522510203, MAC: c81cfe71d141                            </t>
  </si>
  <si>
    <t xml:space="preserve"> 22323522510220</t>
  </si>
  <si>
    <t xml:space="preserve">HSN: 22323522510220, MAC: c81cfe71d135                            </t>
  </si>
  <si>
    <t xml:space="preserve"> 22323522510224</t>
  </si>
  <si>
    <t xml:space="preserve">HSN: 22323522510224, MAC: c81cfe71d20f                            </t>
  </si>
  <si>
    <t xml:space="preserve"> 22325522504839</t>
  </si>
  <si>
    <t xml:space="preserve">HSN: 22325522504839, MAC: c81cfe71cc70                            </t>
  </si>
  <si>
    <t xml:space="preserve"> 22325522504864</t>
  </si>
  <si>
    <t xml:space="preserve">HSN: 22325522504864, MAC: c81cfe71d3c3                            </t>
  </si>
  <si>
    <t xml:space="preserve"> 22325522504893</t>
  </si>
  <si>
    <t xml:space="preserve">HSN: 22325522504893, MAC: c81cfe71d333                            </t>
  </si>
  <si>
    <t xml:space="preserve"> 22325522504930</t>
  </si>
  <si>
    <t xml:space="preserve">HSN: 22325522504930, MAC: c81cfe71d286                            </t>
  </si>
  <si>
    <t xml:space="preserve"> 22325522504983</t>
  </si>
  <si>
    <t xml:space="preserve">HSN: 22325522504983, MAC: c81cfeb96ed2                            </t>
  </si>
  <si>
    <t xml:space="preserve"> 22325522504991</t>
  </si>
  <si>
    <t xml:space="preserve">HSN: 22325522504991, MAC: c81cfe71d344                            </t>
  </si>
  <si>
    <t xml:space="preserve"> 22325522505005</t>
  </si>
  <si>
    <t xml:space="preserve">HSN: 22325522505005, MAC: c81cfe71d1a6                            </t>
  </si>
  <si>
    <t xml:space="preserve"> 22325522505012</t>
  </si>
  <si>
    <t xml:space="preserve">HSN: 22325522505012, MAC: c81cfe71d2de                            </t>
  </si>
  <si>
    <t xml:space="preserve"> 22325522505014</t>
  </si>
  <si>
    <t xml:space="preserve">HSN: 22325522505014, MAC: 88bcac586bb8                            </t>
  </si>
  <si>
    <t xml:space="preserve"> 22325522505028</t>
  </si>
  <si>
    <t xml:space="preserve">HSN: 22325522505028, MAC: c81cfe71cd77                            </t>
  </si>
  <si>
    <t xml:space="preserve"> 22325522505030</t>
  </si>
  <si>
    <t xml:space="preserve">HSN: 22325522505030, MAC: c81cfe71cd40                            </t>
  </si>
  <si>
    <t xml:space="preserve"> 22325522505119</t>
  </si>
  <si>
    <t xml:space="preserve">HSN: 22325522505119, MAC: c81cfe71d374                            </t>
  </si>
  <si>
    <t xml:space="preserve"> 22332522506023</t>
  </si>
  <si>
    <t xml:space="preserve">HSN: 22332522506023, MAC: c81cfe72fd89                            </t>
  </si>
  <si>
    <t xml:space="preserve"> 22332522506030</t>
  </si>
  <si>
    <t xml:space="preserve">HSN: 22332522506030, MAC: c81cfe72fce3                            </t>
  </si>
  <si>
    <t xml:space="preserve"> 22332522506035</t>
  </si>
  <si>
    <t xml:space="preserve">HSN: 22332522506035, MAC: c81cfe72fbe0                            </t>
  </si>
  <si>
    <t xml:space="preserve"> 22332522506061</t>
  </si>
  <si>
    <t xml:space="preserve">HSN: 22332522506061, MAC: c81cfe72fda2                            </t>
  </si>
  <si>
    <t xml:space="preserve"> 22332522506066</t>
  </si>
  <si>
    <t xml:space="preserve">HSN: 22332522506066, MAC: c81cfe72fde7                            </t>
  </si>
  <si>
    <t xml:space="preserve"> 22332522506089</t>
  </si>
  <si>
    <t xml:space="preserve">HSN: 22332522506089, MAC: c81cfe72fb73                            </t>
  </si>
  <si>
    <t xml:space="preserve"> 22332522506104</t>
  </si>
  <si>
    <t xml:space="preserve">HSN: 22332522506104, MAC: c81cfe72fbca                            </t>
  </si>
  <si>
    <t xml:space="preserve"> 22332522506109</t>
  </si>
  <si>
    <t xml:space="preserve">HSN: 22332522506109, MAC: c81cfe72fec7                            </t>
  </si>
  <si>
    <t xml:space="preserve"> 22332522506113</t>
  </si>
  <si>
    <t xml:space="preserve">HSN: 22332522506113, MAC: c81cfe72fba1                            </t>
  </si>
  <si>
    <t xml:space="preserve"> 22332522506115</t>
  </si>
  <si>
    <t xml:space="preserve">HSN: 22332522506115, MAC: c81cfe72fcc2                            </t>
  </si>
  <si>
    <t xml:space="preserve"> 22332522506116</t>
  </si>
  <si>
    <t xml:space="preserve">HSN: 22332522506116, MAC: c81cfe72fd31                            </t>
  </si>
  <si>
    <t xml:space="preserve"> 22332522506126</t>
  </si>
  <si>
    <t xml:space="preserve">HSN: 22332522506126, MAC: c81cfe72fedb                            </t>
  </si>
  <si>
    <t xml:space="preserve"> 22332522506128</t>
  </si>
  <si>
    <t xml:space="preserve">HSN: 22332522506128, MAC: c81cfe72ffc1                            </t>
  </si>
  <si>
    <t xml:space="preserve"> 22332522506152</t>
  </si>
  <si>
    <t xml:space="preserve">HSN: 22332522506152, MAC: c81cfe730059                            </t>
  </si>
  <si>
    <t xml:space="preserve"> 22332522506187</t>
  </si>
  <si>
    <t xml:space="preserve">HSN: 22332522506187, MAC: c81cfe72fd4c                            </t>
  </si>
  <si>
    <t xml:space="preserve"> 22332522506190</t>
  </si>
  <si>
    <t xml:space="preserve">HSN: 22332522506190, MAC: c81cfe72fce5                            </t>
  </si>
  <si>
    <t xml:space="preserve"> 22332522506191</t>
  </si>
  <si>
    <t xml:space="preserve">HSN: 22332522506191, MAC: c81cfe72fbd0                            </t>
  </si>
  <si>
    <t xml:space="preserve"> 22332522506201</t>
  </si>
  <si>
    <t xml:space="preserve">HSN: 22332522506201, MAC: c81cfe72fde4                            </t>
  </si>
  <si>
    <t xml:space="preserve"> 22332522506206</t>
  </si>
  <si>
    <t xml:space="preserve">HSN: 22332522506206, MAC: c81cfe71ce1a                            </t>
  </si>
  <si>
    <t xml:space="preserve"> 22332522506210</t>
  </si>
  <si>
    <t xml:space="preserve">HSN: 22332522506210, MAC: c81cfe72fb7d                            </t>
  </si>
  <si>
    <t xml:space="preserve"> 22332522506217</t>
  </si>
  <si>
    <t xml:space="preserve">HSN: 22332522506217, MAC: c81cfe71cd18                            </t>
  </si>
  <si>
    <t xml:space="preserve"> 22332522506273</t>
  </si>
  <si>
    <t xml:space="preserve">HSN: 22332522506273, MAC: c81cfe72fdc6                            </t>
  </si>
  <si>
    <t xml:space="preserve"> 22332522506343</t>
  </si>
  <si>
    <t xml:space="preserve">HSN: 22332522506343, MAC: c81cfe72ff74                            </t>
  </si>
  <si>
    <t xml:space="preserve"> 22332522506425</t>
  </si>
  <si>
    <t xml:space="preserve">HSN: 22332522506425, MAC: c81cfe72fe4f                            </t>
  </si>
  <si>
    <t xml:space="preserve"> 22332522506434</t>
  </si>
  <si>
    <t xml:space="preserve">HSN: 22332522506434, MAC: c81cfe72fdc2                            </t>
  </si>
  <si>
    <t xml:space="preserve"> 22332522506786</t>
  </si>
  <si>
    <t xml:space="preserve">HSN: 22332522506786, MAC: c81cfe72fd87                            </t>
  </si>
  <si>
    <t xml:space="preserve"> 22332522506801</t>
  </si>
  <si>
    <t xml:space="preserve">HSN: 22332522506801, MAC: c81cfe72fc8c                            </t>
  </si>
  <si>
    <t xml:space="preserve"> 22332522506905</t>
  </si>
  <si>
    <t xml:space="preserve">HSN: 22332522506905, MAC: c81cfe72ffeb                            </t>
  </si>
  <si>
    <t xml:space="preserve"> 22332522507148</t>
  </si>
  <si>
    <t xml:space="preserve">HSN: 22332522507148, MAC: c81cfe72fed2                            </t>
  </si>
  <si>
    <t xml:space="preserve"> 22332522507151</t>
  </si>
  <si>
    <t xml:space="preserve">HSN: 22332522507151, MAC: c81cfe74dce0                            </t>
  </si>
  <si>
    <t xml:space="preserve"> 22332522507223</t>
  </si>
  <si>
    <t xml:space="preserve">HSN: 22332522507223, MAC: c81cfe72ff6c                            </t>
  </si>
  <si>
    <t xml:space="preserve"> 22333522509971</t>
  </si>
  <si>
    <t xml:space="preserve">HSN: 22333522509971, MAC: c81cfe72fc78                            </t>
  </si>
  <si>
    <t xml:space="preserve"> 22333522509979</t>
  </si>
  <si>
    <t xml:space="preserve">HSN: 22333522509979, MAC: c81cfe71cbec                            </t>
  </si>
  <si>
    <t xml:space="preserve"> 22333522509998</t>
  </si>
  <si>
    <t xml:space="preserve">HSN: 22333522509998, MAC: c81cfe72ff5d                            </t>
  </si>
  <si>
    <t xml:space="preserve"> 22333522510001</t>
  </si>
  <si>
    <t xml:space="preserve">HSN: 22333522510001, MAC: c81cfe7c3b57                            </t>
  </si>
  <si>
    <t xml:space="preserve"> 22333522510045</t>
  </si>
  <si>
    <t xml:space="preserve">HSN: 22333522510045, MAC: c81cfe730067                            </t>
  </si>
  <si>
    <t xml:space="preserve"> 22333522510063</t>
  </si>
  <si>
    <t xml:space="preserve">HSN: 22333522510063, MAC: c81cfe730013                            </t>
  </si>
  <si>
    <t xml:space="preserve"> 22333522510064</t>
  </si>
  <si>
    <t xml:space="preserve">HSN: 22333522510064, MAC: c81cfe72fbb8                            </t>
  </si>
  <si>
    <t xml:space="preserve"> 22333522510206</t>
  </si>
  <si>
    <t xml:space="preserve">HSN: 22333522510206, MAC: c81cfe72fb54                            </t>
  </si>
  <si>
    <t xml:space="preserve"> 22348522504928</t>
  </si>
  <si>
    <t xml:space="preserve">HSN: 22348522504928, MAC: c81cfe74dcea                            </t>
  </si>
  <si>
    <t xml:space="preserve"> 22348522504935</t>
  </si>
  <si>
    <t xml:space="preserve">HSN: 22348522504935, MAC: c81cfe74da98                            </t>
  </si>
  <si>
    <t xml:space="preserve"> 22348522504945</t>
  </si>
  <si>
    <t xml:space="preserve">HSN: 22348522504945, MAC: c81cfe74dde8                            </t>
  </si>
  <si>
    <t>z</t>
  </si>
  <si>
    <t xml:space="preserve"> 22348522504966</t>
  </si>
  <si>
    <t xml:space="preserve">HSN: 22348522504966, MAC: c81cfe7c3b5a                            </t>
  </si>
  <si>
    <t xml:space="preserve"> 22348522504971</t>
  </si>
  <si>
    <t xml:space="preserve">HSN: 22348522504971, MAC: c81cfe74dca4                            </t>
  </si>
  <si>
    <t xml:space="preserve"> 22348522504980</t>
  </si>
  <si>
    <t xml:space="preserve">HSN: 22348522504980, MAC: c81cfe74dcb9                            </t>
  </si>
  <si>
    <t xml:space="preserve"> 22348522505015</t>
  </si>
  <si>
    <t xml:space="preserve">HSN: 22348522505015, MAC: c81cfe74da92                            </t>
  </si>
  <si>
    <t xml:space="preserve"> 22348522505043</t>
  </si>
  <si>
    <t xml:space="preserve">HSN: 22348522505043, MAC: c81cfe74dd01                            </t>
  </si>
  <si>
    <t xml:space="preserve"> 22348522505073</t>
  </si>
  <si>
    <t xml:space="preserve">HSN: 22348522505073, MAC: c81cfe74d9fb                            </t>
  </si>
  <si>
    <t xml:space="preserve"> 22348522505094</t>
  </si>
  <si>
    <t xml:space="preserve">HSN: 22348522505094, MAC: c81cfe74d9f8                            </t>
  </si>
  <si>
    <t xml:space="preserve"> 22348522505225</t>
  </si>
  <si>
    <t xml:space="preserve">HSN: 22348522505225, MAC: c81cfe74dab1                            </t>
  </si>
  <si>
    <t xml:space="preserve"> 22348522505254</t>
  </si>
  <si>
    <t xml:space="preserve">HSN: 22348522505254, MAC: c81cfe74dd8a                            </t>
  </si>
  <si>
    <t xml:space="preserve"> 22348522505268</t>
  </si>
  <si>
    <t xml:space="preserve">HSN: 22348522505268, MAC: c81cfe74dbe9                            </t>
  </si>
  <si>
    <t xml:space="preserve"> 22348522505269</t>
  </si>
  <si>
    <t xml:space="preserve">HSN: 22348522505269, MAC: c81cfe74dd22                            </t>
  </si>
  <si>
    <t xml:space="preserve"> 22348522505309</t>
  </si>
  <si>
    <t xml:space="preserve">HSN: 22348522505309, MAC: c81cfe74dbfa                            </t>
  </si>
  <si>
    <t xml:space="preserve"> 22348522505316</t>
  </si>
  <si>
    <t xml:space="preserve">HSN: 22348522505316, MAC: c81cfe74d9d8                            </t>
  </si>
  <si>
    <t xml:space="preserve"> 22348522505321</t>
  </si>
  <si>
    <t xml:space="preserve">HSN: 22348522505321, MAC: c81cfe74d9e1                            </t>
  </si>
  <si>
    <t xml:space="preserve"> 22348522505326</t>
  </si>
  <si>
    <t xml:space="preserve">HSN: 22348522505326, MAC: c81cfe74d96d                            </t>
  </si>
  <si>
    <t xml:space="preserve"> 22348522505334</t>
  </si>
  <si>
    <t xml:space="preserve">HSN: 22348522505334, MAC: c81cfe74de9b                            </t>
  </si>
  <si>
    <t xml:space="preserve"> 22348522505336</t>
  </si>
  <si>
    <t xml:space="preserve">HSN: 22348522505336, MAC: c81cfe74dd08                            </t>
  </si>
  <si>
    <t xml:space="preserve"> 22348522505340</t>
  </si>
  <si>
    <t xml:space="preserve">HSN: 22348522505340, MAC: c81cfe74da03                            </t>
  </si>
  <si>
    <t xml:space="preserve"> 22348522505346</t>
  </si>
  <si>
    <t xml:space="preserve">HSN: 22348522505346, MAC: c81cfe74dea6                            </t>
  </si>
  <si>
    <t xml:space="preserve"> 22348522505382</t>
  </si>
  <si>
    <t xml:space="preserve">HSN: 22348522505382, MAC: c81cfe74daa3                            </t>
  </si>
  <si>
    <t xml:space="preserve"> 22348522507211</t>
  </si>
  <si>
    <t xml:space="preserve">HSN: 22348522507211, MAC: c81cfe74dc09                            </t>
  </si>
  <si>
    <t xml:space="preserve"> 22348522507275</t>
  </si>
  <si>
    <t xml:space="preserve">HSN: 22348522507275, MAC: c81cfe72fdda                            </t>
  </si>
  <si>
    <t xml:space="preserve"> 22348522507324</t>
  </si>
  <si>
    <t xml:space="preserve">HSN: 22348522507324, MAC: c81cfe74dbff                            </t>
  </si>
  <si>
    <t xml:space="preserve"> 22348522507332</t>
  </si>
  <si>
    <t xml:space="preserve">HSN: 22348522507332, MAC: c81cfe74da23                            </t>
  </si>
  <si>
    <t xml:space="preserve"> 22348522507359</t>
  </si>
  <si>
    <t xml:space="preserve">HSN: 22348522507359, MAC: c81cfe74d9d6                            </t>
  </si>
  <si>
    <t xml:space="preserve"> 22348522507362</t>
  </si>
  <si>
    <t xml:space="preserve">HSN: 22348522507362, MAC: c81cfe74da47                            </t>
  </si>
  <si>
    <t xml:space="preserve"> 22348522507407</t>
  </si>
  <si>
    <t xml:space="preserve">HSN: 22348522507407, MAC: c81cfe92a8c5                            </t>
  </si>
  <si>
    <t xml:space="preserve"> 22348522507413</t>
  </si>
  <si>
    <t xml:space="preserve">HSN: 22348522507413, MAC: c81cfe74d9d7                            </t>
  </si>
  <si>
    <t xml:space="preserve"> 22348522507422</t>
  </si>
  <si>
    <t xml:space="preserve">HSN: 22348522507422, MAC: c81cfe74de1a                            </t>
  </si>
  <si>
    <t xml:space="preserve"> 22348522507440</t>
  </si>
  <si>
    <t xml:space="preserve">HSN: 22348522507440, MAC: c81cfe74dab5                            </t>
  </si>
  <si>
    <t xml:space="preserve"> 22348522507483</t>
  </si>
  <si>
    <t xml:space="preserve">HSN: 22348522507483, MAC: c81cfe74dc15                            </t>
  </si>
  <si>
    <t xml:space="preserve"> 22348522507486</t>
  </si>
  <si>
    <t xml:space="preserve">HSN: 22348522507486, MAC: c81cfe74de00                            </t>
  </si>
  <si>
    <t xml:space="preserve"> 22348522507487</t>
  </si>
  <si>
    <t xml:space="preserve">HSN: 22348522507487, MAC: c81cfe74da0a                            </t>
  </si>
  <si>
    <t xml:space="preserve"> 22348522507490</t>
  </si>
  <si>
    <t xml:space="preserve">HSN: 22348522507490, MAC: c81cfe74da39                            </t>
  </si>
  <si>
    <t xml:space="preserve"> 22348522507495</t>
  </si>
  <si>
    <t xml:space="preserve">HSN: 22348522507495, MAC: c81cfe74dd65                            </t>
  </si>
  <si>
    <t xml:space="preserve"> 22348522507547</t>
  </si>
  <si>
    <t xml:space="preserve">HSN: 22348522507547, MAC: c81cfe74db08                            </t>
  </si>
  <si>
    <t xml:space="preserve"> 22348522507580</t>
  </si>
  <si>
    <t xml:space="preserve">HSN: 22348522507580, MAC: c81cfe72fd19                            </t>
  </si>
  <si>
    <t xml:space="preserve"> 22348522507590</t>
  </si>
  <si>
    <t xml:space="preserve">HSN: 22348522507590, MAC: c81cfe74d92d                            </t>
  </si>
  <si>
    <t xml:space="preserve"> 22348522507691</t>
  </si>
  <si>
    <t xml:space="preserve">HSN: 22348522507691, MAC: c81cfe74db20                            </t>
  </si>
  <si>
    <t xml:space="preserve"> 22349522504437</t>
  </si>
  <si>
    <t xml:space="preserve">HSN: 22349522504437, MAC: c81cfe74dc7b                            </t>
  </si>
  <si>
    <t xml:space="preserve"> 22349522504448</t>
  </si>
  <si>
    <t xml:space="preserve">HSN: 22349522504448, MAC: c81cfe74dbce                            </t>
  </si>
  <si>
    <t xml:space="preserve"> 22349522504449</t>
  </si>
  <si>
    <t xml:space="preserve">HSN: 22349522504449, MAC: c81cfe74dadd                            </t>
  </si>
  <si>
    <t xml:space="preserve"> 22349522504455</t>
  </si>
  <si>
    <t xml:space="preserve">HSN: 22349522504455, MAC: c81cfe74de6a                            </t>
  </si>
  <si>
    <t xml:space="preserve"> 22349522504464</t>
  </si>
  <si>
    <t xml:space="preserve">HSN: 22349522504464, MAC: c81cfe74da38                            </t>
  </si>
  <si>
    <t xml:space="preserve"> 22349522504478</t>
  </si>
  <si>
    <t xml:space="preserve">HSN: 22349522504478, MAC: c81cfe74d97f                            </t>
  </si>
  <si>
    <t xml:space="preserve"> 22349522504529</t>
  </si>
  <si>
    <t xml:space="preserve">HSN: 22349522504529, MAC: c81cfe74dd34                            </t>
  </si>
  <si>
    <t xml:space="preserve"> 22349522504604</t>
  </si>
  <si>
    <t xml:space="preserve">HSN: 22349522504604, MAC: c81cfe74dbc2                            </t>
  </si>
  <si>
    <t xml:space="preserve"> 22353523601280</t>
  </si>
  <si>
    <t>Zebra ET56 Base Kit</t>
  </si>
  <si>
    <t xml:space="preserve">HSN: 22353523601280, MAC: 94fb29eca8e4                            </t>
  </si>
  <si>
    <t xml:space="preserve"> 22362R0199</t>
  </si>
  <si>
    <t xml:space="preserve">HSN: 22362R0199, MAC: 0c2369f90f48                            </t>
  </si>
  <si>
    <t xml:space="preserve"> 23055R0183</t>
  </si>
  <si>
    <t xml:space="preserve">HSN: 23055R0183, MAC: 0c2369f92338                            </t>
  </si>
  <si>
    <t>22280524700896</t>
  </si>
  <si>
    <t xml:space="preserve">HSN: 22280524700896, MAC: c81cfe308541                            </t>
  </si>
  <si>
    <t>22280524701278</t>
  </si>
  <si>
    <t xml:space="preserve">HSN: 22280524701278, MAC: c81cfe308841                            </t>
  </si>
  <si>
    <t>22283524700483</t>
  </si>
  <si>
    <t xml:space="preserve">HSN: 22283524700483, MAC: c81cfe3099ba                            </t>
  </si>
  <si>
    <t>22292524701380</t>
  </si>
  <si>
    <t xml:space="preserve">HSN: 22292524701380, MAC: c81cfe30e82c                            </t>
  </si>
  <si>
    <t>PBI CONNECTION STATUS IMPORT</t>
  </si>
  <si>
    <t>PASTE 2 COLUMNS FROM YOUR PBI/SOTI EXPORT:</t>
  </si>
  <si>
    <t>Column A = SerialNumber  |  Column B = 'Connected in last 60 days' or 'Not connected in last 60 days'</t>
  </si>
  <si>
    <t>Records</t>
  </si>
  <si>
    <t>Connected</t>
  </si>
  <si>
    <t>Not Connected</t>
  </si>
  <si>
    <t>SN</t>
  </si>
  <si>
    <t>Justification</t>
  </si>
  <si>
    <t>Connected in last 60 days</t>
  </si>
  <si>
    <t>R52MB144KNX</t>
  </si>
  <si>
    <t>SM-T387P</t>
  </si>
  <si>
    <t>R52MB144EDA</t>
  </si>
  <si>
    <t>R52MB144LFH</t>
  </si>
  <si>
    <t>R52R504F5DH</t>
  </si>
  <si>
    <t>Not Connected in last 60 days</t>
  </si>
  <si>
    <t>N/A</t>
  </si>
  <si>
    <t>R52R504H36R</t>
  </si>
  <si>
    <t>R52R504D3YB</t>
  </si>
  <si>
    <t>R52R504C8FW</t>
  </si>
  <si>
    <t>R52R504DP6W</t>
  </si>
  <si>
    <t>R52R505Y9PT</t>
  </si>
  <si>
    <t>R52R504DQTA</t>
  </si>
  <si>
    <t>R52R505V0NA</t>
  </si>
  <si>
    <t>R52R505Q3FL</t>
  </si>
  <si>
    <t>R52R504K2AY</t>
  </si>
  <si>
    <t>R52R504EBJV</t>
  </si>
  <si>
    <t>R52R5030T9L</t>
  </si>
  <si>
    <t>R52R504D2TN</t>
  </si>
  <si>
    <t>R52R505V1ZP</t>
  </si>
  <si>
    <t>R52R505Q4DB</t>
  </si>
  <si>
    <t>R52NA0MVVEL</t>
  </si>
  <si>
    <t>22293524701834</t>
  </si>
  <si>
    <t>22293524700101</t>
  </si>
  <si>
    <t>22293524700256</t>
  </si>
  <si>
    <t>22294524700202</t>
  </si>
  <si>
    <t>22293524700935</t>
  </si>
  <si>
    <t>22293524700491</t>
  </si>
  <si>
    <t>22292524701427</t>
  </si>
  <si>
    <t>22293524700885</t>
  </si>
  <si>
    <t>22293524700004</t>
  </si>
  <si>
    <t>22293524700443</t>
  </si>
  <si>
    <t xml:space="preserve">Open Ticket to remove from GL </t>
  </si>
  <si>
    <t>22293524701850</t>
  </si>
  <si>
    <t>22294524700112</t>
  </si>
  <si>
    <t>22293524701318</t>
  </si>
  <si>
    <t>22293524701715</t>
  </si>
  <si>
    <t>22293524701571</t>
  </si>
  <si>
    <t>22293524701485</t>
  </si>
  <si>
    <t>22293524700476</t>
  </si>
  <si>
    <t>22293524700120</t>
  </si>
  <si>
    <t>22293524700535</t>
  </si>
  <si>
    <t>22293524700580</t>
  </si>
  <si>
    <t>22293524700538</t>
  </si>
  <si>
    <t>22293524700010</t>
  </si>
  <si>
    <t>22292524701416</t>
  </si>
  <si>
    <t>22293524700050</t>
  </si>
  <si>
    <t>22293524700437</t>
  </si>
  <si>
    <t>22293524700563</t>
  </si>
  <si>
    <t>22293524700086</t>
  </si>
  <si>
    <t>22293524700446</t>
  </si>
  <si>
    <t>22293524701735</t>
  </si>
  <si>
    <t>22294524700151</t>
  </si>
  <si>
    <t>22293524701893</t>
  </si>
  <si>
    <t>22294524700324</t>
  </si>
  <si>
    <t>22294524700201</t>
  </si>
  <si>
    <t>22293524701510</t>
  </si>
  <si>
    <t>22293524701600</t>
  </si>
  <si>
    <t>22293524701312</t>
  </si>
  <si>
    <t>22293524701686</t>
  </si>
  <si>
    <t>22293524701544</t>
  </si>
  <si>
    <t>22293524701293</t>
  </si>
  <si>
    <t>22293524701382</t>
  </si>
  <si>
    <t>22293524701316</t>
  </si>
  <si>
    <t>22294524700106</t>
  </si>
  <si>
    <t>22293524701363</t>
  </si>
  <si>
    <t>22293524701603</t>
  </si>
  <si>
    <t>22293524700501</t>
  </si>
  <si>
    <t>22293524701109</t>
  </si>
  <si>
    <t>22293524701200</t>
  </si>
  <si>
    <t>22293524701468</t>
  </si>
  <si>
    <t>22293524701250</t>
  </si>
  <si>
    <t>22293524701891</t>
  </si>
  <si>
    <t>22293524701339</t>
  </si>
  <si>
    <t>22294524700060</t>
  </si>
  <si>
    <t>22293524701681</t>
  </si>
  <si>
    <t>22293524701594</t>
  </si>
  <si>
    <t>22294524700130</t>
  </si>
  <si>
    <t>22293524701769</t>
  </si>
  <si>
    <t>22293524701395</t>
  </si>
  <si>
    <t>22293524700813</t>
  </si>
  <si>
    <t>21103523600666</t>
  </si>
  <si>
    <t>21103523600809</t>
  </si>
  <si>
    <t>21342523600238</t>
  </si>
  <si>
    <t>21342523600114</t>
  </si>
  <si>
    <t>21342523600271</t>
  </si>
  <si>
    <t>21342523600186</t>
  </si>
  <si>
    <t>21342523600140</t>
  </si>
  <si>
    <t>21342523600216</t>
  </si>
  <si>
    <t>21342523600100</t>
  </si>
  <si>
    <t>21342523600077</t>
  </si>
  <si>
    <t>21342523600254</t>
  </si>
  <si>
    <t>21342523600226</t>
  </si>
  <si>
    <t>21342523600217</t>
  </si>
  <si>
    <t>21342523600234</t>
  </si>
  <si>
    <t>22134523600293</t>
  </si>
  <si>
    <t>21103523601019</t>
  </si>
  <si>
    <t>21103523600847</t>
  </si>
  <si>
    <t>21103523600510</t>
  </si>
  <si>
    <t>21103523600562</t>
  </si>
  <si>
    <t>22139523601892</t>
  </si>
  <si>
    <t>22134523600247</t>
  </si>
  <si>
    <t>21103523600564</t>
  </si>
  <si>
    <t>21103523600742</t>
  </si>
  <si>
    <t>21333523600389</t>
  </si>
  <si>
    <t>21103523600862</t>
  </si>
  <si>
    <t>21342523600295</t>
  </si>
  <si>
    <t>21342523600495</t>
  </si>
  <si>
    <t>22353523601280</t>
  </si>
  <si>
    <t>21333523600836</t>
  </si>
  <si>
    <t>21342523600284</t>
  </si>
  <si>
    <t>21342523600235</t>
  </si>
  <si>
    <t>21342523600244</t>
  </si>
  <si>
    <t>21342523600171</t>
  </si>
  <si>
    <t>21342523600196</t>
  </si>
  <si>
    <t>21112523601376</t>
  </si>
  <si>
    <t>21112523601232</t>
  </si>
  <si>
    <t>21112523600873</t>
  </si>
  <si>
    <t>21342523600189</t>
  </si>
  <si>
    <t>21103523601018</t>
  </si>
  <si>
    <t>21342523600161</t>
  </si>
  <si>
    <t>21103523600995</t>
  </si>
  <si>
    <t>21342523600085</t>
  </si>
  <si>
    <t>21342523600099</t>
  </si>
  <si>
    <t>21112523601141</t>
  </si>
  <si>
    <t>21103523600569</t>
  </si>
  <si>
    <t>22137523600169</t>
  </si>
  <si>
    <t>21112523600869</t>
  </si>
  <si>
    <t>21342523600141</t>
  </si>
  <si>
    <t>21103523600714</t>
  </si>
  <si>
    <t>21342523600123</t>
  </si>
  <si>
    <t>21112523600612</t>
  </si>
  <si>
    <t>21333523600637</t>
  </si>
  <si>
    <t>21103523600931</t>
  </si>
  <si>
    <t>21103523600624</t>
  </si>
  <si>
    <t>21103523600986</t>
  </si>
  <si>
    <t>21112523600726</t>
  </si>
  <si>
    <t>21103523600642</t>
  </si>
  <si>
    <t>21112523600381</t>
  </si>
  <si>
    <t>21103523600526</t>
  </si>
  <si>
    <t>21123523600563</t>
  </si>
  <si>
    <t>21103523600788</t>
  </si>
  <si>
    <t>21103523600673</t>
  </si>
  <si>
    <t>21103523600967</t>
  </si>
  <si>
    <t>21103523600846</t>
  </si>
  <si>
    <t>21103523600473</t>
  </si>
  <si>
    <t>21342523600113</t>
  </si>
  <si>
    <t>21342523600230</t>
  </si>
  <si>
    <t>19353523600637</t>
  </si>
  <si>
    <t>19353523600579</t>
  </si>
  <si>
    <t>19353523600590</t>
  </si>
  <si>
    <t>19353523600612</t>
  </si>
  <si>
    <t>20132523600135</t>
  </si>
  <si>
    <t>21200523600951</t>
  </si>
  <si>
    <t>22161523600031</t>
  </si>
  <si>
    <t>19353523600592</t>
  </si>
  <si>
    <t>20132523600137</t>
  </si>
  <si>
    <t>22167523600629</t>
  </si>
  <si>
    <t>21195523600030</t>
  </si>
  <si>
    <t>19353523600633</t>
  </si>
  <si>
    <t>19353523600584</t>
  </si>
  <si>
    <t>19353523600589</t>
  </si>
  <si>
    <t>19353523600635</t>
  </si>
  <si>
    <t>19353523600636</t>
  </si>
  <si>
    <t>21195523600088</t>
  </si>
  <si>
    <t>22161523600228</t>
  </si>
  <si>
    <t>21200523600972</t>
  </si>
  <si>
    <t>22231523600890</t>
  </si>
  <si>
    <t>21195523600007</t>
  </si>
  <si>
    <t>22161523600061</t>
  </si>
  <si>
    <t>19353523600624</t>
  </si>
  <si>
    <t>22167523600602</t>
  </si>
  <si>
    <t>20114523600355</t>
  </si>
  <si>
    <t>20114523600384</t>
  </si>
  <si>
    <t>19353523600563</t>
  </si>
  <si>
    <t>22167523600739</t>
  </si>
  <si>
    <t>19353523600643</t>
  </si>
  <si>
    <t>21195523600018</t>
  </si>
  <si>
    <t>21195523600008</t>
  </si>
  <si>
    <t>21195523600081</t>
  </si>
  <si>
    <t>19353523600603</t>
  </si>
  <si>
    <t>19353523600552</t>
  </si>
  <si>
    <t>19353523600630</t>
  </si>
  <si>
    <t>19353523600649</t>
  </si>
  <si>
    <t>20114522519954</t>
  </si>
  <si>
    <t>20114522519964</t>
  </si>
  <si>
    <t>21207524200668</t>
  </si>
  <si>
    <t>21207524200654</t>
  </si>
  <si>
    <t>21196524200465</t>
  </si>
  <si>
    <t>21196524200414</t>
  </si>
  <si>
    <t>21196524200367</t>
  </si>
  <si>
    <t>21207524200576</t>
  </si>
  <si>
    <t>21207524200664</t>
  </si>
  <si>
    <t>21207524200665</t>
  </si>
  <si>
    <t>21207524200538</t>
  </si>
  <si>
    <t>20114522519901</t>
  </si>
  <si>
    <t>21207524200631</t>
  </si>
  <si>
    <t>20114522519987</t>
  </si>
  <si>
    <t>20114522519866</t>
  </si>
  <si>
    <t>20114522510250</t>
  </si>
  <si>
    <t>21196524200496</t>
  </si>
  <si>
    <t>20114522519801</t>
  </si>
  <si>
    <t>21207524200572</t>
  </si>
  <si>
    <t>21207524200649</t>
  </si>
  <si>
    <t>20114522520027</t>
  </si>
  <si>
    <t>19187522504985</t>
  </si>
  <si>
    <t>19187522504590</t>
  </si>
  <si>
    <t>21014522521660</t>
  </si>
  <si>
    <t>22325522505012</t>
  </si>
  <si>
    <t>22325522505028</t>
  </si>
  <si>
    <t>22332522507151</t>
  </si>
  <si>
    <t>22332522506187</t>
  </si>
  <si>
    <t>22332522506190</t>
  </si>
  <si>
    <t>22322522503117</t>
  </si>
  <si>
    <t>22325522505014</t>
  </si>
  <si>
    <t>22332522506030</t>
  </si>
  <si>
    <t>22333522509979</t>
  </si>
  <si>
    <t>22348522505336</t>
  </si>
  <si>
    <t>22348522504928</t>
  </si>
  <si>
    <t>22348522505073</t>
  </si>
  <si>
    <t>22348522505326</t>
  </si>
  <si>
    <t>22348522505316</t>
  </si>
  <si>
    <t>22348522505015</t>
  </si>
  <si>
    <t>22348522505382</t>
  </si>
  <si>
    <t>22332522506113</t>
  </si>
  <si>
    <t>22332522506191</t>
  </si>
  <si>
    <t>22332522506023</t>
  </si>
  <si>
    <t>22323522510220</t>
  </si>
  <si>
    <t>22323522510143</t>
  </si>
  <si>
    <t>22323522510027</t>
  </si>
  <si>
    <t>22323522510162</t>
  </si>
  <si>
    <t>22323522510158</t>
  </si>
  <si>
    <t>22323522509986</t>
  </si>
  <si>
    <t>22323522510105</t>
  </si>
  <si>
    <t>22323522510010</t>
  </si>
  <si>
    <t>22323522510144</t>
  </si>
  <si>
    <t>22323522510096</t>
  </si>
  <si>
    <t>22332522506434</t>
  </si>
  <si>
    <t>22332522506425</t>
  </si>
  <si>
    <t>22333522509998</t>
  </si>
  <si>
    <t>22333522510045</t>
  </si>
  <si>
    <t>22333522510001</t>
  </si>
  <si>
    <t>22332522506343</t>
  </si>
  <si>
    <t>22332522506273</t>
  </si>
  <si>
    <t>22333522510063</t>
  </si>
  <si>
    <t>22333522510064</t>
  </si>
  <si>
    <t>22333522509971</t>
  </si>
  <si>
    <t>22325522504983</t>
  </si>
  <si>
    <t>22325522504991</t>
  </si>
  <si>
    <t>22325522504893</t>
  </si>
  <si>
    <t>22325522505005</t>
  </si>
  <si>
    <t>22348522504945</t>
  </si>
  <si>
    <t>22348522507691</t>
  </si>
  <si>
    <t>22348522507362</t>
  </si>
  <si>
    <t>22349522504437</t>
  </si>
  <si>
    <t>22348522505346</t>
  </si>
  <si>
    <t>22348522507413</t>
  </si>
  <si>
    <t>22348522507332</t>
  </si>
  <si>
    <t>22348522507211</t>
  </si>
  <si>
    <t>22348522507324</t>
  </si>
  <si>
    <t>22348522507580</t>
  </si>
  <si>
    <t>22348522507490</t>
  </si>
  <si>
    <t>22348522507440</t>
  </si>
  <si>
    <t>22348522507359</t>
  </si>
  <si>
    <t>22348522507275</t>
  </si>
  <si>
    <t>22349522504478</t>
  </si>
  <si>
    <t>22348522504980</t>
  </si>
  <si>
    <t>22348522505043</t>
  </si>
  <si>
    <t>22348522504971</t>
  </si>
  <si>
    <t>22348522505225</t>
  </si>
  <si>
    <t>22349522504448</t>
  </si>
  <si>
    <t>22349522504449</t>
  </si>
  <si>
    <t>22348522507487</t>
  </si>
  <si>
    <t>22348522507422</t>
  </si>
  <si>
    <t>22348522507407</t>
  </si>
  <si>
    <t>22348522504966</t>
  </si>
  <si>
    <t>22349522504455</t>
  </si>
  <si>
    <t>22349522504464</t>
  </si>
  <si>
    <t>22348522507486</t>
  </si>
  <si>
    <t>22349522504604</t>
  </si>
  <si>
    <t>22332522506786</t>
  </si>
  <si>
    <t>22325522504864</t>
  </si>
  <si>
    <t>22333522510206</t>
  </si>
  <si>
    <t>22325522504930</t>
  </si>
  <si>
    <t>22325522504839</t>
  </si>
  <si>
    <t>22332522507148</t>
  </si>
  <si>
    <t>22323522510224</t>
  </si>
  <si>
    <t>22332522506116</t>
  </si>
  <si>
    <t>22323522510099</t>
  </si>
  <si>
    <t>22325522505030</t>
  </si>
  <si>
    <t>22348522505094</t>
  </si>
  <si>
    <t>22323522510203</t>
  </si>
  <si>
    <t>22332522506126</t>
  </si>
  <si>
    <t>22323522510161</t>
  </si>
  <si>
    <t>22323522510128</t>
  </si>
  <si>
    <t>22348522505321</t>
  </si>
  <si>
    <t>22348522504935</t>
  </si>
  <si>
    <t>22332522507223</t>
  </si>
  <si>
    <t>22322522503026</t>
  </si>
  <si>
    <t>22322522503038</t>
  </si>
  <si>
    <t>22332522506801</t>
  </si>
  <si>
    <t>22332522506905</t>
  </si>
  <si>
    <t>22322522503014</t>
  </si>
  <si>
    <t>PHYSICAL AUDIT - SCAN ENTRY</t>
  </si>
  <si>
    <t>Scan or enter Asset Numbers below. System will auto-match against Asset Detail inventory.</t>
  </si>
  <si>
    <t>Total Scanned</t>
  </si>
  <si>
    <t>Found in System</t>
  </si>
  <si>
    <t>Not in System</t>
  </si>
  <si>
    <t>Expected from Asset Details</t>
  </si>
  <si>
    <t>Not Yet Scanned</t>
  </si>
  <si>
    <t>Audit Progress</t>
  </si>
  <si>
    <t>Scan Date</t>
  </si>
  <si>
    <t>Scanned By</t>
  </si>
  <si>
    <t>Location</t>
  </si>
  <si>
    <t>Match Status</t>
  </si>
  <si>
    <t>Model (from System)</t>
  </si>
  <si>
    <t>Condition (System)</t>
  </si>
  <si>
    <t>Notes</t>
  </si>
  <si>
    <t>Scan</t>
  </si>
  <si>
    <t>S22139523601892</t>
  </si>
  <si>
    <t>S21103523601019</t>
  </si>
  <si>
    <t>S18338523081888</t>
  </si>
  <si>
    <t>S22353523601280</t>
  </si>
  <si>
    <t>S21342523600189</t>
  </si>
  <si>
    <t>S21112523600612</t>
  </si>
  <si>
    <t>MISSING ASSETS REPORT</t>
  </si>
  <si>
    <t>Assets in system that were NOT scanned during physical audit. Review after audit completion.</t>
  </si>
  <si>
    <t>Last Known Scan</t>
  </si>
  <si>
    <t>Action Required</t>
  </si>
  <si>
    <t>RMA ASSET REPORT</t>
  </si>
  <si>
    <t>Total Assets</t>
  </si>
  <si>
    <t>Shipped</t>
  </si>
  <si>
    <t>Received</t>
  </si>
  <si>
    <t>Compliance</t>
  </si>
  <si>
    <t>Assets still in RMA</t>
  </si>
  <si>
    <t>RMA Completed</t>
  </si>
  <si>
    <t>Issue</t>
  </si>
  <si>
    <t>RMA Number</t>
  </si>
  <si>
    <t>Date Created</t>
  </si>
  <si>
    <t>Shipped Date</t>
  </si>
  <si>
    <t>Est. Received Date.</t>
  </si>
  <si>
    <t>Actual Received Date</t>
  </si>
  <si>
    <t>Received Serial Number</t>
  </si>
  <si>
    <t>Hand Held (TC58)</t>
  </si>
  <si>
    <t>B479596-200602178</t>
  </si>
  <si>
    <t>B479595-200602171</t>
  </si>
  <si>
    <t>Will not power on.</t>
  </si>
  <si>
    <t>B477572-200554010</t>
  </si>
  <si>
    <t>Finger Scanner (RS5100)</t>
  </si>
  <si>
    <t>B480353-200621304</t>
  </si>
  <si>
    <t>B480304-200620769</t>
  </si>
  <si>
    <t>B478368-200572634</t>
  </si>
  <si>
    <t>Right side scan buttons is not working.</t>
  </si>
  <si>
    <t>B480989-200636493</t>
  </si>
  <si>
    <t>B480991-200636502</t>
  </si>
  <si>
    <t>Stuck on Smart Ops and no WIFI.</t>
  </si>
  <si>
    <t>B483442-200689305</t>
  </si>
  <si>
    <t>Stuck on a white screen and no WIFI.</t>
  </si>
  <si>
    <t>B483444-200689313</t>
  </si>
  <si>
    <t>B483443-200689311</t>
  </si>
  <si>
    <t>Right scanning button is not working.</t>
  </si>
  <si>
    <t>B485307-200730121</t>
  </si>
  <si>
    <t>Friday, January 16, 2026</t>
  </si>
  <si>
    <t>B485308-200730125</t>
  </si>
  <si>
    <t>B485309-200730130</t>
  </si>
  <si>
    <t>Right scanner button is not working &amp; Bluetooth app will not open.</t>
  </si>
  <si>
    <t>B482797-200675280</t>
  </si>
  <si>
    <t>S22348522507362</t>
  </si>
  <si>
    <t>Right scanner button is not working.</t>
  </si>
  <si>
    <t>B488335-200792652</t>
  </si>
  <si>
    <t>YEAR-OVER-YEAR COMPARISON</t>
  </si>
  <si>
    <t>Prior Total</t>
  </si>
  <si>
    <t>Prior Good</t>
  </si>
  <si>
    <t>Prior Bad</t>
  </si>
  <si>
    <t>Current Total</t>
  </si>
  <si>
    <t>Curr Good</t>
  </si>
  <si>
    <t>Curr Bad</t>
  </si>
  <si>
    <t>Curr Lost</t>
  </si>
  <si>
    <t>Trend</t>
  </si>
  <si>
    <t xml:space="preserve">TC57 </t>
  </si>
  <si>
    <t xml:space="preserve">RS5100 </t>
  </si>
  <si>
    <t>MONTH-OVER-MONTH COMPARISON</t>
  </si>
  <si>
    <t>Month</t>
  </si>
  <si>
    <t>TC57 Battery</t>
  </si>
  <si>
    <t>December</t>
  </si>
  <si>
    <t>January</t>
  </si>
  <si>
    <t>February</t>
  </si>
  <si>
    <t>March</t>
  </si>
  <si>
    <t>April</t>
  </si>
  <si>
    <t>May</t>
  </si>
  <si>
    <t xml:space="preserve">                        </t>
  </si>
  <si>
    <t>June</t>
  </si>
  <si>
    <t>July</t>
  </si>
  <si>
    <t>August</t>
  </si>
  <si>
    <t>September</t>
  </si>
  <si>
    <t>October</t>
  </si>
  <si>
    <t>November</t>
  </si>
  <si>
    <t>Location/Zone</t>
  </si>
  <si>
    <t>Handedness</t>
  </si>
  <si>
    <t>In Field</t>
  </si>
  <si>
    <t>Pick Module A</t>
  </si>
  <si>
    <t>1st</t>
  </si>
  <si>
    <t>Left</t>
  </si>
  <si>
    <t>Hand Held (TC57)</t>
  </si>
  <si>
    <t>Pick Module B</t>
  </si>
  <si>
    <t>2nd</t>
  </si>
  <si>
    <t>Right</t>
  </si>
  <si>
    <t>NHLC</t>
  </si>
  <si>
    <t>Damaged</t>
  </si>
  <si>
    <t>Tablet (ET56)</t>
  </si>
  <si>
    <t>Pick Module C</t>
  </si>
  <si>
    <t>3rd</t>
  </si>
  <si>
    <t>Both</t>
  </si>
  <si>
    <t>Jobs</t>
  </si>
  <si>
    <t>System Office</t>
  </si>
  <si>
    <t>Tablet (ET45)</t>
  </si>
  <si>
    <t>Receiving Dock</t>
  </si>
  <si>
    <t>Flex</t>
  </si>
  <si>
    <t>Training</t>
  </si>
  <si>
    <t>MHE Tablet (L10)</t>
  </si>
  <si>
    <t>Shipping Dock</t>
  </si>
  <si>
    <t>All Shifts</t>
  </si>
  <si>
    <t>Operation</t>
  </si>
  <si>
    <t>Brick Scanner (MC930)</t>
  </si>
  <si>
    <t>Staging Area</t>
  </si>
  <si>
    <t>Transportation</t>
  </si>
  <si>
    <t>QC Station</t>
  </si>
  <si>
    <t>Inventory</t>
  </si>
  <si>
    <t>DS3608 (Green Scanner)</t>
  </si>
  <si>
    <t>Returns Processing</t>
  </si>
  <si>
    <t>Safety</t>
  </si>
  <si>
    <t>Walkie (NX-1300)</t>
  </si>
  <si>
    <t>Inventory Control</t>
  </si>
  <si>
    <t>Spare</t>
  </si>
  <si>
    <t>RY2268 (Walkie)</t>
  </si>
  <si>
    <t>MHE Charging</t>
  </si>
  <si>
    <t>Server Room</t>
  </si>
  <si>
    <t>Training Room</t>
  </si>
  <si>
    <t>RMA Pending</t>
  </si>
  <si>
    <t>Decommissioned</t>
  </si>
  <si>
    <t>Maintenance</t>
  </si>
  <si>
    <t>Quick Pick (148454)</t>
  </si>
  <si>
    <t>RelayX (radio)</t>
  </si>
  <si>
    <t>Honeywell (RT10)</t>
  </si>
  <si>
    <t>HP Laptops</t>
  </si>
  <si>
    <t>ASSET AUDIT TEMPLATE - QUICK START GUIDE</t>
  </si>
  <si>
    <t>WORKFLOW</t>
  </si>
  <si>
    <t>1. Setup</t>
  </si>
  <si>
    <t>Fill in Site Code, Site Name, and Auditor on Executive Summary</t>
  </si>
  <si>
    <t>2. Load Assets</t>
  </si>
  <si>
    <t>Import or enter all known assets into Asset Detail sheet</t>
  </si>
  <si>
    <t>3. Physical Audit</t>
  </si>
  <si>
    <t>Use Scan Audit sheet - scan each device's barcode</t>
  </si>
  <si>
    <t>4. Review Matches</t>
  </si>
  <si>
    <t>Check Match Status column for Found vs Not Found</t>
  </si>
  <si>
    <t>5. Investigate</t>
  </si>
  <si>
    <t>Use Missing Report to track down unscanned assets</t>
  </si>
  <si>
    <t>6. Finalize</t>
  </si>
  <si>
    <t>Review Executive Summary KPIs before submitting</t>
  </si>
  <si>
    <t>CONDITION CODES</t>
  </si>
  <si>
    <t>Asset functioning properly</t>
  </si>
  <si>
    <t>Asset has issues, may be repairable on-site</t>
  </si>
  <si>
    <t>Requires return to vendor</t>
  </si>
  <si>
    <t>Cannot be located</t>
  </si>
  <si>
    <t>SCAN AUDIT TIPS</t>
  </si>
  <si>
    <t>• Scan barcodes</t>
  </si>
  <si>
    <t>Asset Number field auto-matches to inventory</t>
  </si>
  <si>
    <t>• Check marks</t>
  </si>
  <si>
    <t>✓ Found = in system | ✗ Not Found = unknown asset</t>
  </si>
  <si>
    <t>• Progress %</t>
  </si>
  <si>
    <t>Shows audit completion rate</t>
  </si>
  <si>
    <t>COST REFERENCE</t>
  </si>
  <si>
    <t>TC58 Handheld</t>
  </si>
  <si>
    <t>TC57 Handheld</t>
  </si>
  <si>
    <t>L10 MHE Tablet</t>
  </si>
  <si>
    <t>MC930 Scanner</t>
  </si>
  <si>
    <t>RS5100 Scanner</t>
  </si>
  <si>
    <t>Batteries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</si>
</sst>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[$-F800]dddd&quot;, &quot;mmmm\ dd&quot;, &quot;yyyy"/>
    <numFmt numFmtId="166" formatCode="00000000000000"/>
    <numFmt numFmtId="167" formatCode="00000000"/>
    <numFmt numFmtId="168" formatCode="000000000"/>
    <numFmt numFmtId="169" formatCode="[$-F800]dddd\,\ mmmm\ dd\,\ yyyy"/>
  </numFmts>
  <fonts count="58" x14ac:knownFonts="1">
    <font>
      <sz val="11"/>
      <color theme="1"/>
      <name val="Calibri"/>
      <family val="2"/>
      <charset val="1"/>
    </font>
    <font>
      <b/>
      <sz val="24"/>
      <color rgb="FF2C3E50"/>
      <name val="Calibri Light"/>
      <family val="2"/>
      <charset val="1"/>
    </font>
    <font>
      <b/>
      <sz val="9"/>
      <color rgb="FF34495E"/>
      <name val="Calibri"/>
      <family val="2"/>
      <charset val="1"/>
    </font>
    <font>
      <sz val="11"/>
      <color rgb="FF2C3E50"/>
      <name val="Calibri"/>
      <family val="2"/>
      <charset val="1"/>
    </font>
    <font>
      <b/>
      <sz val="12"/>
      <color rgb="FF16A085"/>
      <name val="Calibri"/>
      <family val="2"/>
      <charset val="1"/>
    </font>
    <font>
      <sz val="9"/>
      <color rgb="FF34495E"/>
      <name val="Calibri"/>
      <family val="2"/>
      <charset val="1"/>
    </font>
    <font>
      <b/>
      <sz val="18"/>
      <color rgb="FF2C3E50"/>
      <name val="Calibri Light"/>
      <family val="2"/>
      <charset val="1"/>
    </font>
    <font>
      <b/>
      <sz val="10"/>
      <color rgb="FFFFFFFF"/>
      <name val="Calibri"/>
      <family val="2"/>
      <charset val="1"/>
    </font>
    <font>
      <sz val="10"/>
      <color rgb="FF34495E"/>
      <name val="Calibri"/>
      <family val="2"/>
      <charset val="1"/>
    </font>
    <font>
      <b/>
      <sz val="10"/>
      <color rgb="FF2C3E50"/>
      <name val="Calibri"/>
      <family val="2"/>
      <charset val="1"/>
    </font>
    <font>
      <sz val="10"/>
      <name val="Calibri"/>
      <family val="2"/>
      <charset val="1"/>
    </font>
    <font>
      <b/>
      <sz val="10"/>
      <color rgb="FFFFFFFF"/>
      <name val="Calibri"/>
      <family val="2"/>
    </font>
    <font>
      <sz val="11"/>
      <color rgb="FF000000"/>
      <name val="Aptos Narrow"/>
      <family val="2"/>
      <charset val="1"/>
    </font>
    <font>
      <sz val="11"/>
      <color rgb="FF000000"/>
      <name val="Calibri"/>
      <family val="2"/>
      <charset val="1"/>
    </font>
    <font>
      <sz val="11"/>
      <color rgb="FF242424"/>
      <name val="Calibri"/>
      <family val="2"/>
      <charset val="1"/>
    </font>
    <font>
      <b/>
      <sz val="20"/>
      <color rgb="FF2C3E50"/>
      <name val="Calibri Light"/>
      <family val="2"/>
    </font>
    <font>
      <b/>
      <sz val="11"/>
      <color rgb="FFE74C3C"/>
      <name val="Calibri"/>
      <family val="2"/>
    </font>
    <font>
      <i/>
      <sz val="10"/>
      <color rgb="FF34495E"/>
      <name val="Calibri"/>
      <family val="2"/>
    </font>
    <font>
      <sz val="9"/>
      <color rgb="FF34495E"/>
      <name val="Calibri"/>
      <family val="2"/>
    </font>
    <font>
      <b/>
      <sz val="18"/>
      <color rgb="FF2C3E50"/>
      <name val="Calibri Light"/>
      <family val="2"/>
    </font>
    <font>
      <b/>
      <sz val="20"/>
      <color rgb="FF2C3E50"/>
      <name val="Calibri Light"/>
      <family val="2"/>
      <charset val="1"/>
    </font>
    <font>
      <i/>
      <sz val="10"/>
      <color rgb="FF34495E"/>
      <name val="Calibri"/>
      <family val="2"/>
      <charset val="1"/>
    </font>
    <font>
      <i/>
      <sz val="9"/>
      <color rgb="FF34495E"/>
      <name val="Cambria"/>
      <family val="1"/>
      <charset val="1"/>
    </font>
    <font>
      <b/>
      <sz val="10"/>
      <name val="Calibri"/>
      <family val="2"/>
      <charset val="1"/>
    </font>
    <font>
      <sz val="14"/>
      <name val="Calibri"/>
      <family val="2"/>
      <charset val="1"/>
    </font>
    <font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8"/>
      <name val="Calibri"/>
      <family val="2"/>
      <charset val="1"/>
    </font>
    <font>
      <sz val="10"/>
      <color rgb="FF212529"/>
      <name val="Open Sans"/>
      <family val="2"/>
    </font>
    <font>
      <b/>
      <sz val="10"/>
      <color rgb="FF000000"/>
      <name val="Calibri"/>
      <family val="2"/>
      <charset val="1"/>
    </font>
    <font>
      <b/>
      <sz val="20"/>
      <color rgb="FF000000"/>
      <name val="Calibri Light"/>
      <family val="2"/>
    </font>
    <font>
      <sz val="14"/>
      <color rgb="FF000000"/>
      <name val="Calibri"/>
      <family val="2"/>
      <charset val="1"/>
    </font>
    <font>
      <b/>
      <sz val="14"/>
      <color rgb="FF16A085"/>
      <name val="Calibri"/>
      <family val="2"/>
      <charset val="1"/>
    </font>
    <font>
      <sz val="14"/>
      <color theme="1"/>
      <name val="Calibri"/>
      <family val="2"/>
      <charset val="1"/>
    </font>
    <font>
      <b/>
      <sz val="14"/>
      <color rgb="FFFFFFFF"/>
      <name val="Calibri"/>
      <family val="2"/>
      <charset val="1"/>
    </font>
    <font>
      <sz val="14"/>
      <color rgb="FF34495E"/>
      <name val="Calibri"/>
      <family val="2"/>
      <charset val="1"/>
    </font>
    <font>
      <b/>
      <sz val="14"/>
      <color rgb="FF2C3E50"/>
      <name val="Calibri"/>
      <family val="2"/>
      <charset val="1"/>
    </font>
    <font>
      <b/>
      <sz val="9"/>
      <color rgb="FF34495E"/>
      <name val="Calibri"/>
      <family val="2"/>
    </font>
    <font>
      <b/>
      <sz val="15"/>
      <color rgb="FF2C3E50"/>
      <name val="Calibri Light"/>
      <family val="2"/>
      <charset val="1"/>
    </font>
    <font>
      <b/>
      <sz val="11"/>
      <color theme="1"/>
      <name val="Calibri"/>
      <family val="2"/>
    </font>
    <font>
      <sz val="11"/>
      <name val="Calibri"/>
      <family val="2"/>
      <charset val="1"/>
    </font>
    <font>
      <b/>
      <sz val="10"/>
      <color theme="0"/>
      <name val="Calibri"/>
      <family val="2"/>
      <charset val="1"/>
    </font>
    <font>
      <sz val="11"/>
      <color theme="1"/>
      <name val="Calibri"/>
      <family val="2"/>
      <charset val="1"/>
    </font>
    <font>
      <b/>
      <i/>
      <sz val="11"/>
      <color theme="1"/>
      <name val="Calibri"/>
      <family val="2"/>
    </font>
    <font>
      <b/>
      <sz val="11"/>
      <color rgb="FF34495E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charset val="1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212529"/>
      <name val="Arial"/>
      <family val="2"/>
    </font>
    <font>
      <b/>
      <i/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3.5"/>
      <color rgb="FFD40511"/>
      <name val="Arial"/>
      <family val="2"/>
    </font>
    <font>
      <sz val="11"/>
      <color theme="0"/>
      <name val="Calibri"/>
      <family val="2"/>
      <charset val="1"/>
    </font>
    <font>
      <b/>
      <sz val="11"/>
      <color rgb="FF00CC99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FEF9E7"/>
        <bgColor rgb="FFFFFFFF"/>
      </patternFill>
    </fill>
    <fill>
      <patternFill patternType="solid">
        <fgColor rgb="FFE8F6F3"/>
        <bgColor rgb="FFECF0F1"/>
      </patternFill>
    </fill>
    <fill>
      <patternFill patternType="solid">
        <fgColor rgb="FFD5F4E6"/>
        <bgColor rgb="FFE8F6F3"/>
      </patternFill>
    </fill>
    <fill>
      <patternFill patternType="solid">
        <fgColor rgb="FFFADBD8"/>
        <bgColor rgb="FFFDEBD0"/>
      </patternFill>
    </fill>
    <fill>
      <patternFill patternType="solid">
        <fgColor rgb="FF2C3E50"/>
        <bgColor rgb="FF34495E"/>
      </patternFill>
    </fill>
    <fill>
      <patternFill patternType="solid">
        <fgColor rgb="FFECF0F1"/>
        <bgColor rgb="FFE8F6F3"/>
      </patternFill>
    </fill>
    <fill>
      <patternFill patternType="solid">
        <fgColor rgb="FFFFFFFF"/>
        <bgColor rgb="FFFEF9E7"/>
      </patternFill>
    </fill>
    <fill>
      <patternFill patternType="solid">
        <fgColor rgb="FF16A085"/>
        <bgColor rgb="FF27AE60"/>
      </patternFill>
    </fill>
    <fill>
      <patternFill patternType="solid">
        <fgColor rgb="FF27AE60"/>
        <bgColor rgb="FF16A085"/>
      </patternFill>
    </fill>
    <fill>
      <patternFill patternType="solid">
        <fgColor rgb="FFFDEBD0"/>
        <bgColor rgb="FFFADBD8"/>
      </patternFill>
    </fill>
    <fill>
      <patternFill patternType="solid">
        <fgColor theme="5" tint="0.79998168889431442"/>
        <bgColor rgb="FFECF0F1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rgb="FFFEF9E7"/>
      </patternFill>
    </fill>
    <fill>
      <patternFill patternType="solid">
        <fgColor theme="0" tint="-4.9989318521683403E-2"/>
        <bgColor rgb="FFE8F6F3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8F6F3"/>
        <bgColor rgb="FFFDEBD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rgb="FFFF808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rgb="FF16A085"/>
      </top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/>
      <right/>
      <top style="medium">
        <color rgb="FF27AE60"/>
      </top>
      <bottom/>
      <diagonal/>
    </border>
    <border>
      <left/>
      <right/>
      <top style="medium">
        <color rgb="FFF39C12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thin">
        <color rgb="FFD5D8DC"/>
      </left>
      <right style="thin">
        <color rgb="FFD5D8DC"/>
      </right>
      <top/>
      <bottom style="thin">
        <color rgb="FFD5D8DC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D5D8DC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D5D8DC"/>
      </right>
      <top style="thin">
        <color rgb="FFD5D8DC"/>
      </top>
      <bottom style="medium">
        <color indexed="64"/>
      </bottom>
      <diagonal/>
    </border>
    <border>
      <left style="thin">
        <color rgb="FFD5D8DC"/>
      </left>
      <right style="medium">
        <color indexed="64"/>
      </right>
      <top style="thin">
        <color rgb="FFD5D8DC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medium">
        <color indexed="64"/>
      </bottom>
      <diagonal/>
    </border>
    <border>
      <left style="medium">
        <color indexed="64"/>
      </left>
      <right/>
      <top style="medium">
        <color rgb="FF16A085"/>
      </top>
      <bottom/>
      <diagonal/>
    </border>
    <border>
      <left/>
      <right style="medium">
        <color indexed="64"/>
      </right>
      <top style="medium">
        <color rgb="FF16A085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D5D8DC"/>
      </right>
      <top style="medium">
        <color indexed="64"/>
      </top>
      <bottom style="thin">
        <color rgb="FFD5D8DC"/>
      </bottom>
      <diagonal/>
    </border>
    <border>
      <left style="thin">
        <color rgb="FFD5D8DC"/>
      </left>
      <right style="thin">
        <color rgb="FFD5D8DC"/>
      </right>
      <top style="medium">
        <color indexed="64"/>
      </top>
      <bottom style="thin">
        <color rgb="FFD5D8DC"/>
      </bottom>
      <diagonal/>
    </border>
    <border>
      <left style="thin">
        <color rgb="FFD5D8DC"/>
      </left>
      <right style="medium">
        <color indexed="64"/>
      </right>
      <top style="medium">
        <color indexed="64"/>
      </top>
      <bottom style="thin">
        <color rgb="FFD5D8DC"/>
      </bottom>
      <diagonal/>
    </border>
    <border>
      <left/>
      <right style="thin">
        <color rgb="FFD5D8DC"/>
      </right>
      <top/>
      <bottom style="thin">
        <color rgb="FFD5D8DC"/>
      </bottom>
      <diagonal/>
    </border>
    <border>
      <left style="thin">
        <color rgb="FFD5D8DC"/>
      </left>
      <right/>
      <top/>
      <bottom style="thin">
        <color rgb="FFD5D8DC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">
    <xf numFmtId="0" fontId="0" fillId="0" borderId="0"/>
    <xf numFmtId="0" fontId="25" fillId="13" borderId="0" applyNumberFormat="0" applyBorder="0" applyAlignment="0" applyProtection="0"/>
    <xf numFmtId="43" fontId="43" fillId="0" borderId="0" applyFont="0" applyFill="0" applyBorder="0" applyAlignment="0" applyProtection="0"/>
    <xf numFmtId="0" fontId="48" fillId="0" borderId="0">
      <alignment horizontal="justify" wrapText="1"/>
    </xf>
  </cellStyleXfs>
  <cellXfs count="200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/>
    </xf>
    <xf numFmtId="0" fontId="8" fillId="7" borderId="0" xfId="0" applyFont="1" applyFill="1"/>
    <xf numFmtId="0" fontId="8" fillId="8" borderId="0" xfId="0" applyFont="1" applyFill="1"/>
    <xf numFmtId="0" fontId="7" fillId="6" borderId="0" xfId="0" applyFont="1" applyFill="1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horizontal="center"/>
    </xf>
    <xf numFmtId="165" fontId="0" fillId="0" borderId="0" xfId="0" applyNumberFormat="1"/>
    <xf numFmtId="0" fontId="14" fillId="0" borderId="0" xfId="0" applyFont="1"/>
    <xf numFmtId="0" fontId="13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 applyAlignment="1">
      <alignment horizontal="center"/>
    </xf>
    <xf numFmtId="0" fontId="19" fillId="3" borderId="2" xfId="0" applyFont="1" applyFill="1" applyBorder="1" applyAlignment="1">
      <alignment horizontal="center"/>
    </xf>
    <xf numFmtId="0" fontId="19" fillId="4" borderId="2" xfId="0" applyFont="1" applyFill="1" applyBorder="1" applyAlignment="1">
      <alignment horizontal="center"/>
    </xf>
    <xf numFmtId="0" fontId="19" fillId="5" borderId="2" xfId="0" applyFont="1" applyFill="1" applyBorder="1" applyAlignment="1">
      <alignment horizontal="center"/>
    </xf>
    <xf numFmtId="0" fontId="11" fillId="10" borderId="0" xfId="0" applyFont="1" applyFill="1"/>
    <xf numFmtId="0" fontId="0" fillId="0" borderId="3" xfId="0" applyBorder="1"/>
    <xf numFmtId="0" fontId="20" fillId="11" borderId="2" xfId="0" applyFont="1" applyFill="1" applyBorder="1" applyAlignment="1">
      <alignment horizontal="center"/>
    </xf>
    <xf numFmtId="164" fontId="20" fillId="3" borderId="2" xfId="0" applyNumberFormat="1" applyFont="1" applyFill="1" applyBorder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0" xfId="0" applyFont="1" applyFill="1"/>
    <xf numFmtId="0" fontId="0" fillId="0" borderId="4" xfId="0" applyBorder="1"/>
    <xf numFmtId="0" fontId="24" fillId="7" borderId="0" xfId="0" applyFont="1" applyFill="1" applyAlignment="1">
      <alignment horizontal="center"/>
    </xf>
    <xf numFmtId="0" fontId="24" fillId="8" borderId="0" xfId="0" applyFont="1" applyFill="1" applyAlignment="1">
      <alignment horizontal="center"/>
    </xf>
    <xf numFmtId="0" fontId="7" fillId="6" borderId="0" xfId="0" applyFont="1" applyFill="1"/>
    <xf numFmtId="0" fontId="8" fillId="0" borderId="0" xfId="0" applyFont="1"/>
    <xf numFmtId="0" fontId="9" fillId="0" borderId="0" xfId="0" applyFont="1"/>
    <xf numFmtId="0" fontId="8" fillId="14" borderId="0" xfId="0" applyFont="1" applyFill="1" applyAlignment="1">
      <alignment horizontal="center"/>
    </xf>
    <xf numFmtId="0" fontId="8" fillId="14" borderId="0" xfId="0" applyFont="1" applyFill="1"/>
    <xf numFmtId="0" fontId="8" fillId="15" borderId="0" xfId="0" applyFont="1" applyFill="1" applyAlignment="1">
      <alignment horizontal="center"/>
    </xf>
    <xf numFmtId="0" fontId="8" fillId="16" borderId="0" xfId="0" applyFont="1" applyFill="1"/>
    <xf numFmtId="0" fontId="0" fillId="17" borderId="0" xfId="0" applyFill="1"/>
    <xf numFmtId="166" fontId="0" fillId="0" borderId="0" xfId="0" applyNumberFormat="1"/>
    <xf numFmtId="167" fontId="0" fillId="0" borderId="0" xfId="0" applyNumberFormat="1" applyAlignment="1">
      <alignment horizontal="left"/>
    </xf>
    <xf numFmtId="167" fontId="7" fillId="6" borderId="0" xfId="0" applyNumberFormat="1" applyFont="1" applyFill="1" applyAlignment="1">
      <alignment horizontal="left" vertical="center"/>
    </xf>
    <xf numFmtId="14" fontId="8" fillId="14" borderId="0" xfId="0" applyNumberFormat="1" applyFont="1" applyFill="1"/>
    <xf numFmtId="0" fontId="0" fillId="18" borderId="0" xfId="0" applyFill="1"/>
    <xf numFmtId="0" fontId="25" fillId="0" borderId="0" xfId="1" applyNumberFormat="1" applyFill="1"/>
    <xf numFmtId="167" fontId="0" fillId="18" borderId="0" xfId="0" applyNumberFormat="1" applyFill="1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left"/>
    </xf>
    <xf numFmtId="0" fontId="0" fillId="18" borderId="0" xfId="0" applyFill="1" applyAlignment="1">
      <alignment horizontal="left"/>
    </xf>
    <xf numFmtId="14" fontId="0" fillId="0" borderId="0" xfId="0" applyNumberFormat="1"/>
    <xf numFmtId="14" fontId="7" fillId="6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7" fillId="0" borderId="0" xfId="0" applyFont="1" applyAlignment="1">
      <alignment horizontal="left"/>
    </xf>
    <xf numFmtId="0" fontId="0" fillId="0" borderId="0" xfId="0" applyAlignment="1">
      <alignment horizontal="left"/>
    </xf>
    <xf numFmtId="167" fontId="0" fillId="0" borderId="0" xfId="0" applyNumberFormat="1"/>
    <xf numFmtId="1" fontId="29" fillId="0" borderId="0" xfId="0" applyNumberFormat="1" applyFont="1" applyAlignment="1">
      <alignment horizontal="left"/>
    </xf>
    <xf numFmtId="168" fontId="27" fillId="0" borderId="0" xfId="0" applyNumberFormat="1" applyFont="1" applyAlignment="1">
      <alignment horizontal="left"/>
    </xf>
    <xf numFmtId="0" fontId="12" fillId="0" borderId="0" xfId="0" applyFont="1"/>
    <xf numFmtId="0" fontId="26" fillId="0" borderId="0" xfId="0" applyFont="1" applyAlignment="1">
      <alignment horizontal="left"/>
    </xf>
    <xf numFmtId="1" fontId="26" fillId="0" borderId="0" xfId="0" applyNumberFormat="1" applyFont="1" applyAlignment="1">
      <alignment horizontal="left"/>
    </xf>
    <xf numFmtId="1" fontId="27" fillId="0" borderId="0" xfId="0" applyNumberFormat="1" applyFont="1" applyAlignment="1">
      <alignment horizontal="left"/>
    </xf>
    <xf numFmtId="1" fontId="7" fillId="6" borderId="0" xfId="0" applyNumberFormat="1" applyFont="1" applyFill="1" applyAlignment="1">
      <alignment horizontal="left" vertical="center" wrapText="1"/>
    </xf>
    <xf numFmtId="1" fontId="13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13" fillId="0" borderId="0" xfId="0" applyFont="1" applyAlignment="1">
      <alignment horizontal="left"/>
    </xf>
    <xf numFmtId="169" fontId="0" fillId="0" borderId="0" xfId="0" applyNumberFormat="1"/>
    <xf numFmtId="169" fontId="0" fillId="0" borderId="0" xfId="0" applyNumberFormat="1" applyAlignment="1">
      <alignment horizontal="left"/>
    </xf>
    <xf numFmtId="0" fontId="0" fillId="0" borderId="7" xfId="0" applyBorder="1" applyAlignment="1">
      <alignment horizontal="center"/>
    </xf>
    <xf numFmtId="9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left"/>
    </xf>
    <xf numFmtId="0" fontId="26" fillId="0" borderId="0" xfId="0" applyFont="1"/>
    <xf numFmtId="1" fontId="25" fillId="13" borderId="0" xfId="1" applyNumberFormat="1" applyAlignment="1">
      <alignment horizontal="left"/>
    </xf>
    <xf numFmtId="0" fontId="7" fillId="6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7" fillId="6" borderId="9" xfId="0" applyFont="1" applyFill="1" applyBorder="1" applyAlignment="1">
      <alignment horizontal="center" vertical="center"/>
    </xf>
    <xf numFmtId="164" fontId="39" fillId="0" borderId="2" xfId="0" applyNumberFormat="1" applyFont="1" applyBorder="1" applyAlignment="1">
      <alignment horizontal="center"/>
    </xf>
    <xf numFmtId="0" fontId="10" fillId="0" borderId="0" xfId="0" applyFont="1"/>
    <xf numFmtId="49" fontId="41" fillId="0" borderId="0" xfId="0" applyNumberFormat="1" applyFont="1"/>
    <xf numFmtId="0" fontId="41" fillId="0" borderId="0" xfId="0" applyFont="1"/>
    <xf numFmtId="167" fontId="41" fillId="0" borderId="0" xfId="0" applyNumberFormat="1" applyFont="1"/>
    <xf numFmtId="0" fontId="42" fillId="6" borderId="0" xfId="0" applyFont="1" applyFill="1" applyAlignment="1">
      <alignment horizontal="center" vertical="center" wrapText="1"/>
    </xf>
    <xf numFmtId="166" fontId="30" fillId="20" borderId="0" xfId="0" applyNumberFormat="1" applyFont="1" applyFill="1" applyAlignment="1">
      <alignment horizontal="center"/>
    </xf>
    <xf numFmtId="0" fontId="30" fillId="20" borderId="0" xfId="0" applyFont="1" applyFill="1" applyAlignment="1">
      <alignment horizontal="center"/>
    </xf>
    <xf numFmtId="0" fontId="7" fillId="21" borderId="0" xfId="0" applyFont="1" applyFill="1" applyAlignment="1">
      <alignment horizontal="center"/>
    </xf>
    <xf numFmtId="0" fontId="40" fillId="20" borderId="6" xfId="0" applyFont="1" applyFill="1" applyBorder="1" applyAlignment="1">
      <alignment horizontal="center"/>
    </xf>
    <xf numFmtId="0" fontId="8" fillId="0" borderId="5" xfId="0" applyFont="1" applyBorder="1"/>
    <xf numFmtId="0" fontId="0" fillId="23" borderId="11" xfId="0" applyFill="1" applyBorder="1"/>
    <xf numFmtId="0" fontId="0" fillId="0" borderId="11" xfId="0" applyBorder="1"/>
    <xf numFmtId="0" fontId="44" fillId="0" borderId="0" xfId="0" applyFont="1"/>
    <xf numFmtId="0" fontId="44" fillId="0" borderId="0" xfId="0" applyFont="1" applyAlignment="1">
      <alignment vertical="center"/>
    </xf>
    <xf numFmtId="0" fontId="40" fillId="0" borderId="13" xfId="0" applyFont="1" applyBorder="1" applyAlignment="1">
      <alignment horizontal="center"/>
    </xf>
    <xf numFmtId="0" fontId="40" fillId="0" borderId="17" xfId="0" applyFont="1" applyBorder="1" applyAlignment="1">
      <alignment horizontal="center"/>
    </xf>
    <xf numFmtId="0" fontId="40" fillId="0" borderId="18" xfId="0" applyFont="1" applyBorder="1" applyAlignment="1">
      <alignment horizontal="center"/>
    </xf>
    <xf numFmtId="0" fontId="38" fillId="0" borderId="18" xfId="0" applyFont="1" applyBorder="1" applyAlignment="1">
      <alignment horizontal="center"/>
    </xf>
    <xf numFmtId="0" fontId="35" fillId="6" borderId="28" xfId="0" applyFont="1" applyFill="1" applyBorder="1" applyAlignment="1">
      <alignment horizontal="center" vertical="center"/>
    </xf>
    <xf numFmtId="0" fontId="35" fillId="6" borderId="29" xfId="0" applyFont="1" applyFill="1" applyBorder="1" applyAlignment="1">
      <alignment horizontal="center" vertical="center"/>
    </xf>
    <xf numFmtId="0" fontId="35" fillId="6" borderId="30" xfId="0" applyFont="1" applyFill="1" applyBorder="1" applyAlignment="1">
      <alignment horizontal="center" vertical="center"/>
    </xf>
    <xf numFmtId="0" fontId="36" fillId="0" borderId="17" xfId="0" applyFont="1" applyBorder="1"/>
    <xf numFmtId="0" fontId="34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36" fillId="18" borderId="0" xfId="0" applyFont="1" applyFill="1" applyAlignment="1">
      <alignment horizontal="center"/>
    </xf>
    <xf numFmtId="0" fontId="37" fillId="0" borderId="0" xfId="0" applyFont="1" applyAlignment="1">
      <alignment horizontal="center"/>
    </xf>
    <xf numFmtId="0" fontId="24" fillId="0" borderId="18" xfId="0" applyFont="1" applyBorder="1" applyAlignment="1">
      <alignment horizontal="center"/>
    </xf>
    <xf numFmtId="0" fontId="35" fillId="9" borderId="25" xfId="0" applyFont="1" applyFill="1" applyBorder="1"/>
    <xf numFmtId="0" fontId="35" fillId="9" borderId="26" xfId="0" applyFont="1" applyFill="1" applyBorder="1" applyAlignment="1">
      <alignment horizontal="center"/>
    </xf>
    <xf numFmtId="0" fontId="35" fillId="9" borderId="27" xfId="0" applyFont="1" applyFill="1" applyBorder="1" applyAlignment="1">
      <alignment horizontal="center"/>
    </xf>
    <xf numFmtId="0" fontId="44" fillId="24" borderId="12" xfId="0" applyFont="1" applyFill="1" applyBorder="1" applyAlignment="1">
      <alignment horizontal="center" vertical="center"/>
    </xf>
    <xf numFmtId="1" fontId="39" fillId="3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9" fillId="3" borderId="19" xfId="0" applyFont="1" applyFill="1" applyBorder="1" applyAlignment="1">
      <alignment horizontal="center" vertical="center"/>
    </xf>
    <xf numFmtId="1" fontId="39" fillId="3" borderId="22" xfId="0" applyNumberFormat="1" applyFont="1" applyFill="1" applyBorder="1" applyAlignment="1">
      <alignment horizontal="center" vertical="center"/>
    </xf>
    <xf numFmtId="0" fontId="39" fillId="12" borderId="20" xfId="0" applyFont="1" applyFill="1" applyBorder="1" applyAlignment="1">
      <alignment horizontal="center" vertical="center"/>
    </xf>
    <xf numFmtId="0" fontId="47" fillId="22" borderId="0" xfId="0" applyFont="1" applyFill="1"/>
    <xf numFmtId="2" fontId="47" fillId="22" borderId="0" xfId="2" applyNumberFormat="1" applyFont="1" applyFill="1"/>
    <xf numFmtId="49" fontId="47" fillId="22" borderId="0" xfId="0" applyNumberFormat="1" applyFont="1" applyFill="1"/>
    <xf numFmtId="1" fontId="39" fillId="3" borderId="25" xfId="0" applyNumberFormat="1" applyFont="1" applyFill="1" applyBorder="1" applyAlignment="1">
      <alignment horizontal="center" vertical="center"/>
    </xf>
    <xf numFmtId="1" fontId="39" fillId="3" borderId="27" xfId="0" applyNumberFormat="1" applyFont="1" applyFill="1" applyBorder="1" applyAlignment="1">
      <alignment horizontal="center" vertical="center"/>
    </xf>
    <xf numFmtId="0" fontId="48" fillId="0" borderId="0" xfId="3">
      <alignment horizontal="justify" wrapText="1"/>
    </xf>
    <xf numFmtId="0" fontId="48" fillId="0" borderId="0" xfId="3" quotePrefix="1">
      <alignment horizontal="justify" wrapText="1"/>
    </xf>
    <xf numFmtId="0" fontId="47" fillId="22" borderId="0" xfId="2" applyNumberFormat="1" applyFont="1" applyFill="1"/>
    <xf numFmtId="0" fontId="45" fillId="0" borderId="12" xfId="0" applyFont="1" applyBorder="1" applyAlignment="1">
      <alignment horizontal="center"/>
    </xf>
    <xf numFmtId="0" fontId="39" fillId="3" borderId="14" xfId="0" applyFont="1" applyFill="1" applyBorder="1" applyAlignment="1">
      <alignment horizontal="center"/>
    </xf>
    <xf numFmtId="0" fontId="7" fillId="6" borderId="31" xfId="0" applyFont="1" applyFill="1" applyBorder="1" applyAlignment="1">
      <alignment horizontal="center" vertical="center"/>
    </xf>
    <xf numFmtId="0" fontId="7" fillId="6" borderId="32" xfId="0" applyFont="1" applyFill="1" applyBorder="1" applyAlignment="1">
      <alignment horizontal="center" vertical="center"/>
    </xf>
    <xf numFmtId="0" fontId="0" fillId="23" borderId="10" xfId="0" applyFill="1" applyBorder="1"/>
    <xf numFmtId="0" fontId="0" fillId="0" borderId="10" xfId="0" applyBorder="1"/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19" borderId="2" xfId="0" applyFill="1" applyBorder="1" applyAlignment="1">
      <alignment horizontal="center"/>
    </xf>
    <xf numFmtId="1" fontId="0" fillId="0" borderId="0" xfId="0" applyNumberFormat="1" applyAlignment="1">
      <alignment horizontal="right"/>
    </xf>
    <xf numFmtId="1" fontId="13" fillId="0" borderId="0" xfId="0" applyNumberFormat="1" applyFont="1" applyAlignment="1">
      <alignment horizontal="right"/>
    </xf>
    <xf numFmtId="169" fontId="13" fillId="0" borderId="0" xfId="0" applyNumberFormat="1" applyFont="1" applyAlignment="1">
      <alignment horizontal="left"/>
    </xf>
    <xf numFmtId="1" fontId="22" fillId="0" borderId="0" xfId="0" applyNumberFormat="1" applyFont="1" applyAlignment="1">
      <alignment horizontal="left"/>
    </xf>
    <xf numFmtId="0" fontId="9" fillId="0" borderId="0" xfId="0" applyFont="1" applyAlignment="1">
      <alignment horizontal="center"/>
    </xf>
    <xf numFmtId="0" fontId="7" fillId="9" borderId="0" xfId="0" applyFont="1" applyFill="1"/>
    <xf numFmtId="0" fontId="7" fillId="9" borderId="0" xfId="0" applyFont="1" applyFill="1" applyAlignment="1">
      <alignment horizontal="center"/>
    </xf>
    <xf numFmtId="49" fontId="0" fillId="2" borderId="0" xfId="0" applyNumberFormat="1" applyFill="1" applyAlignment="1">
      <alignment horizontal="center"/>
    </xf>
    <xf numFmtId="49" fontId="23" fillId="7" borderId="0" xfId="0" applyNumberFormat="1" applyFont="1" applyFill="1" applyAlignment="1">
      <alignment horizontal="center"/>
    </xf>
    <xf numFmtId="49" fontId="49" fillId="7" borderId="0" xfId="0" applyNumberFormat="1" applyFont="1" applyFill="1" applyAlignment="1">
      <alignment horizontal="center"/>
    </xf>
    <xf numFmtId="49" fontId="23" fillId="8" borderId="0" xfId="0" applyNumberFormat="1" applyFont="1" applyFill="1" applyAlignment="1">
      <alignment horizontal="center"/>
    </xf>
    <xf numFmtId="49" fontId="49" fillId="8" borderId="0" xfId="0" applyNumberFormat="1" applyFont="1" applyFill="1" applyAlignment="1">
      <alignment horizontal="center"/>
    </xf>
    <xf numFmtId="0" fontId="51" fillId="0" borderId="0" xfId="0" applyFont="1" applyAlignment="1">
      <alignment horizontal="center" vertical="center" wrapText="1"/>
    </xf>
    <xf numFmtId="0" fontId="50" fillId="0" borderId="0" xfId="0" applyFont="1"/>
    <xf numFmtId="0" fontId="50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0" fillId="0" borderId="0" xfId="0" applyFont="1" applyAlignment="1">
      <alignment horizontal="center" vertical="center" wrapText="1"/>
    </xf>
    <xf numFmtId="1" fontId="52" fillId="0" borderId="0" xfId="0" applyNumberFormat="1" applyFont="1" applyAlignment="1">
      <alignment horizontal="left"/>
    </xf>
    <xf numFmtId="0" fontId="34" fillId="0" borderId="0" xfId="0" applyFont="1"/>
    <xf numFmtId="0" fontId="49" fillId="0" borderId="0" xfId="0" applyFont="1" applyAlignment="1">
      <alignment horizontal="center"/>
    </xf>
    <xf numFmtId="0" fontId="27" fillId="0" borderId="0" xfId="0" applyFont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49" fillId="0" borderId="42" xfId="0" applyFont="1" applyBorder="1"/>
    <xf numFmtId="0" fontId="40" fillId="0" borderId="0" xfId="0" applyFont="1"/>
    <xf numFmtId="0" fontId="49" fillId="0" borderId="43" xfId="0" applyFont="1" applyBorder="1" applyAlignment="1">
      <alignment horizontal="left"/>
    </xf>
    <xf numFmtId="0" fontId="49" fillId="0" borderId="43" xfId="0" applyFont="1" applyBorder="1"/>
    <xf numFmtId="0" fontId="0" fillId="23" borderId="0" xfId="0" applyFill="1"/>
    <xf numFmtId="0" fontId="54" fillId="0" borderId="0" xfId="0" applyFont="1"/>
    <xf numFmtId="0" fontId="55" fillId="0" borderId="0" xfId="0" applyFont="1" applyAlignment="1">
      <alignment vertical="center" wrapText="1"/>
    </xf>
    <xf numFmtId="0" fontId="56" fillId="26" borderId="0" xfId="0" applyFont="1" applyFill="1" applyAlignment="1">
      <alignment horizontal="center"/>
    </xf>
    <xf numFmtId="0" fontId="0" fillId="0" borderId="2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2" fillId="0" borderId="17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0" fontId="2" fillId="0" borderId="25" xfId="0" applyFont="1" applyBorder="1" applyAlignment="1">
      <alignment horizontal="left"/>
    </xf>
    <xf numFmtId="0" fontId="3" fillId="0" borderId="26" xfId="0" applyFont="1" applyBorder="1" applyAlignment="1">
      <alignment horizontal="left"/>
    </xf>
    <xf numFmtId="0" fontId="2" fillId="0" borderId="26" xfId="0" applyFont="1" applyBorder="1" applyAlignment="1">
      <alignment horizontal="left"/>
    </xf>
    <xf numFmtId="14" fontId="3" fillId="0" borderId="26" xfId="0" applyNumberFormat="1" applyFont="1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7" fillId="9" borderId="0" xfId="0" applyFont="1" applyFill="1" applyAlignment="1">
      <alignment horizontal="left"/>
    </xf>
    <xf numFmtId="0" fontId="8" fillId="16" borderId="0" xfId="0" applyFont="1" applyFill="1" applyAlignment="1">
      <alignment horizontal="center"/>
    </xf>
    <xf numFmtId="0" fontId="57" fillId="17" borderId="0" xfId="0" applyFont="1" applyFill="1" applyAlignment="1">
      <alignment horizontal="center"/>
    </xf>
    <xf numFmtId="0" fontId="33" fillId="17" borderId="0" xfId="0" applyFont="1" applyFill="1"/>
    <xf numFmtId="0" fontId="1" fillId="0" borderId="15" xfId="0" applyFont="1" applyBorder="1"/>
    <xf numFmtId="0" fontId="1" fillId="0" borderId="21" xfId="0" applyFont="1" applyBorder="1"/>
    <xf numFmtId="0" fontId="1" fillId="0" borderId="16" xfId="0" applyFont="1" applyBorder="1"/>
    <xf numFmtId="0" fontId="4" fillId="17" borderId="0" xfId="0" applyFont="1" applyFill="1"/>
    <xf numFmtId="0" fontId="44" fillId="25" borderId="15" xfId="0" applyFont="1" applyFill="1" applyBorder="1" applyAlignment="1">
      <alignment horizontal="center" vertical="center"/>
    </xf>
    <xf numFmtId="0" fontId="44" fillId="25" borderId="16" xfId="0" applyFont="1" applyFill="1" applyBorder="1" applyAlignment="1">
      <alignment horizontal="center" vertical="center"/>
    </xf>
    <xf numFmtId="0" fontId="53" fillId="18" borderId="15" xfId="0" applyFont="1" applyFill="1" applyBorder="1" applyAlignment="1">
      <alignment horizontal="center" vertical="center"/>
    </xf>
    <xf numFmtId="0" fontId="53" fillId="18" borderId="21" xfId="0" applyFont="1" applyFill="1" applyBorder="1" applyAlignment="1">
      <alignment horizontal="center" vertical="center"/>
    </xf>
    <xf numFmtId="0" fontId="53" fillId="18" borderId="16" xfId="0" applyFont="1" applyFill="1" applyBorder="1" applyAlignment="1">
      <alignment horizontal="center" vertical="center"/>
    </xf>
    <xf numFmtId="0" fontId="4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/>
    <xf numFmtId="0" fontId="20" fillId="0" borderId="0" xfId="0" applyFont="1"/>
    <xf numFmtId="0" fontId="21" fillId="0" borderId="0" xfId="0" applyFont="1"/>
    <xf numFmtId="0" fontId="31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6" fillId="0" borderId="0" xfId="0" applyFont="1"/>
  </cellXfs>
  <cellStyles count="4">
    <cellStyle name="Comma" xfId="2" builtinId="3"/>
    <cellStyle name="Neutral" xfId="1" builtinId="28"/>
    <cellStyle name="Normal" xfId="0" builtinId="0"/>
    <cellStyle name="Normal 2" xfId="3" xr:uid="{30100DAB-12E0-46FA-A1D6-AB602280B869}"/>
  </cellStyles>
  <dxfs count="104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4495E"/>
        <name val="Calibri"/>
        <family val="2"/>
        <charset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/>
        <bottom/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charset val="1"/>
        <scheme val="none"/>
      </font>
      <fill>
        <patternFill patternType="solid">
          <fgColor rgb="FF34495E"/>
          <bgColor rgb="FF2C3E5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charset val="1"/>
        <scheme val="none"/>
      </font>
      <fill>
        <patternFill patternType="solid">
          <fgColor rgb="FFFEF9E7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1"/>
        <scheme val="none"/>
      </font>
      <numFmt numFmtId="30" formatCode="@"/>
      <fill>
        <patternFill patternType="solid">
          <fgColor rgb="FFFEF9E7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</font>
      <numFmt numFmtId="30" formatCode="@"/>
      <fill>
        <patternFill patternType="solid">
          <fgColor rgb="FFFEF9E7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</font>
      <numFmt numFmtId="30" formatCode="@"/>
      <fill>
        <patternFill patternType="solid">
          <fgColor rgb="FFFEF9E7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</font>
      <numFmt numFmtId="30" formatCode="@"/>
      <fill>
        <patternFill patternType="solid">
          <fgColor rgb="FFFEF9E7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1"/>
        <scheme val="none"/>
      </font>
      <numFmt numFmtId="30" formatCode="@"/>
      <fill>
        <patternFill patternType="solid">
          <fgColor rgb="FFFEF9E7"/>
          <bgColor rgb="FFFFFFFF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solid">
          <fgColor rgb="FFFFFFFF"/>
          <bgColor rgb="FFFEF9E7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solid">
          <fgColor rgb="FFFFFFFF"/>
          <bgColor rgb="FFFEF9E7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solid">
          <fgColor rgb="FFFFFFFF"/>
          <bgColor rgb="FFFEF9E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4495E"/>
        <name val="Calibri"/>
        <family val="2"/>
        <charset val="1"/>
        <scheme val="none"/>
      </font>
      <fill>
        <patternFill patternType="solid">
          <fgColor rgb="FFFEF9E7"/>
          <bgColor rgb="FFFFFFFF"/>
        </patternFill>
      </fill>
    </dxf>
    <dxf>
      <fill>
        <patternFill patternType="solid">
          <fgColor rgb="FFFEF9E7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charset val="1"/>
        <scheme val="none"/>
      </font>
      <fill>
        <patternFill patternType="solid">
          <fgColor rgb="FF34495E"/>
          <bgColor rgb="FF2C3E50"/>
        </patternFill>
      </fill>
      <alignment horizontal="center" vertical="center" textRotation="0" wrapText="1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69" formatCode="[$-F800]dddd\,\ mmmm\ dd\,\ yyyy"/>
      <alignment horizontal="left" vertical="bottom" textRotation="0" wrapText="0" indent="0" justifyLastLine="0" shrinkToFit="0" readingOrder="0"/>
    </dxf>
    <dxf>
      <numFmt numFmtId="169" formatCode="[$-F800]dddd\,\ mmmm\ dd\,\ yyyy"/>
      <alignment horizontal="left" vertical="bottom" textRotation="0" wrapText="0" indent="0" justifyLastLine="0" shrinkToFit="0" readingOrder="0"/>
    </dxf>
    <dxf>
      <numFmt numFmtId="169" formatCode="[$-F800]dddd\,\ mmmm\ dd\,\ yyyy"/>
      <alignment horizontal="left" vertical="bottom" textRotation="0" wrapText="0" indent="0" justifyLastLine="0" shrinkToFit="0" readingOrder="0"/>
    </dxf>
    <dxf>
      <numFmt numFmtId="169" formatCode="[$-F800]dddd\,\ mmmm\ dd\,\ 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</dxf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numFmt numFmtId="169" formatCode="[$-F800]dddd\,\ mmmm\ dd\,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numFmt numFmtId="1" formatCode="0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charset val="1"/>
        <scheme val="none"/>
      </font>
      <fill>
        <patternFill patternType="solid">
          <fgColor rgb="FFFF8080"/>
          <bgColor theme="5" tint="-0.249977111117893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4495E"/>
        <name val="Calibri"/>
        <family val="2"/>
        <charset val="1"/>
        <scheme val="none"/>
      </font>
      <fill>
        <patternFill patternType="solid">
          <fgColor rgb="FFE8F6F3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4495E"/>
        <name val="Calibri"/>
        <family val="2"/>
        <charset val="1"/>
        <scheme val="none"/>
      </font>
      <fill>
        <patternFill patternType="solid">
          <fgColor rgb="FFFEF9E7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4495E"/>
        <name val="Calibri"/>
        <family val="2"/>
        <charset val="1"/>
        <scheme val="none"/>
      </font>
      <fill>
        <patternFill patternType="solid">
          <fgColor rgb="FFE8F6F3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4495E"/>
        <name val="Calibri"/>
        <family val="2"/>
        <charset val="1"/>
        <scheme val="none"/>
      </font>
      <fill>
        <patternFill patternType="solid">
          <fgColor rgb="FFFFFFFF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4495E"/>
        <name val="Calibri"/>
        <family val="2"/>
        <charset val="1"/>
        <scheme val="none"/>
      </font>
      <numFmt numFmtId="19" formatCode="m/d/yyyy"/>
      <fill>
        <patternFill patternType="solid">
          <fgColor rgb="FFFEF9E7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4495E"/>
        <name val="Calibri"/>
        <family val="2"/>
        <charset val="1"/>
        <scheme val="none"/>
      </font>
      <fill>
        <patternFill patternType="solid">
          <fgColor rgb="FFFFFFFF"/>
          <bgColor rgb="FFFEF9E7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charset val="1"/>
        <scheme val="none"/>
      </font>
      <fill>
        <patternFill patternType="solid">
          <fgColor rgb="FF34495E"/>
          <bgColor rgb="FF2C3E5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16A085"/>
          <bgColor rgb="FF27AE60"/>
        </patternFill>
      </fill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numFmt numFmtId="165" formatCode="[$-F800]dddd&quot;, &quot;mmmm\ dd&quot;, &quot;yyyy"/>
    </dxf>
    <dxf>
      <numFmt numFmtId="30" formatCode="@"/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font>
        <strike val="0"/>
        <outline val="0"/>
        <shadow val="0"/>
        <u val="none"/>
        <vertAlign val="baseline"/>
        <color auto="1"/>
        <name val="Calibri"/>
        <family val="2"/>
        <charset val="1"/>
        <scheme val="none"/>
      </font>
      <numFmt numFmtId="30" formatCode="@"/>
    </dxf>
    <dxf>
      <numFmt numFmtId="1" formatCode="0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charset val="1"/>
        <scheme val="none"/>
      </font>
      <fill>
        <patternFill patternType="solid">
          <fgColor rgb="FF34495E"/>
          <bgColor rgb="FF2C3E5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charset val="1"/>
        <scheme val="none"/>
      </font>
      <fill>
        <patternFill patternType="solid">
          <fgColor rgb="FF27AE60"/>
          <bgColor rgb="FF16A08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charset val="1"/>
        <scheme val="none"/>
      </font>
      <fill>
        <patternFill patternType="solid">
          <fgColor rgb="FF27AE60"/>
          <bgColor rgb="FF16A08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charset val="1"/>
        <scheme val="none"/>
      </font>
      <fill>
        <patternFill patternType="solid">
          <fgColor rgb="FF27AE60"/>
          <bgColor rgb="FF16A085"/>
        </patternFill>
      </fill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  <fill>
        <patternFill patternType="solid">
          <fgColor indexed="64"/>
          <bgColor theme="3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C3E50"/>
        <name val="Calibri"/>
        <family val="2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4495E"/>
        <name val="Calibri"/>
        <family val="2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4495E"/>
        <name val="Calibri"/>
        <family val="2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4495E"/>
        <name val="Calibri"/>
        <family val="2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4495E"/>
        <name val="Calibri"/>
        <family val="2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4495E"/>
        <name val="Calibri"/>
        <family val="2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4495E"/>
        <name val="Calibri"/>
        <family val="2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rgb="FFD5D8D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charset val="1"/>
        <scheme val="none"/>
      </font>
      <fill>
        <patternFill patternType="solid">
          <fgColor rgb="FF34495E"/>
          <bgColor rgb="FF2C3E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5D8DC"/>
        </left>
        <right style="thin">
          <color rgb="FFD5D8D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2C3E50"/>
        <name val="Calibri"/>
        <family val="2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4495E"/>
        <name val="Calibri"/>
        <family val="2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4495E"/>
        <name val="Calibri"/>
        <family val="2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4495E"/>
        <name val="Calibri"/>
        <family val="2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4495E"/>
        <name val="Calibri"/>
        <family val="2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4495E"/>
        <name val="Calibri"/>
        <family val="2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4495E"/>
        <name val="Calibri"/>
        <family val="2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4495E"/>
        <name val="Calibri"/>
        <family val="2"/>
        <charset val="1"/>
        <scheme val="none"/>
      </font>
      <fill>
        <patternFill patternType="none">
          <fgColor indexed="64"/>
          <bgColor indexed="65"/>
        </patternFill>
      </fill>
    </dxf>
    <dxf>
      <border outline="0">
        <top style="thin">
          <color rgb="FFD5D8DC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4495E"/>
        <name val="Calibri"/>
        <family val="2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rgb="FFD5D8D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charset val="1"/>
        <scheme val="none"/>
      </font>
      <fill>
        <patternFill patternType="solid">
          <fgColor rgb="FF34495E"/>
          <bgColor rgb="FF2C3E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5D8DC"/>
        </left>
        <right style="thin">
          <color rgb="FFD5D8DC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16A085"/>
      <rgbColor rgb="FFBDC3C7"/>
      <rgbColor rgb="FF808080"/>
      <rgbColor rgb="FFECF0F1"/>
      <rgbColor rgb="FF7030A0"/>
      <rgbColor rgb="FFFEF9E7"/>
      <rgbColor rgb="FFD5F4E6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6F3"/>
      <rgbColor rgb="FFC6EFCE"/>
      <rgbColor rgb="FFFDEBD0"/>
      <rgbColor rgb="FFD9D9D9"/>
      <rgbColor rgb="FFFADBD8"/>
      <rgbColor rgb="FFDBB5FF"/>
      <rgbColor rgb="FFFFC7CE"/>
      <rgbColor rgb="FF3498DB"/>
      <rgbColor rgb="FF33CCCC"/>
      <rgbColor rgb="FF99CC00"/>
      <rgbColor rgb="FFFFCC00"/>
      <rgbColor rgb="FFF39C12"/>
      <rgbColor rgb="FFE74C3C"/>
      <rgbColor rgb="FF9B59B6"/>
      <rgbColor rgb="FF95A5A6"/>
      <rgbColor rgb="FF003366"/>
      <rgbColor rgb="FF27AE60"/>
      <rgbColor rgb="FF4A452A"/>
      <rgbColor rgb="FF242424"/>
      <rgbColor rgb="FF993300"/>
      <rgbColor rgb="FF993366"/>
      <rgbColor rgb="FF34495E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CC99"/>
      <color rgb="FFF39C12"/>
      <color rgb="FFFFFF66"/>
      <color rgb="FF6666FF"/>
      <color rgb="FFBDC3C7"/>
      <color rgb="FF566573"/>
      <color rgb="FFF1C40F"/>
      <color rgb="FFE67E22"/>
      <color rgb="FFC0392B"/>
      <color rgb="FF9B59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pdhl-my.sharepoint.com/personal/stephen_talley_dhl_com/Documents/Asset%20Scans%2020260119.xlsx" TargetMode="External"/><Relationship Id="rId1" Type="http://schemas.openxmlformats.org/officeDocument/2006/relationships/externalLinkPath" Target="/personal/stephen_talley_dhl_com/Documents/Asset%20Scans%20202601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  <sheetName val="Sheet5"/>
      <sheetName val="Sheet7"/>
      <sheetName val="Sheet6"/>
      <sheetName val="Sheet3"/>
    </sheetNames>
    <sheetDataSet>
      <sheetData sheetId="0"/>
      <sheetData sheetId="1"/>
      <sheetData sheetId="2"/>
      <sheetData sheetId="3"/>
      <sheetData sheetId="4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en Talley (DHL Supply Chain)" refreshedDate="46058.666164467591" createdVersion="8" refreshedVersion="8" minRefreshableVersion="3" recordCount="342" xr:uid="{A8CCE5E4-265B-4A11-90A0-369C78EF36E6}">
  <cacheSource type="worksheet">
    <worksheetSource ref="D9:E351" sheet="PBI Import"/>
  </cacheSource>
  <cacheFields count="2">
    <cacheField name="Justification" numFmtId="0">
      <sharedItems containsBlank="1" count="4">
        <m/>
        <s v="New device on report - to audit"/>
        <s v="Open Ticket to remove from GL "/>
        <s v="Open Ticket to remove from GL"/>
      </sharedItems>
    </cacheField>
    <cacheField name="Ticket" numFmtId="0">
      <sharedItems containsBlank="1" count="4">
        <m/>
        <s v="N/A"/>
        <s v="RITM10115486"/>
        <s v="RITM1012857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2"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3"/>
  </r>
  <r>
    <x v="0"/>
    <x v="0"/>
  </r>
  <r>
    <x v="3"/>
    <x v="3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2"/>
  </r>
  <r>
    <x v="0"/>
    <x v="0"/>
  </r>
  <r>
    <x v="0"/>
    <x v="0"/>
  </r>
  <r>
    <x v="3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897D0E-7933-4757-A0CC-A2C5944519DF}" name="PivotTable9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58:I275" firstHeaderRow="1" firstDataRow="1" firstDataCol="0"/>
  <pivotFields count="2"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CD27983-F60A-4241-8652-D9CE91FA2B33}" name="Table9" displayName="Table9" ref="A17:J25" totalsRowShown="0" headerRowDxfId="103" dataDxfId="101" headerRowBorderDxfId="102" tableBorderDxfId="100">
  <autoFilter ref="A17:J25" xr:uid="{3CD27983-F60A-4241-8652-D9CE91FA2B33}"/>
  <tableColumns count="10">
    <tableColumn id="1" xr3:uid="{53E80E71-4038-48C7-B0B6-4DE3DEE9EB5F}" name="Device Type" dataDxfId="99"/>
    <tableColumn id="2" xr3:uid="{52835A27-4C57-44D6-8F79-A55970B714FA}" name="Prior Count" dataDxfId="98"/>
    <tableColumn id="3" xr3:uid="{FE354912-A037-4C45-9481-5C66C304ABFC}" name="Good" dataDxfId="97"/>
    <tableColumn id="4" xr3:uid="{5BAAD973-6A97-424D-BCC8-AD56F8BBC7FF}" name="Bad" dataDxfId="96"/>
    <tableColumn id="5" xr3:uid="{5D8246EE-C017-40F7-8943-CC366A72B9D6}" name="RMA" dataDxfId="95"/>
    <tableColumn id="6" xr3:uid="{9FF43C40-174A-4A17-B74B-6A647FF923E4}" name="Lost" dataDxfId="94"/>
    <tableColumn id="7" xr3:uid="{CE900567-D7CE-47A8-A3B0-C021CC018254}" name="PBI Total" dataDxfId="93"/>
    <tableColumn id="8" xr3:uid="{76AFD204-392C-4DBD-BBD8-0CA87CC0A5A0}" name="PBI Report Diff" dataDxfId="92"/>
    <tableColumn id="9" xr3:uid="{AA439F96-9BAD-431C-9B36-83F0C4E1B138}" name="Current Count" dataDxfId="91">
      <calculatedColumnFormula>SUM(Table9[[#This Row],[Good]:[Lost]])</calculatedColumnFormula>
    </tableColumn>
    <tableColumn id="10" xr3:uid="{505DB3A9-8AEA-4166-9DB2-573050871944}" name="Δ Change" dataDxfId="90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E715750-AC71-49C2-B036-6034DB0C5790}" name="Table911" displayName="Table911" ref="A35:H46" totalsRowShown="0" headerRowDxfId="89" dataDxfId="87" headerRowBorderDxfId="88" tableBorderDxfId="86">
  <autoFilter ref="A35:H46" xr:uid="{2E715750-AC71-49C2-B036-6034DB0C5790}"/>
  <tableColumns count="8">
    <tableColumn id="1" xr3:uid="{0E8B7304-6EB0-4EA4-BE11-469EB589D472}" name="Device Type" dataDxfId="85"/>
    <tableColumn id="2" xr3:uid="{86679E4E-0CB0-4B91-BE26-2C61EED070F1}" name="Prior Count" dataDxfId="84"/>
    <tableColumn id="3" xr3:uid="{38A7CBCB-2248-4864-9454-C7331F329368}" name="Good" dataDxfId="83"/>
    <tableColumn id="4" xr3:uid="{2851450C-ED40-4881-8880-D47C52A7C3B6}" name="Bad" dataDxfId="82"/>
    <tableColumn id="5" xr3:uid="{5ABCCCAF-A10E-461F-A985-CC09715B1BEB}" name="RMA" dataDxfId="81"/>
    <tableColumn id="6" xr3:uid="{7F6297F8-0FAF-411D-8762-D838B6C20354}" name="Lost" dataDxfId="80"/>
    <tableColumn id="8" xr3:uid="{28C7F228-C461-42DA-91E5-CC02431EDEC8}" name="Current Count" dataDxfId="79"/>
    <tableColumn id="9" xr3:uid="{9748AC05-5098-47D1-A8CF-B4F37B8AB43A}" name="Δ Change" dataDxfId="78">
      <calculatedColumnFormula>IF(#REF!&lt;&gt;"",G36-#REF!,"-")</calculatedColumnFormula>
    </tableColumn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0D191E-5A99-4575-AC96-84234026EEC3}" name="Table3" displayName="Table3" ref="A52:C56" totalsRowCount="1" headerRowDxfId="77" dataDxfId="76">
  <autoFilter ref="A52:C55" xr:uid="{C40D191E-5A99-4575-AC96-84234026EEC3}"/>
  <tableColumns count="3">
    <tableColumn id="1" xr3:uid="{3D1D0A0A-EA90-4C64-9A51-38ABF2F977D8}" name="Justification " totalsRowLabel="Total" dataDxfId="75" totalsRowDxfId="74"/>
    <tableColumn id="2" xr3:uid="{1248EEA2-B8AE-4D5F-BA6D-CDCCBA35FDA1}" name="Count" totalsRowLabel="10" dataDxfId="73" totalsRowDxfId="72"/>
    <tableColumn id="3" xr3:uid="{9A0D64F0-E47E-46DB-A77F-4BE375E4B347}" name="Ticket" totalsRowLabel="2" dataDxfId="71" totalsRowDxfId="7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D0C366-C481-4F89-B736-A3D9804B22EE}" name="Table1" displayName="Table1" ref="A1:M1095" totalsRowShown="0" headerRowDxfId="69">
  <autoFilter ref="A1:M1095" xr:uid="{6CD0C366-C481-4F89-B736-A3D9804B22EE}">
    <filterColumn colId="0" hiddenButton="1"/>
    <filterColumn colId="2">
      <filters>
        <filter val="DS3608"/>
      </filters>
    </filterColumn>
  </autoFilter>
  <tableColumns count="13">
    <tableColumn id="1" xr3:uid="{71AC959A-84DB-4C95-BF73-529E5B831B6C}" name="Serial Number" dataDxfId="68"/>
    <tableColumn id="2" xr3:uid="{D94FD10B-B4D7-4A76-8E0A-A929752402BD}" name="Asset Number"/>
    <tableColumn id="3" xr3:uid="{E2363327-CDBA-4F0D-AD4B-33B50FE60793}" name="Model" dataDxfId="67"/>
    <tableColumn id="4" xr3:uid="{EDCB487E-80AE-461C-8387-151B380E2472}" name="Site Code" dataDxfId="66"/>
    <tableColumn id="6" xr3:uid="{9421B4E2-E417-4B63-BC8F-998E9580C1E5}" name="Condition" dataDxfId="65"/>
    <tableColumn id="7" xr3:uid="{41ECC533-C65E-4104-A8BF-219CF09CA313}" name="Status" dataDxfId="64"/>
    <tableColumn id="8" xr3:uid="{C2DD227A-0662-4D61-A2AF-C88139B4DF80}" name="Shift" dataDxfId="63"/>
    <tableColumn id="9" xr3:uid="{4E46A350-1468-49F0-9BAE-A9D71F283CF3}" name="Assigned User" dataDxfId="62"/>
    <tableColumn id="10" xr3:uid="{65507156-85C3-4E8A-8A53-CF8CD09C0444}" name="Last Scan Date" dataDxfId="61"/>
    <tableColumn id="12" xr3:uid="{9B32F035-05E3-443E-87C8-88BA34764865}" name="GL" dataDxfId="60"/>
    <tableColumn id="16" xr3:uid="{FECB6E34-B9D5-4F72-B7FD-95A6883A9B37}" name="Comment" dataDxfId="59"/>
    <tableColumn id="17" xr3:uid="{D4FECE14-27F3-409E-B929-CD2531841B19}" name="Audit Date" dataDxfId="58"/>
    <tableColumn id="5" xr3:uid="{BEBF3855-07EE-434B-96C4-8A6ADD1CB8C9}" name="Scanned" dataDxfId="57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975B94-F652-400A-8F04-DE442139BF85}" name="Table2" displayName="Table2" ref="A9:E376" totalsRowShown="0" headerRowDxfId="56">
  <autoFilter ref="A9:E376" xr:uid="{82975B94-F652-400A-8F04-DE442139BF85}">
    <filterColumn colId="3">
      <customFilters>
        <customFilter operator="notEqual" val=" "/>
      </customFilters>
    </filterColumn>
  </autoFilter>
  <tableColumns count="5">
    <tableColumn id="1" xr3:uid="{8B67F174-FD3C-48D9-AB25-7A5F59ACCFB6}" name="SN" dataDxfId="55"/>
    <tableColumn id="2" xr3:uid="{658537A6-CB78-442F-9E98-52DF2D3F88D4}" name="Status" dataDxfId="54"/>
    <tableColumn id="3" xr3:uid="{D0CCD16C-9167-4B51-8EC5-AC9AB784439F}" name="Model" dataDxfId="53"/>
    <tableColumn id="4" xr3:uid="{0CBAA3F5-959A-4981-8A16-4A1B86DF7CA0}" name="Justification"/>
    <tableColumn id="5" xr3:uid="{14CA1237-3DFC-4309-B8BB-97B6B4E72880}" name="Ticke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1E5D6E1-30F5-4EEC-8EE9-770E3DC713E7}" name="Table4" displayName="Table4" ref="A8:I1112" totalsRowShown="0" headerRowDxfId="52">
  <autoFilter ref="A8:I1112" xr:uid="{71E5D6E1-30F5-4EEC-8EE9-770E3DC713E7}"/>
  <sortState xmlns:xlrd2="http://schemas.microsoft.com/office/spreadsheetml/2017/richdata2" ref="A9:I927">
    <sortCondition ref="A8:A927"/>
  </sortState>
  <tableColumns count="9">
    <tableColumn id="1" xr3:uid="{B2F96450-B47C-4EAD-BE6B-6858417FB35E}" name="Serial Number" dataDxfId="51">
      <calculatedColumnFormula>SUBSTITUTE(I9, "S", "")</calculatedColumnFormula>
    </tableColumn>
    <tableColumn id="2" xr3:uid="{D8009D7C-5C0E-44FF-8CC9-51B3A682BBFB}" name="Scan Date" dataDxfId="50"/>
    <tableColumn id="3" xr3:uid="{1BECA23A-9D8B-4DFD-86FF-350E7A3D9203}" name="Scanned By" dataDxfId="49"/>
    <tableColumn id="4" xr3:uid="{AF2352CD-E8BE-488C-ACDE-CF9DDFA1D7BC}" name="Location" dataDxfId="48"/>
    <tableColumn id="5" xr3:uid="{46430AA7-04B2-4DBA-8C49-D6BB9B1CC53A}" name="Match Status" dataDxfId="47">
      <calculatedColumnFormula>IF(A9="","",IF(COUNTIF('Asset Detail'!A:A,A9)&gt;0,"✓ Found","✗ Not Found"))</calculatedColumnFormula>
    </tableColumn>
    <tableColumn id="6" xr3:uid="{79025296-4C7E-40D9-8BA8-D04142497015}" name="Model (from System)" dataDxfId="46">
      <calculatedColumnFormula array="1">IF(A9="","",IFERROR(INDEX('Asset Detail'!C:C,_xlfn.XMATCH(A9,'Asset Detail'!A:A,3)),"—"))</calculatedColumnFormula>
    </tableColumn>
    <tableColumn id="7" xr3:uid="{1559E556-A565-4EE6-8D9D-58F0CDAB0A0A}" name="Condition (System)" dataDxfId="45">
      <calculatedColumnFormula array="1">IF(A9="","",IFERROR(INDEX('Asset Detail'!E:E,_xlfn.XMATCH(A9,'Asset Detail'!A:A,3)),"—"))</calculatedColumnFormula>
    </tableColumn>
    <tableColumn id="8" xr3:uid="{7270BFAF-2D8B-4491-AF41-EAD8A2E71FED}" name="Notes" dataDxfId="44"/>
    <tableColumn id="9" xr3:uid="{E90DDD36-CD27-44E9-A686-EAABEF9BD65C}" name="Scan" dataDxfId="43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76446CB-AE68-4D67-802E-B7B931F083FD}" name="Table5" displayName="Table5" ref="A5:F42" totalsRowShown="0" headerRowDxfId="42">
  <autoFilter ref="A5:F42" xr:uid="{676446CB-AE68-4D67-802E-B7B931F083FD}"/>
  <tableColumns count="6">
    <tableColumn id="1" xr3:uid="{4588AED9-9A21-4580-B482-93A4832E8AF4}" name="Serial Number" dataDxfId="41"/>
    <tableColumn id="2" xr3:uid="{07383A75-725C-4C79-95E8-FEFD1B9DBC92}" name="Model" dataDxfId="40"/>
    <tableColumn id="3" xr3:uid="{86BCD89B-7FB3-4959-B31D-1F0A1E0536D0}" name="Last Known Scan"/>
    <tableColumn id="4" xr3:uid="{35F3D733-8040-4500-8BC7-358D9609D55D}" name="Assigned User"/>
    <tableColumn id="5" xr3:uid="{819562E2-7CE5-444D-BD5A-66DD0E676013}" name="Last Scan Date" dataDxfId="39"/>
    <tableColumn id="6" xr3:uid="{DF9DF468-8C5C-47D0-B780-6BD94510A545}" name="Action Required"/>
  </tableColumns>
  <tableStyleInfo name="TableStyleMedium1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19E199A-C45E-4782-80F7-45C5D92CE427}" name="Table6" displayName="Table6" ref="A9:I25" totalsRowShown="0" headerRowDxfId="38" dataDxfId="37">
  <autoFilter ref="A9:I25" xr:uid="{BAF20144-FF30-4C1E-A4BB-93C01D06295B}">
    <filterColumn colId="7">
      <filters>
        <dateGroupItem year="2026" month="1" day="22" dateTimeGrouping="day"/>
      </filters>
    </filterColumn>
  </autoFilter>
  <sortState xmlns:xlrd2="http://schemas.microsoft.com/office/spreadsheetml/2017/richdata2" ref="A10:H17">
    <sortCondition ref="E9:E17"/>
  </sortState>
  <tableColumns count="9">
    <tableColumn id="1" xr3:uid="{DE13B4FA-FC5D-45D1-9FE8-0768BD2884CA}" name="Serial Number" dataDxfId="36"/>
    <tableColumn id="2" xr3:uid="{E80C151A-CA24-4E99-A58B-2982D84CA963}" name="Model" dataDxfId="35"/>
    <tableColumn id="3" xr3:uid="{46BB1209-9404-420A-9200-D62AE36B680E}" name="Issue" dataDxfId="34"/>
    <tableColumn id="4" xr3:uid="{C9AE4A00-54BB-40CA-9279-3B76125E4267}" name="RMA Number" dataDxfId="33"/>
    <tableColumn id="5" xr3:uid="{884557AD-CAEF-4185-BCFE-21F8CEFA777A}" name="Date Created" dataDxfId="32"/>
    <tableColumn id="6" xr3:uid="{5C9F7E22-FB0C-4C55-9458-860CC90D70AC}" name="Shipped Date" dataDxfId="31"/>
    <tableColumn id="10" xr3:uid="{2308FD93-9798-4206-9B7A-0DDC571B4F94}" name="Est. Received Date." dataDxfId="30"/>
    <tableColumn id="7" xr3:uid="{0142CE3C-9B36-4457-99E1-65B7303C3E22}" name="Actual Received Date" dataDxfId="29"/>
    <tableColumn id="8" xr3:uid="{CB8ED266-970F-4FC4-BB2B-89C2BDCB857F}" name="Received Serial Number" dataDxfId="28"/>
  </tableColumns>
  <tableStyleInfo name="TableStyleMedium1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74D3013-ED82-41A1-832F-AC2E46474747}" name="Table7" displayName="Table7" ref="A4:J20" totalsRowShown="0" headerRowDxfId="27" dataDxfId="26">
  <autoFilter ref="A4:J20" xr:uid="{674D3013-ED82-41A1-832F-AC2E46474747}"/>
  <tableColumns count="10">
    <tableColumn id="1" xr3:uid="{2A6DB432-6F34-4591-981B-71AC20F7071C}" name="Device Type" dataDxfId="25"/>
    <tableColumn id="2" xr3:uid="{5AC2CD6E-8859-4E0C-8438-EA876F19517C}" name="Prior Total" dataDxfId="24"/>
    <tableColumn id="3" xr3:uid="{0A7BAAEA-168D-4255-B2B8-8AED30C82A45}" name="Prior Good" dataDxfId="23"/>
    <tableColumn id="4" xr3:uid="{0E1AAEFD-6613-4BAC-B9A1-B5D37A7BEF5D}" name="Prior Bad" dataDxfId="22"/>
    <tableColumn id="6" xr3:uid="{2F07C61C-E202-4841-8E1E-97EADA1BB4B8}" name="Current Total" dataDxfId="21"/>
    <tableColumn id="7" xr3:uid="{72D47CC4-DE45-430B-AECE-FA82CFC8AFA8}" name="Curr Good" dataDxfId="20"/>
    <tableColumn id="8" xr3:uid="{A04CA7D8-97C9-4B25-88C3-FE0C3EFD4213}" name="Curr Bad" dataDxfId="19"/>
    <tableColumn id="9" xr3:uid="{E78ACF5C-9AFC-4D70-A68B-86A0B9A43CF2}" name="Curr Lost" dataDxfId="18"/>
    <tableColumn id="10" xr3:uid="{2F5ED3EE-8536-4F8A-A9F0-6B771A311D32}" name="Variance" dataDxfId="17"/>
    <tableColumn id="11" xr3:uid="{9524DD10-48B1-4856-BF5E-C45B5B44E243}" name="Trend" dataDxfId="16">
      <calculatedColumnFormula>IF(I5&gt;0,"▲",IF(I5&lt;0,"▼","—"))</calculatedColumnFormula>
    </tableColumn>
  </tableColumns>
  <tableStyleInfo name="TableStyleMedium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F70E7A7-03BF-4297-A94F-38A61165C00D}" name="Table8" displayName="Table8" ref="A4:M17" totalsRowShown="0" headerRowDxfId="15" dataDxfId="14" tableBorderDxfId="13">
  <autoFilter ref="A4:M17" xr:uid="{EF70E7A7-03BF-4297-A94F-38A61165C00D}"/>
  <tableColumns count="13">
    <tableColumn id="1" xr3:uid="{1AE9AFC5-9D2A-481C-880A-6A062B5DE061}" name="Month" dataDxfId="12"/>
    <tableColumn id="2" xr3:uid="{BDE47679-FFDD-4103-881A-5B69F5BF81A2}" name="TC58" dataDxfId="11">
      <calculatedColumnFormula>'Executive Summary'!I17</calculatedColumnFormula>
    </tableColumn>
    <tableColumn id="3" xr3:uid="{BBB2C419-811D-4334-95B5-0BDC393E9DB0}" name="TC57" dataDxfId="10">
      <calculatedColumnFormula>'Executive Summary'!I22</calculatedColumnFormula>
    </tableColumn>
    <tableColumn id="4" xr3:uid="{9EB1B0B0-25EE-4CB6-98CB-F706648446B8}" name="ET56" dataDxfId="9">
      <calculatedColumnFormula>'Executive Summary'!I19</calculatedColumnFormula>
    </tableColumn>
    <tableColumn id="5" xr3:uid="{47BA42D5-C85B-4A7B-A668-53B5D269B0E2}" name="ET45" dataDxfId="8">
      <calculatedColumnFormula>'Executive Summary'!I18</calculatedColumnFormula>
    </tableColumn>
    <tableColumn id="6" xr3:uid="{FFDCABF8-A97C-4E47-9EE2-9433CE43CFF3}" name="L10WA" dataDxfId="7"/>
    <tableColumn id="7" xr3:uid="{A67A933A-6247-4998-95B4-EBC83104AC46}" name="MC930" dataDxfId="6"/>
    <tableColumn id="8" xr3:uid="{CB362668-4145-4DFF-8CF7-BD13969FB9B2}" name="RS5100" dataDxfId="5"/>
    <tableColumn id="9" xr3:uid="{B69486E3-1C93-4912-9BC7-79CECBE0A471}" name="DS3608" dataDxfId="4"/>
    <tableColumn id="10" xr3:uid="{187E5FD0-4F6F-49A3-8341-AF82A0161095}" name="TC58 Battery" dataDxfId="3"/>
    <tableColumn id="11" xr3:uid="{EB05BCED-3867-4021-BCF4-A80E937F0D84}" name="TC57 Battery" dataDxfId="2"/>
    <tableColumn id="12" xr3:uid="{3E98AB80-2318-43E4-A0AA-4A4D446A92CE}" name="MC930 Battery" dataDxfId="1"/>
    <tableColumn id="13" xr3:uid="{C7E903A5-98EA-4C22-94B9-71F7A02F4888}" name="Total" dataDxfId="0">
      <calculatedColumnFormula>SUM(Table8[[#This Row],[TC58]:[MC930 Battery]])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7AE60"/>
  </sheetPr>
  <dimension ref="A1:M56"/>
  <sheetViews>
    <sheetView topLeftCell="A25" zoomScaleNormal="100" workbookViewId="0">
      <selection sqref="A1:J56"/>
    </sheetView>
  </sheetViews>
  <sheetFormatPr defaultColWidth="8.7109375" defaultRowHeight="15" customHeight="1" x14ac:dyDescent="0.25"/>
  <cols>
    <col min="1" max="1" width="31.140625" customWidth="1"/>
    <col min="2" max="2" width="18.85546875" bestFit="1" customWidth="1"/>
    <col min="3" max="3" width="25.28515625" customWidth="1"/>
    <col min="4" max="4" width="18.42578125" customWidth="1"/>
    <col min="5" max="5" width="15.5703125" customWidth="1"/>
    <col min="6" max="6" width="13.140625" customWidth="1"/>
    <col min="7" max="7" width="15.85546875" bestFit="1" customWidth="1"/>
    <col min="8" max="8" width="18.5703125" bestFit="1" customWidth="1"/>
    <col min="9" max="9" width="22.85546875" bestFit="1" customWidth="1"/>
    <col min="10" max="10" width="16.28515625" bestFit="1" customWidth="1"/>
    <col min="12" max="12" width="13.85546875" customWidth="1"/>
    <col min="14" max="14" width="21.7109375" customWidth="1"/>
    <col min="15" max="15" width="27" customWidth="1"/>
  </cols>
  <sheetData>
    <row r="1" spans="1:13" ht="36" customHeight="1" thickBot="1" x14ac:dyDescent="0.55000000000000004">
      <c r="A1" s="183" t="s">
        <v>0</v>
      </c>
      <c r="B1" s="184"/>
      <c r="C1" s="184"/>
      <c r="D1" s="184"/>
      <c r="E1" s="184"/>
      <c r="F1" s="184"/>
      <c r="G1" s="184"/>
      <c r="H1" s="185"/>
    </row>
    <row r="2" spans="1:13" ht="6" customHeight="1" x14ac:dyDescent="0.25">
      <c r="A2" s="163"/>
      <c r="B2" s="164"/>
      <c r="C2" s="164"/>
      <c r="D2" s="164"/>
      <c r="E2" s="164"/>
      <c r="F2" s="164"/>
      <c r="G2" s="164"/>
      <c r="H2" s="165"/>
    </row>
    <row r="3" spans="1:13" x14ac:dyDescent="0.25">
      <c r="A3" s="166"/>
      <c r="B3" s="49"/>
      <c r="C3" s="49"/>
      <c r="D3" s="49"/>
      <c r="E3" s="49"/>
      <c r="F3" s="49"/>
      <c r="G3" s="49"/>
      <c r="H3" s="167"/>
    </row>
    <row r="4" spans="1:13" ht="15" customHeight="1" x14ac:dyDescent="0.25">
      <c r="A4" s="168" t="s">
        <v>1</v>
      </c>
      <c r="B4" s="169" t="s">
        <v>2</v>
      </c>
      <c r="C4" s="170" t="s">
        <v>3</v>
      </c>
      <c r="D4" s="169" t="s">
        <v>4</v>
      </c>
      <c r="E4" s="49"/>
      <c r="F4" s="49"/>
      <c r="G4" s="49"/>
      <c r="H4" s="167"/>
    </row>
    <row r="5" spans="1:13" ht="15" customHeight="1" x14ac:dyDescent="0.25">
      <c r="A5" s="168" t="s">
        <v>5</v>
      </c>
      <c r="B5" s="171">
        <v>46028</v>
      </c>
      <c r="C5" s="170" t="s">
        <v>6</v>
      </c>
      <c r="D5" s="172" t="s">
        <v>7</v>
      </c>
      <c r="E5" s="49"/>
      <c r="F5" s="49"/>
      <c r="G5" s="49"/>
      <c r="H5" s="167"/>
    </row>
    <row r="6" spans="1:13" ht="15" customHeight="1" thickBot="1" x14ac:dyDescent="0.3">
      <c r="A6" s="173" t="s">
        <v>8</v>
      </c>
      <c r="B6" s="174" t="s">
        <v>9</v>
      </c>
      <c r="C6" s="175" t="s">
        <v>10</v>
      </c>
      <c r="D6" s="176">
        <v>46058</v>
      </c>
      <c r="E6" s="177"/>
      <c r="F6" s="177"/>
      <c r="G6" s="177"/>
      <c r="H6" s="178"/>
    </row>
    <row r="7" spans="1:13" x14ac:dyDescent="0.25"/>
    <row r="8" spans="1:13" ht="19.5" customHeight="1" x14ac:dyDescent="0.25"/>
    <row r="9" spans="1:13" ht="15" customHeight="1" thickBot="1" x14ac:dyDescent="0.3">
      <c r="A9" s="186" t="s">
        <v>11</v>
      </c>
      <c r="B9" s="186"/>
      <c r="C9" s="186"/>
      <c r="D9" s="186"/>
      <c r="E9" s="186"/>
      <c r="F9" s="186"/>
      <c r="G9" s="186"/>
      <c r="H9" s="186"/>
    </row>
    <row r="10" spans="1:13" ht="17.45" customHeight="1" x14ac:dyDescent="0.25">
      <c r="A10" s="102" t="s">
        <v>12</v>
      </c>
      <c r="B10" s="84"/>
      <c r="C10" s="187" t="s">
        <v>13</v>
      </c>
      <c r="D10" s="188"/>
      <c r="E10" s="85"/>
      <c r="F10" s="189" t="s">
        <v>14</v>
      </c>
      <c r="G10" s="190"/>
      <c r="H10" s="191"/>
      <c r="L10" s="2"/>
      <c r="M10" s="2"/>
    </row>
    <row r="11" spans="1:13" ht="23.45" customHeight="1" x14ac:dyDescent="0.3">
      <c r="A11" s="86" t="s">
        <v>15</v>
      </c>
      <c r="C11" s="87" t="s">
        <v>16</v>
      </c>
      <c r="D11" s="88" t="s">
        <v>17</v>
      </c>
      <c r="F11" s="87" t="s">
        <v>18</v>
      </c>
      <c r="G11" s="144" t="s">
        <v>17</v>
      </c>
      <c r="H11" s="89" t="s">
        <v>19</v>
      </c>
      <c r="L11" s="71"/>
      <c r="M11" s="71"/>
    </row>
    <row r="12" spans="1:13" ht="45" customHeight="1" thickBot="1" x14ac:dyDescent="0.3">
      <c r="A12" s="103">
        <f>I26</f>
        <v>397</v>
      </c>
      <c r="B12" s="104"/>
      <c r="C12" s="111">
        <f>COUNTA('IT Allocation Import'!B3:B441)</f>
        <v>439</v>
      </c>
      <c r="D12" s="112">
        <f>A12-C12</f>
        <v>-42</v>
      </c>
      <c r="E12" s="104"/>
      <c r="F12" s="105">
        <f>'PBI Import'!A7</f>
        <v>367</v>
      </c>
      <c r="G12" s="106">
        <f>A12-F12</f>
        <v>30</v>
      </c>
      <c r="H12" s="107">
        <f>COUNTIF('PBI Import'!B9:B1048576, "Not Connected in last 60 days")</f>
        <v>10</v>
      </c>
    </row>
    <row r="13" spans="1:13" x14ac:dyDescent="0.25"/>
    <row r="14" spans="1:13" x14ac:dyDescent="0.25"/>
    <row r="15" spans="1:13" ht="19.5" customHeight="1" x14ac:dyDescent="0.25"/>
    <row r="16" spans="1:13" ht="19.5" thickBot="1" x14ac:dyDescent="0.35">
      <c r="A16" s="182" t="s">
        <v>20</v>
      </c>
      <c r="B16" s="182"/>
      <c r="C16" s="182"/>
      <c r="D16" s="182"/>
      <c r="E16" s="182"/>
      <c r="F16" s="182"/>
      <c r="G16" s="182"/>
      <c r="H16" s="182"/>
      <c r="I16" s="143"/>
      <c r="J16" s="143"/>
    </row>
    <row r="17" spans="1:10" ht="18.75" x14ac:dyDescent="0.25">
      <c r="A17" s="90" t="s">
        <v>21</v>
      </c>
      <c r="B17" s="91" t="s">
        <v>22</v>
      </c>
      <c r="C17" s="91" t="s">
        <v>23</v>
      </c>
      <c r="D17" s="91" t="s">
        <v>24</v>
      </c>
      <c r="E17" s="91" t="s">
        <v>25</v>
      </c>
      <c r="F17" s="91" t="s">
        <v>26</v>
      </c>
      <c r="G17" s="91" t="s">
        <v>18</v>
      </c>
      <c r="H17" s="91" t="s">
        <v>27</v>
      </c>
      <c r="I17" s="91" t="s">
        <v>28</v>
      </c>
      <c r="J17" s="92" t="s">
        <v>29</v>
      </c>
    </row>
    <row r="18" spans="1:10" ht="18.75" x14ac:dyDescent="0.3">
      <c r="A18" s="93" t="s">
        <v>30</v>
      </c>
      <c r="B18" s="94">
        <v>118</v>
      </c>
      <c r="C18" s="95">
        <v>109</v>
      </c>
      <c r="D18" s="95">
        <v>1</v>
      </c>
      <c r="E18" s="95">
        <v>8</v>
      </c>
      <c r="F18" s="95"/>
      <c r="G18" s="96">
        <v>118</v>
      </c>
      <c r="H18" s="95">
        <f t="shared" ref="H18:H25" si="0">I18-G18</f>
        <v>0</v>
      </c>
      <c r="I18" s="97">
        <f>SUM(Table9[[#This Row],[Good]:[Lost]])</f>
        <v>118</v>
      </c>
      <c r="J18" s="98">
        <f>[1]Sheet5!$G$25</f>
        <v>0</v>
      </c>
    </row>
    <row r="19" spans="1:10" ht="18.75" x14ac:dyDescent="0.3">
      <c r="A19" s="93" t="s">
        <v>31</v>
      </c>
      <c r="B19" s="94">
        <v>72</v>
      </c>
      <c r="C19" s="95">
        <v>74</v>
      </c>
      <c r="D19" s="95"/>
      <c r="E19" s="95"/>
      <c r="F19" s="95"/>
      <c r="G19" s="96">
        <v>75</v>
      </c>
      <c r="H19" s="95">
        <f t="shared" si="0"/>
        <v>-1</v>
      </c>
      <c r="I19" s="97">
        <f>SUM(Table9[[#This Row],[Good]:[Lost]])</f>
        <v>74</v>
      </c>
      <c r="J19" s="98">
        <f t="shared" ref="J19:J25" si="1">IF(B19&lt;&gt;"",I19-B19,"-")</f>
        <v>2</v>
      </c>
    </row>
    <row r="20" spans="1:10" ht="18.75" x14ac:dyDescent="0.3">
      <c r="A20" s="93" t="s">
        <v>32</v>
      </c>
      <c r="B20" s="94">
        <v>73</v>
      </c>
      <c r="C20" s="95">
        <v>71</v>
      </c>
      <c r="D20" s="95"/>
      <c r="E20" s="95"/>
      <c r="F20" s="95"/>
      <c r="G20" s="96">
        <v>67</v>
      </c>
      <c r="H20" s="95">
        <f t="shared" si="0"/>
        <v>4</v>
      </c>
      <c r="I20" s="97">
        <f>SUM(Table9[[#This Row],[Good]:[Lost]])</f>
        <v>71</v>
      </c>
      <c r="J20" s="98">
        <f t="shared" si="1"/>
        <v>-2</v>
      </c>
    </row>
    <row r="21" spans="1:10" ht="18.75" x14ac:dyDescent="0.3">
      <c r="A21" s="93" t="s">
        <v>33</v>
      </c>
      <c r="B21" s="94">
        <v>60</v>
      </c>
      <c r="C21" s="95">
        <v>60</v>
      </c>
      <c r="D21" s="95"/>
      <c r="E21" s="95"/>
      <c r="F21" s="95"/>
      <c r="G21" s="96">
        <v>51</v>
      </c>
      <c r="H21" s="95">
        <f t="shared" si="0"/>
        <v>9</v>
      </c>
      <c r="I21" s="97">
        <f>SUM(Table9[[#This Row],[Good]:[Lost]])</f>
        <v>60</v>
      </c>
      <c r="J21" s="98">
        <f t="shared" si="1"/>
        <v>0</v>
      </c>
    </row>
    <row r="22" spans="1:10" ht="18.75" x14ac:dyDescent="0.3">
      <c r="A22" s="93" t="s">
        <v>34</v>
      </c>
      <c r="B22" s="94">
        <v>26</v>
      </c>
      <c r="C22" s="95">
        <v>25</v>
      </c>
      <c r="D22" s="95"/>
      <c r="E22" s="95">
        <v>1</v>
      </c>
      <c r="F22" s="95"/>
      <c r="G22" s="96">
        <v>21</v>
      </c>
      <c r="H22" s="95">
        <f t="shared" si="0"/>
        <v>5</v>
      </c>
      <c r="I22" s="97">
        <f>SUM(Table9[[#This Row],[Good]:[Lost]])</f>
        <v>26</v>
      </c>
      <c r="J22" s="98">
        <f t="shared" si="1"/>
        <v>0</v>
      </c>
    </row>
    <row r="23" spans="1:10" ht="18.75" x14ac:dyDescent="0.3">
      <c r="A23" s="93" t="s">
        <v>35</v>
      </c>
      <c r="B23" s="94">
        <v>39</v>
      </c>
      <c r="C23" s="95">
        <v>47</v>
      </c>
      <c r="D23" s="95"/>
      <c r="E23" s="95"/>
      <c r="F23" s="95"/>
      <c r="G23" s="96">
        <v>31</v>
      </c>
      <c r="H23" s="95">
        <f t="shared" si="0"/>
        <v>16</v>
      </c>
      <c r="I23" s="97">
        <f>SUM(Table9[[#This Row],[Good]:[Lost]])</f>
        <v>47</v>
      </c>
      <c r="J23" s="98">
        <f t="shared" si="1"/>
        <v>8</v>
      </c>
    </row>
    <row r="24" spans="1:10" ht="18.75" x14ac:dyDescent="0.3">
      <c r="A24" s="93" t="s">
        <v>36</v>
      </c>
      <c r="B24" s="94">
        <v>0</v>
      </c>
      <c r="C24" s="95">
        <v>0</v>
      </c>
      <c r="D24" s="95"/>
      <c r="E24" s="95"/>
      <c r="F24" s="95"/>
      <c r="G24" s="96">
        <v>3</v>
      </c>
      <c r="H24" s="95">
        <f t="shared" si="0"/>
        <v>-3</v>
      </c>
      <c r="I24" s="97">
        <f>SUM(Table9[[#This Row],[Good]:[Lost]])</f>
        <v>0</v>
      </c>
      <c r="J24" s="98">
        <f t="shared" si="1"/>
        <v>0</v>
      </c>
    </row>
    <row r="25" spans="1:10" ht="18.75" x14ac:dyDescent="0.3">
      <c r="A25" s="93" t="s">
        <v>37</v>
      </c>
      <c r="B25" s="94">
        <v>1</v>
      </c>
      <c r="C25" s="95">
        <v>1</v>
      </c>
      <c r="D25" s="95"/>
      <c r="E25" s="95"/>
      <c r="F25" s="95"/>
      <c r="G25" s="96">
        <v>1</v>
      </c>
      <c r="H25" s="95">
        <f t="shared" si="0"/>
        <v>0</v>
      </c>
      <c r="I25" s="97">
        <f>SUM(Table9[[#This Row],[Good]:[Lost]])</f>
        <v>1</v>
      </c>
      <c r="J25" s="98">
        <f t="shared" si="1"/>
        <v>0</v>
      </c>
    </row>
    <row r="26" spans="1:10" ht="19.5" thickBot="1" x14ac:dyDescent="0.35">
      <c r="A26" s="99" t="s">
        <v>38</v>
      </c>
      <c r="B26" s="100">
        <f>SUM(Table9[Prior Count])</f>
        <v>389</v>
      </c>
      <c r="C26" s="100">
        <f t="shared" ref="C26:F26" si="2">SUM(C18:C25)</f>
        <v>387</v>
      </c>
      <c r="D26" s="100">
        <f t="shared" si="2"/>
        <v>1</v>
      </c>
      <c r="E26" s="100">
        <f t="shared" si="2"/>
        <v>9</v>
      </c>
      <c r="F26" s="100">
        <f t="shared" si="2"/>
        <v>0</v>
      </c>
      <c r="G26" s="100">
        <f>SUM(G18:G25)</f>
        <v>367</v>
      </c>
      <c r="H26" s="100">
        <f>SUM(H18:H25)</f>
        <v>30</v>
      </c>
      <c r="I26" s="100">
        <f>SUM(I18:I25)</f>
        <v>397</v>
      </c>
      <c r="J26" s="101">
        <f>I26-B26</f>
        <v>8</v>
      </c>
    </row>
    <row r="29" spans="1:10" ht="15" customHeight="1" thickBot="1" x14ac:dyDescent="0.3"/>
    <row r="30" spans="1:10" ht="15" customHeight="1" x14ac:dyDescent="0.25">
      <c r="A30" s="116" t="s">
        <v>39</v>
      </c>
    </row>
    <row r="31" spans="1:10" ht="34.5" customHeight="1" thickBot="1" x14ac:dyDescent="0.35">
      <c r="A31" s="117">
        <f>B46</f>
        <v>703</v>
      </c>
      <c r="B31" s="42"/>
      <c r="D31" s="42"/>
    </row>
    <row r="34" spans="1:8" ht="15" customHeight="1" x14ac:dyDescent="0.3">
      <c r="A34" s="182" t="s">
        <v>40</v>
      </c>
      <c r="B34" s="182"/>
      <c r="C34" s="182"/>
      <c r="D34" s="182"/>
      <c r="E34" s="182"/>
      <c r="F34" s="182"/>
      <c r="G34" s="182"/>
      <c r="H34" s="182"/>
    </row>
    <row r="35" spans="1:8" ht="15" customHeight="1" x14ac:dyDescent="0.25">
      <c r="A35" s="118" t="s">
        <v>21</v>
      </c>
      <c r="B35" s="70" t="s">
        <v>22</v>
      </c>
      <c r="C35" s="70" t="s">
        <v>23</v>
      </c>
      <c r="D35" s="70" t="s">
        <v>24</v>
      </c>
      <c r="E35" s="70" t="s">
        <v>25</v>
      </c>
      <c r="F35" s="70" t="s">
        <v>26</v>
      </c>
      <c r="G35" s="70" t="s">
        <v>28</v>
      </c>
      <c r="H35" s="119" t="s">
        <v>29</v>
      </c>
    </row>
    <row r="36" spans="1:8" ht="15" customHeight="1" x14ac:dyDescent="0.3">
      <c r="A36" s="28" t="s">
        <v>41</v>
      </c>
      <c r="B36" s="47">
        <v>46</v>
      </c>
      <c r="C36" s="69">
        <v>46</v>
      </c>
      <c r="D36" s="69"/>
      <c r="E36" s="69"/>
      <c r="F36" s="69"/>
      <c r="G36" s="129">
        <f>SUM(Table911[[#This Row],[Good]:[Lost]])</f>
        <v>46</v>
      </c>
      <c r="H36" s="98">
        <f>IF(B36&lt;&gt;" ",B36-G36)</f>
        <v>0</v>
      </c>
    </row>
    <row r="37" spans="1:8" ht="15" customHeight="1" x14ac:dyDescent="0.3">
      <c r="A37" s="28" t="s">
        <v>42</v>
      </c>
      <c r="B37" s="47">
        <v>120</v>
      </c>
      <c r="C37" s="69">
        <v>118</v>
      </c>
      <c r="D37" s="69">
        <v>2</v>
      </c>
      <c r="E37" s="69"/>
      <c r="F37" s="69"/>
      <c r="G37" s="129">
        <f>SUM(Table911[[#This Row],[Good]:[Lost]])</f>
        <v>120</v>
      </c>
      <c r="H37" s="98">
        <f t="shared" ref="H37:H45" si="3">IF(B37&lt;&gt;" ",B37-G37)</f>
        <v>0</v>
      </c>
    </row>
    <row r="38" spans="1:8" ht="15" customHeight="1" x14ac:dyDescent="0.3">
      <c r="A38" s="28" t="s">
        <v>43</v>
      </c>
      <c r="B38" s="47">
        <v>104</v>
      </c>
      <c r="C38" s="69">
        <v>117</v>
      </c>
      <c r="D38" s="69"/>
      <c r="E38" s="69"/>
      <c r="F38" s="69"/>
      <c r="G38" s="129">
        <f>SUM(Table911[[#This Row],[Good]:[Lost]])</f>
        <v>117</v>
      </c>
      <c r="H38" s="98">
        <f t="shared" si="3"/>
        <v>-13</v>
      </c>
    </row>
    <row r="39" spans="1:8" ht="15" customHeight="1" x14ac:dyDescent="0.3">
      <c r="A39" s="28" t="s">
        <v>44</v>
      </c>
      <c r="B39" s="47">
        <v>7</v>
      </c>
      <c r="C39" s="69">
        <v>8</v>
      </c>
      <c r="D39" s="69"/>
      <c r="E39" s="69"/>
      <c r="F39" s="69"/>
      <c r="G39" s="129">
        <f>SUM(Table911[[#This Row],[Good]:[Lost]])</f>
        <v>8</v>
      </c>
      <c r="H39" s="98">
        <f t="shared" si="3"/>
        <v>-1</v>
      </c>
    </row>
    <row r="40" spans="1:8" ht="15" customHeight="1" x14ac:dyDescent="0.3">
      <c r="A40" s="28" t="s">
        <v>45</v>
      </c>
      <c r="B40" s="47">
        <v>36</v>
      </c>
      <c r="C40" s="69">
        <v>29</v>
      </c>
      <c r="D40" s="69">
        <v>7</v>
      </c>
      <c r="E40" s="69"/>
      <c r="F40" s="69"/>
      <c r="G40" s="129">
        <f>SUM(Table911[[#This Row],[Good]:[Lost]])</f>
        <v>36</v>
      </c>
      <c r="H40" s="98">
        <f t="shared" si="3"/>
        <v>0</v>
      </c>
    </row>
    <row r="41" spans="1:8" ht="15" customHeight="1" x14ac:dyDescent="0.3">
      <c r="A41" s="28" t="s">
        <v>46</v>
      </c>
      <c r="B41" s="47">
        <v>167</v>
      </c>
      <c r="C41" s="69">
        <v>167</v>
      </c>
      <c r="D41" s="69"/>
      <c r="E41" s="69"/>
      <c r="F41" s="69"/>
      <c r="G41" s="129">
        <f>SUM(Table911[[#This Row],[Good]:[Lost]])</f>
        <v>167</v>
      </c>
      <c r="H41" s="98">
        <f t="shared" si="3"/>
        <v>0</v>
      </c>
    </row>
    <row r="42" spans="1:8" ht="15" customHeight="1" x14ac:dyDescent="0.3">
      <c r="A42" s="28" t="s">
        <v>47</v>
      </c>
      <c r="B42" s="47">
        <v>19</v>
      </c>
      <c r="C42" s="69">
        <v>19</v>
      </c>
      <c r="D42" s="69"/>
      <c r="E42" s="69"/>
      <c r="F42" s="69"/>
      <c r="G42" s="129">
        <f>SUM(Table911[[#This Row],[Good]:[Lost]])</f>
        <v>19</v>
      </c>
      <c r="H42" s="98">
        <f t="shared" si="3"/>
        <v>0</v>
      </c>
    </row>
    <row r="43" spans="1:8" ht="15" customHeight="1" x14ac:dyDescent="0.3">
      <c r="A43" s="28" t="s">
        <v>48</v>
      </c>
      <c r="B43" s="47">
        <v>141</v>
      </c>
      <c r="C43" s="69">
        <v>140</v>
      </c>
      <c r="D43" s="69">
        <v>1</v>
      </c>
      <c r="E43" s="69"/>
      <c r="F43" s="69"/>
      <c r="G43" s="129">
        <f>SUM(Table911[[#This Row],[Good]:[Lost]])</f>
        <v>141</v>
      </c>
      <c r="H43" s="98">
        <f t="shared" si="3"/>
        <v>0</v>
      </c>
    </row>
    <row r="44" spans="1:8" ht="15" customHeight="1" x14ac:dyDescent="0.3">
      <c r="A44" s="28" t="s">
        <v>49</v>
      </c>
      <c r="B44" s="47">
        <v>24</v>
      </c>
      <c r="C44" s="69">
        <v>24</v>
      </c>
      <c r="D44" s="69"/>
      <c r="E44" s="69"/>
      <c r="F44" s="69"/>
      <c r="G44" s="129">
        <f>SUM(Table911[[#This Row],[Good]:[Lost]])</f>
        <v>24</v>
      </c>
      <c r="H44" s="98">
        <f t="shared" si="3"/>
        <v>0</v>
      </c>
    </row>
    <row r="45" spans="1:8" ht="15" customHeight="1" x14ac:dyDescent="0.3">
      <c r="A45" s="28" t="s">
        <v>50</v>
      </c>
      <c r="B45" s="47">
        <v>39</v>
      </c>
      <c r="C45" s="69">
        <v>39</v>
      </c>
      <c r="D45" s="69"/>
      <c r="E45" s="69"/>
      <c r="F45" s="69"/>
      <c r="G45" s="129">
        <f>SUM(Table911[[#This Row],[Good]:[Lost]])</f>
        <v>39</v>
      </c>
      <c r="H45" s="98">
        <f t="shared" si="3"/>
        <v>0</v>
      </c>
    </row>
    <row r="46" spans="1:8" ht="15" customHeight="1" x14ac:dyDescent="0.25">
      <c r="A46" s="130" t="s">
        <v>38</v>
      </c>
      <c r="B46" s="131">
        <f>SUM(B36:B45)</f>
        <v>703</v>
      </c>
      <c r="C46" s="131">
        <f>SUM(C37:C44)</f>
        <v>622</v>
      </c>
      <c r="D46" s="131">
        <f>SUM(D37:D44)</f>
        <v>10</v>
      </c>
      <c r="E46" s="131">
        <f>SUM(E37:E44)</f>
        <v>0</v>
      </c>
      <c r="F46" s="131">
        <f t="shared" ref="F46:H46" si="4">SUM(F37:F44)</f>
        <v>0</v>
      </c>
      <c r="G46" s="131">
        <f t="shared" si="4"/>
        <v>632</v>
      </c>
      <c r="H46" s="131">
        <f t="shared" si="4"/>
        <v>-14</v>
      </c>
    </row>
    <row r="51" spans="1:3" ht="15" customHeight="1" x14ac:dyDescent="0.25">
      <c r="A51" s="181" t="s">
        <v>51</v>
      </c>
      <c r="B51" s="181"/>
      <c r="C51" s="181"/>
    </row>
    <row r="52" spans="1:3" ht="15" customHeight="1" x14ac:dyDescent="0.25">
      <c r="A52" s="162" t="s">
        <v>52</v>
      </c>
      <c r="B52" s="162" t="s">
        <v>53</v>
      </c>
      <c r="C52" s="162" t="s">
        <v>54</v>
      </c>
    </row>
    <row r="53" spans="1:3" ht="15" customHeight="1" x14ac:dyDescent="0.25">
      <c r="A53" s="49" t="s">
        <v>55</v>
      </c>
      <c r="B53" s="47">
        <v>8</v>
      </c>
      <c r="C53" s="47" t="s">
        <v>56</v>
      </c>
    </row>
    <row r="54" spans="1:3" ht="15" customHeight="1" x14ac:dyDescent="0.25">
      <c r="A54" s="49" t="s">
        <v>55</v>
      </c>
      <c r="B54" s="47">
        <v>1</v>
      </c>
      <c r="C54" s="47" t="s">
        <v>57</v>
      </c>
    </row>
    <row r="55" spans="1:3" ht="15" customHeight="1" x14ac:dyDescent="0.25">
      <c r="A55" s="49" t="s">
        <v>58</v>
      </c>
      <c r="B55" s="47">
        <v>1</v>
      </c>
      <c r="C55" s="47" t="s">
        <v>59</v>
      </c>
    </row>
    <row r="56" spans="1:3" ht="15" customHeight="1" x14ac:dyDescent="0.25">
      <c r="A56" s="179" t="s">
        <v>60</v>
      </c>
      <c r="B56" s="131" t="s">
        <v>61</v>
      </c>
      <c r="C56" s="131" t="s">
        <v>62</v>
      </c>
    </row>
  </sheetData>
  <mergeCells count="7">
    <mergeCell ref="A51:C51"/>
    <mergeCell ref="A34:H34"/>
    <mergeCell ref="A1:H1"/>
    <mergeCell ref="A9:H9"/>
    <mergeCell ref="C10:D10"/>
    <mergeCell ref="A16:H16"/>
    <mergeCell ref="F10:H10"/>
  </mergeCells>
  <pageMargins left="0.75" right="0.75" top="1" bottom="1" header="0.511811023622047" footer="0.511811023622047"/>
  <pageSetup paperSize="9" orientation="portrait" horizontalDpi="300" verticalDpi="300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CC99"/>
  </sheetPr>
  <dimension ref="A1:M1095"/>
  <sheetViews>
    <sheetView showFormulas="1" zoomScaleNormal="100" workbookViewId="0">
      <pane ySplit="1" topLeftCell="A2" activePane="bottomLeft" state="frozen"/>
      <selection pane="bottomLeft" activeCell="A2" sqref="A2"/>
    </sheetView>
  </sheetViews>
  <sheetFormatPr defaultColWidth="8.7109375" defaultRowHeight="15" customHeight="1" x14ac:dyDescent="0.25"/>
  <cols>
    <col min="1" max="1" width="20.7109375" customWidth="1"/>
    <col min="2" max="2" width="15.5703125" bestFit="1" customWidth="1"/>
    <col min="3" max="3" width="22" style="74" customWidth="1"/>
    <col min="4" max="4" width="12" customWidth="1"/>
    <col min="5" max="5" width="10.7109375" customWidth="1"/>
    <col min="6" max="6" width="12" customWidth="1"/>
    <col min="7" max="7" width="10" customWidth="1"/>
    <col min="8" max="8" width="14.140625" customWidth="1"/>
    <col min="9" max="9" width="27.140625" bestFit="1" customWidth="1"/>
    <col min="10" max="10" width="10" customWidth="1"/>
    <col min="11" max="11" width="48.7109375" bestFit="1" customWidth="1"/>
    <col min="12" max="12" width="12" customWidth="1"/>
    <col min="17" max="17" width="8.7109375" customWidth="1"/>
  </cols>
  <sheetData>
    <row r="1" spans="1:13" x14ac:dyDescent="0.25">
      <c r="A1" s="57" t="s">
        <v>63</v>
      </c>
      <c r="B1" s="5" t="s">
        <v>64</v>
      </c>
      <c r="C1" s="76" t="s">
        <v>65</v>
      </c>
      <c r="D1" s="5" t="s">
        <v>1</v>
      </c>
      <c r="E1" s="5" t="s">
        <v>66</v>
      </c>
      <c r="F1" s="5" t="s">
        <v>67</v>
      </c>
      <c r="G1" s="5" t="s">
        <v>68</v>
      </c>
      <c r="H1" s="5" t="s">
        <v>69</v>
      </c>
      <c r="I1" s="5" t="s">
        <v>70</v>
      </c>
      <c r="J1" s="5" t="s">
        <v>71</v>
      </c>
      <c r="K1" s="5" t="s">
        <v>72</v>
      </c>
      <c r="L1" s="46" t="s">
        <v>5</v>
      </c>
      <c r="M1" s="5" t="s">
        <v>73</v>
      </c>
    </row>
    <row r="2" spans="1:13" hidden="1" x14ac:dyDescent="0.25">
      <c r="A2" s="43">
        <v>21440164</v>
      </c>
      <c r="C2" s="72" t="s">
        <v>44</v>
      </c>
      <c r="D2" s="60" t="s">
        <v>2</v>
      </c>
      <c r="E2" s="7" t="s">
        <v>74</v>
      </c>
      <c r="F2" s="69"/>
      <c r="G2" s="69"/>
      <c r="H2" s="69"/>
      <c r="I2" s="8">
        <v>45997</v>
      </c>
      <c r="J2" s="6"/>
      <c r="K2" s="6"/>
      <c r="L2" s="45">
        <v>45997</v>
      </c>
      <c r="M2" s="6"/>
    </row>
    <row r="3" spans="1:13" hidden="1" x14ac:dyDescent="0.25">
      <c r="A3" s="43">
        <v>21440172</v>
      </c>
      <c r="C3" s="72" t="s">
        <v>44</v>
      </c>
      <c r="D3" s="59" t="s">
        <v>2</v>
      </c>
      <c r="E3" s="7" t="s">
        <v>74</v>
      </c>
      <c r="F3" s="7"/>
      <c r="G3" s="6"/>
      <c r="H3" s="6"/>
      <c r="I3" s="8">
        <v>45997</v>
      </c>
      <c r="J3" s="6"/>
      <c r="K3" s="6"/>
      <c r="L3" s="45">
        <v>45997</v>
      </c>
      <c r="M3" s="6"/>
    </row>
    <row r="4" spans="1:13" hidden="1" x14ac:dyDescent="0.25">
      <c r="A4" s="43">
        <v>21450251</v>
      </c>
      <c r="C4" s="72" t="s">
        <v>44</v>
      </c>
      <c r="D4" s="59" t="s">
        <v>2</v>
      </c>
      <c r="E4" s="7" t="s">
        <v>74</v>
      </c>
      <c r="F4" s="7"/>
      <c r="G4" s="6"/>
      <c r="H4" s="6"/>
      <c r="I4" s="8">
        <v>45997</v>
      </c>
      <c r="J4" s="6"/>
      <c r="K4" s="6"/>
      <c r="L4" s="45">
        <v>45997</v>
      </c>
      <c r="M4" s="6"/>
    </row>
    <row r="5" spans="1:13" hidden="1" x14ac:dyDescent="0.25">
      <c r="A5" s="43">
        <v>7820250328</v>
      </c>
      <c r="C5" s="73" t="s">
        <v>50</v>
      </c>
      <c r="D5" s="6" t="s">
        <v>2</v>
      </c>
      <c r="E5" s="7" t="s">
        <v>74</v>
      </c>
      <c r="F5" s="7"/>
      <c r="G5" s="6"/>
      <c r="H5" s="6"/>
      <c r="I5" s="8">
        <v>45997</v>
      </c>
      <c r="J5" s="6"/>
      <c r="K5" s="145" t="s">
        <v>75</v>
      </c>
      <c r="L5" s="45"/>
      <c r="M5" s="6"/>
    </row>
    <row r="6" spans="1:13" hidden="1" x14ac:dyDescent="0.25">
      <c r="A6" s="43">
        <v>7619443156</v>
      </c>
      <c r="B6" s="48"/>
      <c r="C6" s="73" t="s">
        <v>50</v>
      </c>
      <c r="D6" s="6" t="s">
        <v>2</v>
      </c>
      <c r="E6" s="7" t="s">
        <v>74</v>
      </c>
      <c r="F6" s="7"/>
      <c r="G6" s="6"/>
      <c r="H6" s="6"/>
      <c r="I6" s="8">
        <v>45997</v>
      </c>
      <c r="K6" s="145" t="s">
        <v>75</v>
      </c>
      <c r="L6" s="45"/>
      <c r="M6" s="6"/>
    </row>
    <row r="7" spans="1:13" hidden="1" x14ac:dyDescent="0.25">
      <c r="A7" s="43">
        <v>7620164063</v>
      </c>
      <c r="B7" s="48"/>
      <c r="C7" s="73" t="s">
        <v>50</v>
      </c>
      <c r="D7" s="6" t="s">
        <v>2</v>
      </c>
      <c r="E7" s="7" t="s">
        <v>74</v>
      </c>
      <c r="F7" s="7"/>
      <c r="G7" s="6"/>
      <c r="H7" s="6"/>
      <c r="I7" s="8">
        <v>45997</v>
      </c>
      <c r="K7" s="145" t="s">
        <v>75</v>
      </c>
      <c r="L7" s="45"/>
      <c r="M7" s="6"/>
    </row>
    <row r="8" spans="1:13" hidden="1" x14ac:dyDescent="0.25">
      <c r="A8" s="43">
        <v>7620164113</v>
      </c>
      <c r="B8" s="48"/>
      <c r="C8" s="73" t="s">
        <v>50</v>
      </c>
      <c r="D8" s="6" t="s">
        <v>2</v>
      </c>
      <c r="E8" s="7" t="s">
        <v>74</v>
      </c>
      <c r="F8" s="47"/>
      <c r="I8" s="8">
        <v>45997</v>
      </c>
      <c r="K8" s="145" t="s">
        <v>75</v>
      </c>
      <c r="L8" s="45"/>
      <c r="M8" s="6"/>
    </row>
    <row r="9" spans="1:13" hidden="1" x14ac:dyDescent="0.25">
      <c r="A9" s="56">
        <v>7620164123</v>
      </c>
      <c r="B9" s="48"/>
      <c r="C9" s="73" t="s">
        <v>50</v>
      </c>
      <c r="D9" s="6" t="s">
        <v>2</v>
      </c>
      <c r="E9" s="7" t="s">
        <v>74</v>
      </c>
      <c r="F9" s="47"/>
      <c r="I9" s="8">
        <v>45997</v>
      </c>
      <c r="K9" s="145" t="s">
        <v>75</v>
      </c>
      <c r="L9" s="45"/>
      <c r="M9" s="6"/>
    </row>
    <row r="10" spans="1:13" hidden="1" x14ac:dyDescent="0.25">
      <c r="A10" s="43">
        <v>7620245375</v>
      </c>
      <c r="C10" s="73" t="s">
        <v>50</v>
      </c>
      <c r="D10" s="6" t="s">
        <v>2</v>
      </c>
      <c r="E10" s="7" t="s">
        <v>74</v>
      </c>
      <c r="F10" s="7"/>
      <c r="G10" s="6"/>
      <c r="H10" s="6"/>
      <c r="I10" s="8">
        <v>45997</v>
      </c>
      <c r="J10" s="6"/>
      <c r="K10" s="145" t="s">
        <v>75</v>
      </c>
      <c r="L10" s="45"/>
      <c r="M10" s="6"/>
    </row>
    <row r="11" spans="1:13" hidden="1" x14ac:dyDescent="0.25">
      <c r="A11" s="43">
        <v>7620255473</v>
      </c>
      <c r="C11" s="73" t="s">
        <v>50</v>
      </c>
      <c r="D11" s="6" t="s">
        <v>2</v>
      </c>
      <c r="E11" s="7" t="s">
        <v>74</v>
      </c>
      <c r="F11" s="7"/>
      <c r="G11" s="6"/>
      <c r="H11" s="6"/>
      <c r="I11" s="8">
        <v>45997</v>
      </c>
      <c r="J11" s="6"/>
      <c r="K11" s="145" t="s">
        <v>75</v>
      </c>
      <c r="L11" s="45"/>
      <c r="M11" s="6"/>
    </row>
    <row r="12" spans="1:13" hidden="1" x14ac:dyDescent="0.25">
      <c r="A12" s="43">
        <v>7621127490</v>
      </c>
      <c r="C12" s="73" t="s">
        <v>50</v>
      </c>
      <c r="D12" s="6" t="s">
        <v>2</v>
      </c>
      <c r="E12" s="7" t="s">
        <v>74</v>
      </c>
      <c r="F12" s="7"/>
      <c r="G12" s="6"/>
      <c r="H12" s="6"/>
      <c r="I12" s="8">
        <v>45997</v>
      </c>
      <c r="J12" s="6"/>
      <c r="K12" s="145" t="s">
        <v>75</v>
      </c>
      <c r="L12" s="45"/>
      <c r="M12" s="6"/>
    </row>
    <row r="13" spans="1:13" hidden="1" x14ac:dyDescent="0.25">
      <c r="A13" s="43">
        <v>7621127521</v>
      </c>
      <c r="C13" s="73" t="s">
        <v>50</v>
      </c>
      <c r="D13" s="6" t="s">
        <v>2</v>
      </c>
      <c r="E13" s="7" t="s">
        <v>74</v>
      </c>
      <c r="F13" s="7"/>
      <c r="G13" s="6"/>
      <c r="H13" s="6"/>
      <c r="I13" s="8">
        <v>45997</v>
      </c>
      <c r="J13" s="6"/>
      <c r="K13" s="145" t="s">
        <v>75</v>
      </c>
      <c r="L13" s="45"/>
      <c r="M13" s="6"/>
    </row>
    <row r="14" spans="1:13" hidden="1" x14ac:dyDescent="0.25">
      <c r="A14" s="43">
        <v>7621320047</v>
      </c>
      <c r="C14" s="73" t="s">
        <v>50</v>
      </c>
      <c r="D14" s="6" t="s">
        <v>2</v>
      </c>
      <c r="E14" s="7" t="s">
        <v>74</v>
      </c>
      <c r="F14" s="7"/>
      <c r="G14" s="6"/>
      <c r="H14" s="6"/>
      <c r="I14" s="8">
        <v>45997</v>
      </c>
      <c r="J14" s="6"/>
      <c r="K14" s="145" t="s">
        <v>75</v>
      </c>
      <c r="L14" s="45"/>
      <c r="M14" s="6"/>
    </row>
    <row r="15" spans="1:13" hidden="1" x14ac:dyDescent="0.25">
      <c r="A15" s="43">
        <v>7621320049</v>
      </c>
      <c r="C15" s="73" t="s">
        <v>50</v>
      </c>
      <c r="D15" s="6" t="s">
        <v>2</v>
      </c>
      <c r="E15" s="7" t="s">
        <v>74</v>
      </c>
      <c r="F15" s="7"/>
      <c r="G15" s="6"/>
      <c r="H15" s="6"/>
      <c r="I15" s="8">
        <v>45997</v>
      </c>
      <c r="J15" s="6"/>
      <c r="K15" s="145" t="s">
        <v>75</v>
      </c>
      <c r="L15" s="45"/>
      <c r="M15" s="6"/>
    </row>
    <row r="16" spans="1:13" hidden="1" x14ac:dyDescent="0.25">
      <c r="A16" s="43">
        <v>7621320050</v>
      </c>
      <c r="C16" s="73" t="s">
        <v>50</v>
      </c>
      <c r="D16" s="6" t="s">
        <v>2</v>
      </c>
      <c r="E16" s="7" t="s">
        <v>74</v>
      </c>
      <c r="F16" s="7"/>
      <c r="G16" s="6"/>
      <c r="H16" s="6"/>
      <c r="I16" s="8">
        <v>45997</v>
      </c>
      <c r="J16" s="6"/>
      <c r="K16" s="145" t="s">
        <v>75</v>
      </c>
      <c r="L16" s="45"/>
      <c r="M16" s="6"/>
    </row>
    <row r="17" spans="1:13" hidden="1" x14ac:dyDescent="0.25">
      <c r="A17" s="43">
        <v>7621320051</v>
      </c>
      <c r="C17" s="73" t="s">
        <v>50</v>
      </c>
      <c r="D17" s="6" t="s">
        <v>2</v>
      </c>
      <c r="E17" s="7" t="s">
        <v>74</v>
      </c>
      <c r="F17" s="7"/>
      <c r="G17" s="6"/>
      <c r="H17" s="6"/>
      <c r="I17" s="8">
        <v>45997</v>
      </c>
      <c r="J17" s="6"/>
      <c r="K17" s="145" t="s">
        <v>75</v>
      </c>
      <c r="L17" s="45"/>
      <c r="M17" s="6"/>
    </row>
    <row r="18" spans="1:13" hidden="1" x14ac:dyDescent="0.25">
      <c r="A18" s="43">
        <v>7621320067</v>
      </c>
      <c r="C18" s="73" t="s">
        <v>50</v>
      </c>
      <c r="D18" s="6" t="s">
        <v>2</v>
      </c>
      <c r="E18" s="7" t="s">
        <v>74</v>
      </c>
      <c r="F18" s="7"/>
      <c r="G18" s="6"/>
      <c r="H18" s="6"/>
      <c r="I18" s="8">
        <v>45997</v>
      </c>
      <c r="J18" s="6"/>
      <c r="K18" s="145" t="s">
        <v>75</v>
      </c>
      <c r="L18" s="45"/>
      <c r="M18" s="6"/>
    </row>
    <row r="19" spans="1:13" hidden="1" x14ac:dyDescent="0.25">
      <c r="A19" s="43">
        <v>7621320072</v>
      </c>
      <c r="C19" s="73" t="s">
        <v>50</v>
      </c>
      <c r="D19" s="6" t="s">
        <v>2</v>
      </c>
      <c r="E19" s="7" t="s">
        <v>74</v>
      </c>
      <c r="F19" s="7"/>
      <c r="G19" s="6"/>
      <c r="H19" s="6"/>
      <c r="I19" s="8">
        <v>45997</v>
      </c>
      <c r="J19" s="6"/>
      <c r="K19" s="145" t="s">
        <v>75</v>
      </c>
      <c r="L19" s="45"/>
      <c r="M19" s="6"/>
    </row>
    <row r="20" spans="1:13" hidden="1" x14ac:dyDescent="0.25">
      <c r="A20" s="43">
        <v>7621320222</v>
      </c>
      <c r="C20" s="73" t="s">
        <v>50</v>
      </c>
      <c r="D20" s="6" t="s">
        <v>2</v>
      </c>
      <c r="E20" s="7" t="s">
        <v>74</v>
      </c>
      <c r="F20" s="7"/>
      <c r="G20" s="6"/>
      <c r="H20" s="6"/>
      <c r="I20" s="8">
        <v>45997</v>
      </c>
      <c r="J20" s="6"/>
      <c r="K20" s="145" t="s">
        <v>75</v>
      </c>
      <c r="L20" s="45"/>
      <c r="M20" s="6"/>
    </row>
    <row r="21" spans="1:13" hidden="1" x14ac:dyDescent="0.25">
      <c r="A21" s="43">
        <v>7820250277</v>
      </c>
      <c r="B21" s="48"/>
      <c r="C21" s="73" t="s">
        <v>50</v>
      </c>
      <c r="D21" s="6" t="s">
        <v>2</v>
      </c>
      <c r="E21" s="7" t="s">
        <v>74</v>
      </c>
      <c r="F21" s="47"/>
      <c r="I21" s="8">
        <v>45997</v>
      </c>
      <c r="K21" s="145" t="s">
        <v>75</v>
      </c>
      <c r="L21" s="45"/>
      <c r="M21" s="6"/>
    </row>
    <row r="22" spans="1:13" hidden="1" x14ac:dyDescent="0.25">
      <c r="A22" s="56">
        <v>7820250284</v>
      </c>
      <c r="B22" s="48"/>
      <c r="C22" s="73" t="s">
        <v>50</v>
      </c>
      <c r="D22" s="6" t="s">
        <v>2</v>
      </c>
      <c r="E22" s="7" t="s">
        <v>74</v>
      </c>
      <c r="F22" s="47"/>
      <c r="I22" s="8">
        <v>45997</v>
      </c>
      <c r="K22" s="145" t="s">
        <v>75</v>
      </c>
      <c r="L22" s="45"/>
      <c r="M22" s="6"/>
    </row>
    <row r="23" spans="1:13" hidden="1" x14ac:dyDescent="0.25">
      <c r="A23" s="43">
        <v>7820250294</v>
      </c>
      <c r="C23" s="73" t="s">
        <v>50</v>
      </c>
      <c r="D23" s="6" t="s">
        <v>2</v>
      </c>
      <c r="E23" s="7" t="s">
        <v>74</v>
      </c>
      <c r="F23" s="7"/>
      <c r="G23" s="6"/>
      <c r="H23" s="6"/>
      <c r="I23" s="8">
        <v>45997</v>
      </c>
      <c r="J23" s="6"/>
      <c r="K23" s="145" t="s">
        <v>75</v>
      </c>
      <c r="L23" s="45"/>
      <c r="M23" s="6"/>
    </row>
    <row r="24" spans="1:13" hidden="1" x14ac:dyDescent="0.25">
      <c r="A24" s="43">
        <v>7820250299</v>
      </c>
      <c r="C24" s="73" t="s">
        <v>50</v>
      </c>
      <c r="D24" s="6" t="s">
        <v>2</v>
      </c>
      <c r="E24" s="7" t="s">
        <v>74</v>
      </c>
      <c r="F24" s="7"/>
      <c r="G24" s="6"/>
      <c r="H24" s="6"/>
      <c r="I24" s="8">
        <v>45997</v>
      </c>
      <c r="J24" s="6"/>
      <c r="K24" s="145" t="s">
        <v>75</v>
      </c>
      <c r="L24" s="45"/>
      <c r="M24" s="6"/>
    </row>
    <row r="25" spans="1:13" hidden="1" x14ac:dyDescent="0.25">
      <c r="A25" s="43">
        <v>7820250302</v>
      </c>
      <c r="B25" s="48"/>
      <c r="C25" s="73" t="s">
        <v>50</v>
      </c>
      <c r="D25" s="6" t="s">
        <v>2</v>
      </c>
      <c r="E25" s="7" t="s">
        <v>74</v>
      </c>
      <c r="F25" s="47"/>
      <c r="I25" s="8">
        <v>45997</v>
      </c>
      <c r="K25" s="145" t="s">
        <v>75</v>
      </c>
      <c r="L25" s="45"/>
      <c r="M25" s="6"/>
    </row>
    <row r="26" spans="1:13" hidden="1" x14ac:dyDescent="0.25">
      <c r="A26" s="56">
        <v>7820250305</v>
      </c>
      <c r="B26" s="48"/>
      <c r="C26" s="73" t="s">
        <v>50</v>
      </c>
      <c r="D26" s="6" t="s">
        <v>2</v>
      </c>
      <c r="E26" s="7" t="s">
        <v>74</v>
      </c>
      <c r="F26" s="47"/>
      <c r="I26" s="8">
        <v>45997</v>
      </c>
      <c r="K26" s="145" t="s">
        <v>75</v>
      </c>
      <c r="L26" s="45"/>
      <c r="M26" s="6"/>
    </row>
    <row r="27" spans="1:13" hidden="1" x14ac:dyDescent="0.25">
      <c r="A27" s="43">
        <v>7820250309</v>
      </c>
      <c r="C27" s="73" t="s">
        <v>50</v>
      </c>
      <c r="D27" s="6" t="s">
        <v>2</v>
      </c>
      <c r="E27" s="7" t="s">
        <v>74</v>
      </c>
      <c r="F27" s="7"/>
      <c r="G27" s="6"/>
      <c r="H27" s="6"/>
      <c r="I27" s="8">
        <v>45997</v>
      </c>
      <c r="J27" s="6"/>
      <c r="K27" s="145" t="s">
        <v>75</v>
      </c>
      <c r="L27" s="45"/>
      <c r="M27" s="6"/>
    </row>
    <row r="28" spans="1:13" hidden="1" x14ac:dyDescent="0.25">
      <c r="A28" s="43">
        <v>7820250311</v>
      </c>
      <c r="C28" s="73" t="s">
        <v>50</v>
      </c>
      <c r="D28" s="6" t="s">
        <v>2</v>
      </c>
      <c r="E28" s="7" t="s">
        <v>74</v>
      </c>
      <c r="F28" s="7"/>
      <c r="G28" s="6"/>
      <c r="H28" s="6"/>
      <c r="I28" s="8">
        <v>45997</v>
      </c>
      <c r="J28" s="6"/>
      <c r="K28" s="145" t="s">
        <v>75</v>
      </c>
      <c r="L28" s="45"/>
      <c r="M28" s="6"/>
    </row>
    <row r="29" spans="1:13" hidden="1" x14ac:dyDescent="0.25">
      <c r="A29" s="43">
        <v>7820250312</v>
      </c>
      <c r="B29" s="48"/>
      <c r="C29" s="73" t="s">
        <v>50</v>
      </c>
      <c r="D29" s="6" t="s">
        <v>2</v>
      </c>
      <c r="E29" s="7" t="s">
        <v>74</v>
      </c>
      <c r="F29" s="47"/>
      <c r="I29" s="8">
        <v>45997</v>
      </c>
      <c r="K29" s="145" t="s">
        <v>75</v>
      </c>
      <c r="L29" s="45"/>
      <c r="M29" s="6"/>
    </row>
    <row r="30" spans="1:13" hidden="1" x14ac:dyDescent="0.25">
      <c r="A30" s="56">
        <v>7820250314</v>
      </c>
      <c r="B30" s="48"/>
      <c r="C30" s="73" t="s">
        <v>50</v>
      </c>
      <c r="D30" s="6" t="s">
        <v>2</v>
      </c>
      <c r="E30" s="7" t="s">
        <v>74</v>
      </c>
      <c r="F30" s="47"/>
      <c r="I30" s="8">
        <v>45997</v>
      </c>
      <c r="K30" s="145" t="s">
        <v>75</v>
      </c>
      <c r="L30" s="45"/>
      <c r="M30" s="6"/>
    </row>
    <row r="31" spans="1:13" hidden="1" x14ac:dyDescent="0.25">
      <c r="A31" s="43">
        <v>7820250320</v>
      </c>
      <c r="C31" s="73" t="s">
        <v>50</v>
      </c>
      <c r="D31" s="6" t="s">
        <v>2</v>
      </c>
      <c r="E31" s="7" t="s">
        <v>74</v>
      </c>
      <c r="F31" s="7"/>
      <c r="G31" s="6"/>
      <c r="H31" s="6"/>
      <c r="I31" s="8">
        <v>45997</v>
      </c>
      <c r="J31" s="6"/>
      <c r="K31" s="145" t="s">
        <v>75</v>
      </c>
      <c r="L31" s="45"/>
      <c r="M31" s="6"/>
    </row>
    <row r="32" spans="1:13" hidden="1" x14ac:dyDescent="0.25">
      <c r="A32" s="43">
        <v>7820250321</v>
      </c>
      <c r="C32" s="73" t="s">
        <v>50</v>
      </c>
      <c r="D32" s="6" t="s">
        <v>2</v>
      </c>
      <c r="E32" s="7" t="s">
        <v>74</v>
      </c>
      <c r="F32" s="7"/>
      <c r="G32" s="6"/>
      <c r="H32" s="6"/>
      <c r="I32" s="8">
        <v>45997</v>
      </c>
      <c r="J32" s="6"/>
      <c r="K32" s="145" t="s">
        <v>75</v>
      </c>
      <c r="L32" s="45"/>
      <c r="M32" s="6"/>
    </row>
    <row r="33" spans="1:13" hidden="1" x14ac:dyDescent="0.25">
      <c r="A33" s="43">
        <v>7820250323</v>
      </c>
      <c r="C33" s="73" t="s">
        <v>50</v>
      </c>
      <c r="D33" s="6" t="s">
        <v>2</v>
      </c>
      <c r="E33" s="7" t="s">
        <v>74</v>
      </c>
      <c r="F33" s="7"/>
      <c r="G33" s="6"/>
      <c r="H33" s="6"/>
      <c r="I33" s="8">
        <v>45997</v>
      </c>
      <c r="J33" s="6"/>
      <c r="K33" s="145" t="s">
        <v>75</v>
      </c>
      <c r="L33" s="45"/>
      <c r="M33" s="6"/>
    </row>
    <row r="34" spans="1:13" hidden="1" x14ac:dyDescent="0.25">
      <c r="A34" s="43">
        <v>7820250324</v>
      </c>
      <c r="B34" s="48"/>
      <c r="C34" s="73" t="s">
        <v>50</v>
      </c>
      <c r="D34" s="6" t="s">
        <v>2</v>
      </c>
      <c r="E34" s="7" t="s">
        <v>74</v>
      </c>
      <c r="F34" s="47"/>
      <c r="I34" s="8">
        <v>45997</v>
      </c>
      <c r="K34" s="145" t="s">
        <v>75</v>
      </c>
      <c r="L34" s="45"/>
      <c r="M34" s="6"/>
    </row>
    <row r="35" spans="1:13" hidden="1" x14ac:dyDescent="0.25">
      <c r="A35" s="43">
        <v>7820250335</v>
      </c>
      <c r="C35" s="73" t="s">
        <v>50</v>
      </c>
      <c r="D35" s="6" t="s">
        <v>2</v>
      </c>
      <c r="E35" s="7" t="s">
        <v>74</v>
      </c>
      <c r="F35" s="7"/>
      <c r="G35" s="6"/>
      <c r="H35" s="6"/>
      <c r="I35" s="8">
        <v>45997</v>
      </c>
      <c r="J35" s="6"/>
      <c r="K35" s="145" t="s">
        <v>75</v>
      </c>
      <c r="L35" s="45"/>
      <c r="M35" s="6"/>
    </row>
    <row r="36" spans="1:13" hidden="1" x14ac:dyDescent="0.25">
      <c r="A36" s="58">
        <v>7820371460</v>
      </c>
      <c r="B36" s="10"/>
      <c r="C36" s="73" t="s">
        <v>50</v>
      </c>
      <c r="D36" s="6" t="s">
        <v>2</v>
      </c>
      <c r="E36" s="7" t="s">
        <v>74</v>
      </c>
      <c r="F36" s="7"/>
      <c r="G36" s="6"/>
      <c r="H36" s="6"/>
      <c r="I36" s="8">
        <v>45997</v>
      </c>
      <c r="J36" s="6"/>
      <c r="K36" s="145" t="s">
        <v>75</v>
      </c>
      <c r="L36" s="45"/>
      <c r="M36" s="6"/>
    </row>
    <row r="37" spans="1:13" hidden="1" x14ac:dyDescent="0.25">
      <c r="A37" s="58">
        <v>7820371469</v>
      </c>
      <c r="B37" s="10"/>
      <c r="C37" s="73" t="s">
        <v>50</v>
      </c>
      <c r="D37" s="6" t="s">
        <v>2</v>
      </c>
      <c r="E37" s="7" t="s">
        <v>74</v>
      </c>
      <c r="F37" s="7"/>
      <c r="G37" s="6"/>
      <c r="H37" s="6"/>
      <c r="I37" s="8">
        <v>45997</v>
      </c>
      <c r="J37" s="6"/>
      <c r="K37" s="145" t="s">
        <v>75</v>
      </c>
      <c r="L37" s="45"/>
      <c r="M37" s="6"/>
    </row>
    <row r="38" spans="1:13" hidden="1" x14ac:dyDescent="0.25">
      <c r="A38" s="58">
        <v>7820371970</v>
      </c>
      <c r="B38" s="10"/>
      <c r="C38" s="73" t="s">
        <v>50</v>
      </c>
      <c r="D38" s="6" t="s">
        <v>2</v>
      </c>
      <c r="E38" s="7" t="s">
        <v>74</v>
      </c>
      <c r="F38" s="7"/>
      <c r="G38" s="6"/>
      <c r="H38" s="6"/>
      <c r="I38" s="8">
        <v>45997</v>
      </c>
      <c r="J38" s="6"/>
      <c r="K38" s="145" t="s">
        <v>75</v>
      </c>
      <c r="L38" s="45"/>
      <c r="M38" s="6"/>
    </row>
    <row r="39" spans="1:13" hidden="1" x14ac:dyDescent="0.25">
      <c r="A39" s="58">
        <v>7820462156</v>
      </c>
      <c r="B39" s="10"/>
      <c r="C39" s="73" t="s">
        <v>50</v>
      </c>
      <c r="D39" s="6" t="s">
        <v>2</v>
      </c>
      <c r="E39" s="7" t="s">
        <v>74</v>
      </c>
      <c r="F39" s="7"/>
      <c r="G39" s="6"/>
      <c r="H39" s="6"/>
      <c r="I39" s="8">
        <v>45997</v>
      </c>
      <c r="J39" s="6"/>
      <c r="K39" s="145" t="s">
        <v>75</v>
      </c>
      <c r="L39" s="45"/>
      <c r="M39" s="6"/>
    </row>
    <row r="40" spans="1:13" hidden="1" x14ac:dyDescent="0.25">
      <c r="A40" s="58">
        <v>7821390879</v>
      </c>
      <c r="B40" s="10"/>
      <c r="C40" s="73" t="s">
        <v>50</v>
      </c>
      <c r="D40" s="6" t="s">
        <v>2</v>
      </c>
      <c r="E40" s="7" t="s">
        <v>74</v>
      </c>
      <c r="F40" s="7"/>
      <c r="G40" s="6"/>
      <c r="H40" s="6"/>
      <c r="I40" s="8">
        <v>45997</v>
      </c>
      <c r="J40" s="6"/>
      <c r="K40" s="145" t="s">
        <v>75</v>
      </c>
      <c r="L40" s="45"/>
      <c r="M40" s="6"/>
    </row>
    <row r="41" spans="1:13" hidden="1" x14ac:dyDescent="0.25">
      <c r="A41" s="58">
        <v>7821390882</v>
      </c>
      <c r="B41" s="10"/>
      <c r="C41" s="73" t="s">
        <v>50</v>
      </c>
      <c r="D41" s="6" t="s">
        <v>2</v>
      </c>
      <c r="E41" s="7" t="s">
        <v>74</v>
      </c>
      <c r="F41" s="7"/>
      <c r="G41" s="6"/>
      <c r="H41" s="6"/>
      <c r="I41" s="8">
        <v>45997</v>
      </c>
      <c r="J41" s="6"/>
      <c r="K41" s="145" t="s">
        <v>75</v>
      </c>
      <c r="L41" s="45"/>
      <c r="M41" s="6"/>
    </row>
    <row r="42" spans="1:13" hidden="1" x14ac:dyDescent="0.25">
      <c r="A42" s="58">
        <v>7821390911</v>
      </c>
      <c r="B42" s="10"/>
      <c r="C42" s="73" t="s">
        <v>50</v>
      </c>
      <c r="D42" s="6" t="s">
        <v>2</v>
      </c>
      <c r="E42" s="7" t="s">
        <v>74</v>
      </c>
      <c r="F42" s="47"/>
      <c r="I42" s="8">
        <v>45997</v>
      </c>
      <c r="K42" s="145" t="s">
        <v>75</v>
      </c>
      <c r="L42" s="45"/>
      <c r="M42" s="6"/>
    </row>
    <row r="43" spans="1:13" hidden="1" x14ac:dyDescent="0.25">
      <c r="A43" s="43">
        <v>7821390988</v>
      </c>
      <c r="B43" s="42"/>
      <c r="C43" s="74" t="s">
        <v>50</v>
      </c>
      <c r="D43" s="6" t="s">
        <v>2</v>
      </c>
      <c r="E43" s="7" t="s">
        <v>74</v>
      </c>
      <c r="F43" s="47"/>
      <c r="I43" s="8">
        <v>45997</v>
      </c>
      <c r="K43" s="145" t="s">
        <v>75</v>
      </c>
      <c r="L43" s="45"/>
      <c r="M43" s="6"/>
    </row>
    <row r="44" spans="1:13" hidden="1" x14ac:dyDescent="0.25">
      <c r="A44" s="43">
        <v>19353523600552</v>
      </c>
      <c r="B44" s="52"/>
      <c r="C44" s="74" t="s">
        <v>33</v>
      </c>
      <c r="D44" s="6" t="s">
        <v>2</v>
      </c>
      <c r="E44" s="7" t="s">
        <v>74</v>
      </c>
      <c r="F44" s="47"/>
      <c r="I44" s="8">
        <v>45997</v>
      </c>
      <c r="L44" s="45"/>
      <c r="M44" s="6"/>
    </row>
    <row r="45" spans="1:13" hidden="1" x14ac:dyDescent="0.25">
      <c r="A45" s="43">
        <v>19353523600553</v>
      </c>
      <c r="B45" s="40"/>
      <c r="C45" s="74" t="s">
        <v>33</v>
      </c>
      <c r="D45" s="6" t="s">
        <v>2</v>
      </c>
      <c r="E45" s="7" t="s">
        <v>74</v>
      </c>
      <c r="F45" s="7"/>
      <c r="G45" s="6"/>
      <c r="H45" s="6"/>
      <c r="I45" s="8">
        <v>45997</v>
      </c>
      <c r="J45" s="6"/>
      <c r="K45" s="6"/>
      <c r="L45" s="45"/>
      <c r="M45" s="6"/>
    </row>
    <row r="46" spans="1:13" hidden="1" x14ac:dyDescent="0.25">
      <c r="A46" s="43">
        <v>19353523600563</v>
      </c>
      <c r="C46" s="74" t="s">
        <v>33</v>
      </c>
      <c r="D46" s="6" t="s">
        <v>2</v>
      </c>
      <c r="E46" s="7" t="s">
        <v>76</v>
      </c>
      <c r="F46" s="7"/>
      <c r="G46" s="6"/>
      <c r="H46" s="6"/>
      <c r="I46" s="8">
        <v>45997</v>
      </c>
      <c r="J46" s="6"/>
      <c r="K46" s="6"/>
      <c r="L46" s="45"/>
      <c r="M46" s="6"/>
    </row>
    <row r="47" spans="1:13" hidden="1" x14ac:dyDescent="0.25">
      <c r="A47" s="43">
        <v>19353523600579</v>
      </c>
      <c r="C47" s="74" t="s">
        <v>33</v>
      </c>
      <c r="D47" s="6" t="s">
        <v>2</v>
      </c>
      <c r="E47" s="7" t="s">
        <v>74</v>
      </c>
      <c r="F47" s="7"/>
      <c r="G47" s="6"/>
      <c r="H47" s="6"/>
      <c r="I47" s="8">
        <v>45997</v>
      </c>
      <c r="J47" s="6"/>
      <c r="K47" s="6"/>
      <c r="L47" s="45"/>
      <c r="M47" s="6"/>
    </row>
    <row r="48" spans="1:13" hidden="1" x14ac:dyDescent="0.25">
      <c r="A48" s="43">
        <v>19353523600584</v>
      </c>
      <c r="C48" s="74" t="s">
        <v>33</v>
      </c>
      <c r="D48" s="6" t="s">
        <v>2</v>
      </c>
      <c r="E48" s="7" t="s">
        <v>74</v>
      </c>
      <c r="F48" s="7"/>
      <c r="G48" s="6"/>
      <c r="H48" s="6"/>
      <c r="I48" s="8">
        <v>45997</v>
      </c>
      <c r="J48" s="6"/>
      <c r="K48" s="6"/>
      <c r="L48" s="45"/>
      <c r="M48" s="6"/>
    </row>
    <row r="49" spans="1:13" hidden="1" x14ac:dyDescent="0.25">
      <c r="A49" s="43">
        <v>19353523600589</v>
      </c>
      <c r="B49" s="42"/>
      <c r="C49" s="74" t="s">
        <v>33</v>
      </c>
      <c r="D49" s="6" t="s">
        <v>2</v>
      </c>
      <c r="E49" s="47" t="s">
        <v>74</v>
      </c>
      <c r="F49" s="47"/>
      <c r="I49" s="8">
        <v>45997</v>
      </c>
      <c r="L49" s="45"/>
      <c r="M49" s="6"/>
    </row>
    <row r="50" spans="1:13" hidden="1" x14ac:dyDescent="0.25">
      <c r="A50" s="43">
        <v>19353523600590</v>
      </c>
      <c r="B50" s="40"/>
      <c r="C50" s="74" t="s">
        <v>33</v>
      </c>
      <c r="D50" s="6" t="s">
        <v>2</v>
      </c>
      <c r="E50" s="7" t="s">
        <v>74</v>
      </c>
      <c r="F50" s="7"/>
      <c r="G50" s="6"/>
      <c r="H50" s="6"/>
      <c r="I50" s="8">
        <v>45997</v>
      </c>
      <c r="J50" s="6"/>
      <c r="K50" s="6"/>
      <c r="L50" s="45"/>
      <c r="M50" s="6"/>
    </row>
    <row r="51" spans="1:13" hidden="1" x14ac:dyDescent="0.25">
      <c r="A51" s="43">
        <v>19353523600592</v>
      </c>
      <c r="B51" s="42"/>
      <c r="C51" s="74" t="s">
        <v>33</v>
      </c>
      <c r="D51" s="6" t="s">
        <v>2</v>
      </c>
      <c r="E51" s="47" t="s">
        <v>74</v>
      </c>
      <c r="F51" s="47"/>
      <c r="I51" s="8">
        <v>45997</v>
      </c>
      <c r="L51" s="45"/>
      <c r="M51" s="6"/>
    </row>
    <row r="52" spans="1:13" hidden="1" x14ac:dyDescent="0.25">
      <c r="A52" s="43">
        <v>19353523600602</v>
      </c>
      <c r="B52" s="40"/>
      <c r="C52" s="74" t="s">
        <v>33</v>
      </c>
      <c r="D52" s="6" t="s">
        <v>2</v>
      </c>
      <c r="E52" s="7" t="s">
        <v>74</v>
      </c>
      <c r="F52" s="7"/>
      <c r="G52" s="6"/>
      <c r="H52" s="6"/>
      <c r="I52" s="8">
        <v>45997</v>
      </c>
      <c r="J52" s="6"/>
      <c r="K52" s="6"/>
      <c r="L52" s="45"/>
      <c r="M52" s="6"/>
    </row>
    <row r="53" spans="1:13" hidden="1" x14ac:dyDescent="0.25">
      <c r="A53" s="43">
        <v>19353523600603</v>
      </c>
      <c r="C53" s="74" t="s">
        <v>33</v>
      </c>
      <c r="D53" s="6" t="s">
        <v>2</v>
      </c>
      <c r="E53" s="7" t="s">
        <v>74</v>
      </c>
      <c r="F53" s="7"/>
      <c r="G53" s="6"/>
      <c r="H53" s="6"/>
      <c r="I53" s="8">
        <v>45997</v>
      </c>
      <c r="J53" s="6"/>
      <c r="K53" s="6"/>
      <c r="L53" s="45"/>
      <c r="M53" s="6"/>
    </row>
    <row r="54" spans="1:13" hidden="1" x14ac:dyDescent="0.25">
      <c r="A54" s="43">
        <v>19353523600612</v>
      </c>
      <c r="C54" s="74" t="s">
        <v>33</v>
      </c>
      <c r="D54" s="6" t="s">
        <v>2</v>
      </c>
      <c r="E54" s="7" t="s">
        <v>74</v>
      </c>
      <c r="F54" s="7"/>
      <c r="G54" s="6"/>
      <c r="H54" s="6"/>
      <c r="I54" s="8">
        <v>45997</v>
      </c>
      <c r="J54" s="6"/>
      <c r="K54" s="6"/>
      <c r="L54" s="45"/>
      <c r="M54" s="6"/>
    </row>
    <row r="55" spans="1:13" hidden="1" x14ac:dyDescent="0.25">
      <c r="A55" s="43">
        <v>19353523600620</v>
      </c>
      <c r="C55" s="74" t="s">
        <v>33</v>
      </c>
      <c r="D55" s="6" t="s">
        <v>2</v>
      </c>
      <c r="E55" s="7" t="s">
        <v>74</v>
      </c>
      <c r="F55" s="7"/>
      <c r="G55" s="6"/>
      <c r="H55" s="6"/>
      <c r="I55" s="8">
        <v>45997</v>
      </c>
      <c r="J55" s="6"/>
      <c r="K55" s="6"/>
      <c r="L55" s="45"/>
      <c r="M55" s="6"/>
    </row>
    <row r="56" spans="1:13" hidden="1" x14ac:dyDescent="0.25">
      <c r="A56" s="43">
        <v>19353523600623</v>
      </c>
      <c r="C56" s="74" t="s">
        <v>33</v>
      </c>
      <c r="D56" s="6" t="s">
        <v>2</v>
      </c>
      <c r="E56" s="7" t="s">
        <v>74</v>
      </c>
      <c r="F56" s="7"/>
      <c r="G56" s="6"/>
      <c r="H56" s="6"/>
      <c r="I56" s="8">
        <v>45997</v>
      </c>
      <c r="J56" s="6"/>
      <c r="K56" s="6"/>
      <c r="L56" s="45"/>
      <c r="M56" s="6"/>
    </row>
    <row r="57" spans="1:13" hidden="1" x14ac:dyDescent="0.25">
      <c r="A57" s="43">
        <v>19353523600624</v>
      </c>
      <c r="C57" s="74" t="s">
        <v>33</v>
      </c>
      <c r="D57" s="6" t="s">
        <v>2</v>
      </c>
      <c r="E57" s="7" t="s">
        <v>74</v>
      </c>
      <c r="F57" s="7"/>
      <c r="G57" s="6"/>
      <c r="H57" s="6"/>
      <c r="I57" s="8">
        <v>45997</v>
      </c>
      <c r="J57" s="6"/>
      <c r="K57" s="6"/>
      <c r="L57" s="45"/>
      <c r="M57" s="6"/>
    </row>
    <row r="58" spans="1:13" hidden="1" x14ac:dyDescent="0.25">
      <c r="A58" s="43">
        <v>19353523600630</v>
      </c>
      <c r="C58" s="74" t="s">
        <v>33</v>
      </c>
      <c r="D58" s="6" t="s">
        <v>2</v>
      </c>
      <c r="E58" s="47" t="s">
        <v>74</v>
      </c>
      <c r="F58" s="47"/>
      <c r="I58" s="8">
        <v>45997</v>
      </c>
      <c r="L58" s="45"/>
      <c r="M58" s="6"/>
    </row>
    <row r="59" spans="1:13" hidden="1" x14ac:dyDescent="0.25">
      <c r="A59" s="43">
        <v>19353523600633</v>
      </c>
      <c r="B59" s="42"/>
      <c r="C59" s="74" t="s">
        <v>33</v>
      </c>
      <c r="D59" s="6" t="s">
        <v>2</v>
      </c>
      <c r="E59" s="47" t="s">
        <v>74</v>
      </c>
      <c r="F59" s="47"/>
      <c r="I59" s="8">
        <v>45997</v>
      </c>
      <c r="L59" s="45"/>
      <c r="M59" s="6"/>
    </row>
    <row r="60" spans="1:13" hidden="1" x14ac:dyDescent="0.25">
      <c r="A60" s="43">
        <v>19353523600635</v>
      </c>
      <c r="C60" s="74" t="s">
        <v>33</v>
      </c>
      <c r="D60" s="6" t="s">
        <v>2</v>
      </c>
      <c r="E60" s="7" t="s">
        <v>74</v>
      </c>
      <c r="F60" s="7"/>
      <c r="G60" s="6"/>
      <c r="H60" s="6"/>
      <c r="I60" s="8">
        <v>45997</v>
      </c>
      <c r="J60" s="6"/>
      <c r="K60" s="6"/>
      <c r="L60" s="45">
        <v>45997</v>
      </c>
      <c r="M60" s="6"/>
    </row>
    <row r="61" spans="1:13" hidden="1" x14ac:dyDescent="0.25">
      <c r="A61" s="43">
        <v>19353523600636</v>
      </c>
      <c r="B61" s="42"/>
      <c r="C61" s="74" t="s">
        <v>33</v>
      </c>
      <c r="D61" s="6" t="s">
        <v>2</v>
      </c>
      <c r="E61" s="47" t="s">
        <v>74</v>
      </c>
      <c r="F61" s="47"/>
      <c r="I61" s="8">
        <v>45997</v>
      </c>
      <c r="L61" s="45"/>
      <c r="M61" s="6"/>
    </row>
    <row r="62" spans="1:13" hidden="1" x14ac:dyDescent="0.25">
      <c r="A62" s="43">
        <v>19353523600637</v>
      </c>
      <c r="C62" s="74" t="s">
        <v>33</v>
      </c>
      <c r="D62" s="6" t="s">
        <v>2</v>
      </c>
      <c r="E62" s="7" t="s">
        <v>74</v>
      </c>
      <c r="F62" s="7"/>
      <c r="G62" s="6"/>
      <c r="H62" s="6"/>
      <c r="I62" s="8">
        <v>45997</v>
      </c>
      <c r="J62" s="6"/>
      <c r="K62" s="6"/>
      <c r="L62" s="45"/>
      <c r="M62" s="6"/>
    </row>
    <row r="63" spans="1:13" hidden="1" x14ac:dyDescent="0.25">
      <c r="A63" s="43">
        <v>19353523600643</v>
      </c>
      <c r="C63" s="74" t="s">
        <v>33</v>
      </c>
      <c r="D63" s="6" t="s">
        <v>2</v>
      </c>
      <c r="E63" s="7" t="s">
        <v>74</v>
      </c>
      <c r="F63" s="7"/>
      <c r="G63" s="6"/>
      <c r="H63" s="6"/>
      <c r="I63" s="8">
        <v>45997</v>
      </c>
      <c r="J63" s="6"/>
      <c r="K63" s="6"/>
      <c r="L63" s="45"/>
      <c r="M63" s="6"/>
    </row>
    <row r="64" spans="1:13" hidden="1" x14ac:dyDescent="0.25">
      <c r="A64" s="43">
        <v>19353523600649</v>
      </c>
      <c r="C64" s="74" t="s">
        <v>33</v>
      </c>
      <c r="D64" s="6" t="s">
        <v>2</v>
      </c>
      <c r="E64" s="7" t="s">
        <v>74</v>
      </c>
      <c r="F64" s="7"/>
      <c r="G64" s="6"/>
      <c r="H64" s="6"/>
      <c r="I64" s="8">
        <v>45997</v>
      </c>
      <c r="J64" s="6"/>
      <c r="K64" s="6"/>
      <c r="L64" s="45"/>
      <c r="M64" s="6"/>
    </row>
    <row r="65" spans="1:13" hidden="1" x14ac:dyDescent="0.25">
      <c r="A65" s="43">
        <v>20114522510250</v>
      </c>
      <c r="B65" s="48"/>
      <c r="C65" s="74" t="s">
        <v>34</v>
      </c>
      <c r="D65" s="6" t="s">
        <v>2</v>
      </c>
      <c r="E65" s="7" t="s">
        <v>74</v>
      </c>
      <c r="F65" s="47"/>
      <c r="I65" s="8">
        <v>45997</v>
      </c>
      <c r="L65" s="45"/>
      <c r="M65" s="6"/>
    </row>
    <row r="66" spans="1:13" hidden="1" x14ac:dyDescent="0.25">
      <c r="A66" s="43">
        <v>20114522519801</v>
      </c>
      <c r="B66" s="48"/>
      <c r="C66" s="74" t="s">
        <v>34</v>
      </c>
      <c r="D66" s="6" t="s">
        <v>2</v>
      </c>
      <c r="E66" s="7" t="s">
        <v>74</v>
      </c>
      <c r="F66" s="47"/>
      <c r="I66" s="8">
        <v>45997</v>
      </c>
      <c r="L66" s="45"/>
      <c r="M66" s="6"/>
    </row>
    <row r="67" spans="1:13" hidden="1" x14ac:dyDescent="0.25">
      <c r="A67" s="43">
        <v>20114522519866</v>
      </c>
      <c r="B67" s="48"/>
      <c r="C67" s="74" t="s">
        <v>34</v>
      </c>
      <c r="D67" s="6" t="s">
        <v>2</v>
      </c>
      <c r="E67" s="7" t="s">
        <v>74</v>
      </c>
      <c r="F67" s="47"/>
      <c r="I67" s="8">
        <v>45997</v>
      </c>
      <c r="L67" s="45"/>
      <c r="M67" s="6"/>
    </row>
    <row r="68" spans="1:13" hidden="1" x14ac:dyDescent="0.25">
      <c r="A68" s="43">
        <v>20114522519901</v>
      </c>
      <c r="B68" s="48"/>
      <c r="C68" s="74" t="s">
        <v>34</v>
      </c>
      <c r="D68" s="6" t="s">
        <v>2</v>
      </c>
      <c r="E68" s="7" t="s">
        <v>74</v>
      </c>
      <c r="F68" s="47"/>
      <c r="I68" s="8">
        <v>45997</v>
      </c>
      <c r="L68" s="45"/>
      <c r="M68" s="6"/>
    </row>
    <row r="69" spans="1:13" hidden="1" x14ac:dyDescent="0.25">
      <c r="A69" s="43">
        <v>20114522519954</v>
      </c>
      <c r="B69" s="48"/>
      <c r="C69" s="74" t="s">
        <v>34</v>
      </c>
      <c r="D69" s="6" t="s">
        <v>2</v>
      </c>
      <c r="E69" s="7" t="s">
        <v>74</v>
      </c>
      <c r="F69" s="47"/>
      <c r="I69" s="8">
        <v>45997</v>
      </c>
      <c r="L69" s="45"/>
      <c r="M69" s="6"/>
    </row>
    <row r="70" spans="1:13" hidden="1" x14ac:dyDescent="0.25">
      <c r="A70" s="43">
        <v>20114522519964</v>
      </c>
      <c r="B70" s="48"/>
      <c r="C70" s="74" t="s">
        <v>34</v>
      </c>
      <c r="D70" s="6" t="s">
        <v>2</v>
      </c>
      <c r="E70" s="7" t="s">
        <v>74</v>
      </c>
      <c r="F70" s="47"/>
      <c r="I70" s="8">
        <v>45997</v>
      </c>
      <c r="L70" s="45"/>
      <c r="M70" s="6"/>
    </row>
    <row r="71" spans="1:13" hidden="1" x14ac:dyDescent="0.25">
      <c r="A71" s="43">
        <v>20114522519987</v>
      </c>
      <c r="B71" s="48"/>
      <c r="C71" s="74" t="s">
        <v>34</v>
      </c>
      <c r="D71" s="6" t="s">
        <v>2</v>
      </c>
      <c r="E71" s="7" t="s">
        <v>74</v>
      </c>
      <c r="F71" s="47"/>
      <c r="I71" s="8">
        <v>45997</v>
      </c>
      <c r="L71" s="45"/>
      <c r="M71" s="6"/>
    </row>
    <row r="72" spans="1:13" hidden="1" x14ac:dyDescent="0.25">
      <c r="A72" s="43">
        <v>20114522520027</v>
      </c>
      <c r="B72" s="48"/>
      <c r="C72" s="74" t="s">
        <v>34</v>
      </c>
      <c r="D72" s="6" t="s">
        <v>2</v>
      </c>
      <c r="E72" s="7" t="s">
        <v>74</v>
      </c>
      <c r="F72" s="47"/>
      <c r="I72" s="8">
        <v>45997</v>
      </c>
      <c r="L72" s="45"/>
      <c r="M72" s="6"/>
    </row>
    <row r="73" spans="1:13" hidden="1" x14ac:dyDescent="0.25">
      <c r="A73" s="43">
        <v>20114523600355</v>
      </c>
      <c r="C73" s="74" t="s">
        <v>33</v>
      </c>
      <c r="D73" s="6" t="s">
        <v>2</v>
      </c>
      <c r="E73" s="7" t="s">
        <v>74</v>
      </c>
      <c r="F73" s="7"/>
      <c r="G73" s="6"/>
      <c r="H73" s="6"/>
      <c r="I73" s="8">
        <v>45997</v>
      </c>
      <c r="J73" s="6"/>
      <c r="K73" s="6"/>
      <c r="L73" s="45"/>
      <c r="M73" s="6"/>
    </row>
    <row r="74" spans="1:13" hidden="1" x14ac:dyDescent="0.25">
      <c r="A74" s="43">
        <v>20114523600384</v>
      </c>
      <c r="C74" s="74" t="s">
        <v>33</v>
      </c>
      <c r="D74" s="6" t="s">
        <v>2</v>
      </c>
      <c r="E74" s="7" t="s">
        <v>74</v>
      </c>
      <c r="F74" s="7"/>
      <c r="G74" s="6"/>
      <c r="H74" s="6"/>
      <c r="I74" s="8">
        <v>45997</v>
      </c>
      <c r="J74" s="6"/>
      <c r="K74" s="6"/>
      <c r="L74" s="45"/>
      <c r="M74" s="6"/>
    </row>
    <row r="75" spans="1:13" hidden="1" x14ac:dyDescent="0.25">
      <c r="A75" s="43">
        <v>20132523600135</v>
      </c>
      <c r="C75" s="74" t="s">
        <v>33</v>
      </c>
      <c r="D75" s="6" t="s">
        <v>2</v>
      </c>
      <c r="E75" s="7" t="s">
        <v>74</v>
      </c>
      <c r="F75" s="7"/>
      <c r="G75" s="6"/>
      <c r="H75" s="6"/>
      <c r="I75" s="8">
        <v>45997</v>
      </c>
      <c r="J75" s="6"/>
      <c r="K75" s="6"/>
      <c r="L75" s="45">
        <v>45997</v>
      </c>
      <c r="M75" s="6"/>
    </row>
    <row r="76" spans="1:13" hidden="1" x14ac:dyDescent="0.25">
      <c r="A76" s="43">
        <v>20132523600158</v>
      </c>
      <c r="C76" s="74" t="s">
        <v>33</v>
      </c>
      <c r="D76" s="6" t="s">
        <v>2</v>
      </c>
      <c r="E76" s="7" t="s">
        <v>74</v>
      </c>
      <c r="F76" s="7"/>
      <c r="G76" s="6"/>
      <c r="H76" s="6"/>
      <c r="I76" s="8">
        <v>45997</v>
      </c>
      <c r="J76" s="6"/>
      <c r="K76" s="6"/>
      <c r="L76" s="45">
        <v>45997</v>
      </c>
      <c r="M76" s="6"/>
    </row>
    <row r="77" spans="1:13" hidden="1" x14ac:dyDescent="0.25">
      <c r="A77" s="43">
        <v>21103523600462</v>
      </c>
      <c r="C77" s="73" t="s">
        <v>32</v>
      </c>
      <c r="D77" s="6" t="s">
        <v>2</v>
      </c>
      <c r="E77" s="7" t="s">
        <v>74</v>
      </c>
      <c r="F77" s="7"/>
      <c r="G77" s="6"/>
      <c r="H77" s="6"/>
      <c r="I77" s="8">
        <v>45997</v>
      </c>
      <c r="J77" s="6"/>
      <c r="K77" s="6"/>
      <c r="L77" s="45"/>
      <c r="M77" s="6"/>
    </row>
    <row r="78" spans="1:13" hidden="1" x14ac:dyDescent="0.25">
      <c r="A78" s="43">
        <v>21103523600473</v>
      </c>
      <c r="B78" t="s">
        <v>77</v>
      </c>
      <c r="C78" s="73" t="s">
        <v>32</v>
      </c>
      <c r="D78" s="6" t="s">
        <v>2</v>
      </c>
      <c r="E78" s="7" t="s">
        <v>74</v>
      </c>
      <c r="F78" s="7"/>
      <c r="G78" s="6"/>
      <c r="H78" s="6"/>
      <c r="I78" s="8">
        <v>45997</v>
      </c>
      <c r="J78" s="6"/>
      <c r="K78" s="6"/>
      <c r="L78" s="45"/>
      <c r="M78" s="6"/>
    </row>
    <row r="79" spans="1:13" hidden="1" x14ac:dyDescent="0.25">
      <c r="A79" s="43">
        <v>21103523600510</v>
      </c>
      <c r="C79" s="73" t="s">
        <v>32</v>
      </c>
      <c r="D79" s="6" t="s">
        <v>2</v>
      </c>
      <c r="E79" s="7" t="s">
        <v>74</v>
      </c>
      <c r="F79" s="7"/>
      <c r="G79" s="6"/>
      <c r="H79" s="6"/>
      <c r="I79" s="8">
        <v>45997</v>
      </c>
      <c r="J79" s="6"/>
      <c r="K79" s="6"/>
      <c r="L79" s="45"/>
      <c r="M79" s="6"/>
    </row>
    <row r="80" spans="1:13" hidden="1" x14ac:dyDescent="0.25">
      <c r="A80" s="43">
        <v>21103523600526</v>
      </c>
      <c r="B80" t="s">
        <v>78</v>
      </c>
      <c r="C80" s="73" t="s">
        <v>32</v>
      </c>
      <c r="D80" s="6" t="s">
        <v>2</v>
      </c>
      <c r="E80" s="7" t="s">
        <v>74</v>
      </c>
      <c r="F80" s="7"/>
      <c r="G80" s="6"/>
      <c r="H80" s="6"/>
      <c r="I80" s="8">
        <v>45997</v>
      </c>
      <c r="J80" s="6"/>
      <c r="K80" s="6"/>
      <c r="L80" s="45"/>
      <c r="M80" s="6"/>
    </row>
    <row r="81" spans="1:13" hidden="1" x14ac:dyDescent="0.25">
      <c r="A81" s="43">
        <v>21103523600562</v>
      </c>
      <c r="C81" s="73" t="s">
        <v>32</v>
      </c>
      <c r="D81" s="6" t="s">
        <v>2</v>
      </c>
      <c r="E81" s="7" t="s">
        <v>74</v>
      </c>
      <c r="F81" s="7"/>
      <c r="G81" s="6"/>
      <c r="H81" s="6"/>
      <c r="I81" s="8">
        <v>45997</v>
      </c>
      <c r="J81" s="6"/>
      <c r="K81" s="6"/>
      <c r="L81" s="45"/>
      <c r="M81" s="6"/>
    </row>
    <row r="82" spans="1:13" hidden="1" x14ac:dyDescent="0.25">
      <c r="A82" s="43">
        <v>21103523600564</v>
      </c>
      <c r="B82" t="s">
        <v>79</v>
      </c>
      <c r="C82" s="73" t="s">
        <v>32</v>
      </c>
      <c r="D82" s="6" t="s">
        <v>2</v>
      </c>
      <c r="E82" s="7" t="s">
        <v>74</v>
      </c>
      <c r="F82" s="7"/>
      <c r="G82" s="6"/>
      <c r="H82" s="6"/>
      <c r="I82" s="8">
        <v>45997</v>
      </c>
      <c r="J82" s="6"/>
      <c r="K82" s="6"/>
      <c r="L82" s="45"/>
      <c r="M82" s="6"/>
    </row>
    <row r="83" spans="1:13" hidden="1" x14ac:dyDescent="0.25">
      <c r="A83" s="43">
        <v>21103523600569</v>
      </c>
      <c r="B83" t="s">
        <v>80</v>
      </c>
      <c r="C83" s="73" t="s">
        <v>32</v>
      </c>
      <c r="D83" s="6" t="s">
        <v>2</v>
      </c>
      <c r="E83" s="7" t="s">
        <v>74</v>
      </c>
      <c r="F83" s="7"/>
      <c r="G83" s="6"/>
      <c r="H83" s="6"/>
      <c r="I83" s="8">
        <v>45997</v>
      </c>
      <c r="J83" s="6"/>
      <c r="K83" s="6"/>
      <c r="L83" s="45"/>
      <c r="M83" s="6"/>
    </row>
    <row r="84" spans="1:13" hidden="1" x14ac:dyDescent="0.25">
      <c r="A84" s="43">
        <v>21103523600624</v>
      </c>
      <c r="B84" t="s">
        <v>81</v>
      </c>
      <c r="C84" s="73" t="s">
        <v>32</v>
      </c>
      <c r="D84" s="6" t="s">
        <v>2</v>
      </c>
      <c r="E84" s="7" t="s">
        <v>74</v>
      </c>
      <c r="F84" s="7"/>
      <c r="G84" s="6"/>
      <c r="H84" s="6"/>
      <c r="I84" s="8">
        <v>45997</v>
      </c>
      <c r="J84" s="6"/>
      <c r="K84" s="6"/>
      <c r="L84" s="45"/>
      <c r="M84" s="6"/>
    </row>
    <row r="85" spans="1:13" hidden="1" x14ac:dyDescent="0.25">
      <c r="A85" s="43">
        <v>21103523600642</v>
      </c>
      <c r="B85" t="s">
        <v>82</v>
      </c>
      <c r="C85" s="73" t="s">
        <v>32</v>
      </c>
      <c r="D85" s="6" t="s">
        <v>2</v>
      </c>
      <c r="E85" s="7" t="s">
        <v>74</v>
      </c>
      <c r="F85" s="7"/>
      <c r="G85" s="6"/>
      <c r="H85" s="6"/>
      <c r="I85" s="8">
        <v>45997</v>
      </c>
      <c r="J85" s="6"/>
      <c r="K85" s="6"/>
      <c r="L85" s="45"/>
      <c r="M85" s="6"/>
    </row>
    <row r="86" spans="1:13" hidden="1" x14ac:dyDescent="0.25">
      <c r="A86" s="43">
        <v>21103523600666</v>
      </c>
      <c r="C86" s="73" t="s">
        <v>32</v>
      </c>
      <c r="D86" s="6" t="s">
        <v>2</v>
      </c>
      <c r="E86" s="7" t="s">
        <v>74</v>
      </c>
      <c r="F86" s="7"/>
      <c r="G86" s="6"/>
      <c r="H86" s="6"/>
      <c r="I86" s="8">
        <v>45997</v>
      </c>
      <c r="J86" s="6"/>
      <c r="K86" s="6"/>
      <c r="L86" s="45"/>
      <c r="M86" s="6"/>
    </row>
    <row r="87" spans="1:13" hidden="1" x14ac:dyDescent="0.25">
      <c r="A87" s="43">
        <v>21103523600673</v>
      </c>
      <c r="B87" t="s">
        <v>83</v>
      </c>
      <c r="C87" s="73" t="s">
        <v>32</v>
      </c>
      <c r="D87" s="6" t="s">
        <v>2</v>
      </c>
      <c r="E87" s="7" t="s">
        <v>74</v>
      </c>
      <c r="F87" s="7"/>
      <c r="G87" s="6"/>
      <c r="H87" s="6"/>
      <c r="I87" s="8">
        <v>45997</v>
      </c>
      <c r="J87" s="6"/>
      <c r="K87" s="6"/>
      <c r="L87" s="45"/>
      <c r="M87" s="6"/>
    </row>
    <row r="88" spans="1:13" hidden="1" x14ac:dyDescent="0.25">
      <c r="A88" s="43">
        <v>21103523600714</v>
      </c>
      <c r="B88" t="s">
        <v>84</v>
      </c>
      <c r="C88" s="73" t="s">
        <v>32</v>
      </c>
      <c r="D88" s="6" t="s">
        <v>2</v>
      </c>
      <c r="E88" s="7" t="s">
        <v>74</v>
      </c>
      <c r="F88" s="7"/>
      <c r="G88" s="6"/>
      <c r="H88" s="6"/>
      <c r="I88" s="8">
        <v>45997</v>
      </c>
      <c r="J88" s="6"/>
      <c r="K88" s="6"/>
      <c r="L88" s="45"/>
      <c r="M88" s="6"/>
    </row>
    <row r="89" spans="1:13" hidden="1" x14ac:dyDescent="0.25">
      <c r="A89" s="43">
        <v>21103523600742</v>
      </c>
      <c r="B89" t="s">
        <v>85</v>
      </c>
      <c r="C89" s="73" t="s">
        <v>32</v>
      </c>
      <c r="D89" s="6" t="s">
        <v>2</v>
      </c>
      <c r="E89" s="7" t="s">
        <v>74</v>
      </c>
      <c r="F89" s="7"/>
      <c r="G89" s="6"/>
      <c r="H89" s="6"/>
      <c r="I89" s="8">
        <v>45997</v>
      </c>
      <c r="J89" s="6"/>
      <c r="K89" s="6"/>
      <c r="L89" s="45"/>
      <c r="M89" s="6"/>
    </row>
    <row r="90" spans="1:13" hidden="1" x14ac:dyDescent="0.25">
      <c r="A90" s="43">
        <v>21103523600746</v>
      </c>
      <c r="B90" t="s">
        <v>86</v>
      </c>
      <c r="C90" s="73" t="s">
        <v>32</v>
      </c>
      <c r="D90" s="6" t="s">
        <v>2</v>
      </c>
      <c r="E90" s="7" t="s">
        <v>74</v>
      </c>
      <c r="F90" s="7"/>
      <c r="G90" s="6"/>
      <c r="H90" s="6"/>
      <c r="I90" s="8">
        <v>45997</v>
      </c>
      <c r="J90" s="6"/>
      <c r="K90" s="6"/>
      <c r="L90" s="45"/>
      <c r="M90" s="6"/>
    </row>
    <row r="91" spans="1:13" hidden="1" x14ac:dyDescent="0.25">
      <c r="A91" s="43">
        <v>21103523600788</v>
      </c>
      <c r="B91" t="s">
        <v>87</v>
      </c>
      <c r="C91" s="73" t="s">
        <v>32</v>
      </c>
      <c r="D91" s="6" t="s">
        <v>2</v>
      </c>
      <c r="E91" s="7" t="s">
        <v>74</v>
      </c>
      <c r="F91" s="7"/>
      <c r="G91" s="6"/>
      <c r="H91" s="6"/>
      <c r="I91" s="8">
        <v>45997</v>
      </c>
      <c r="J91" s="6"/>
      <c r="K91" s="6"/>
      <c r="L91" s="45"/>
      <c r="M91" s="6"/>
    </row>
    <row r="92" spans="1:13" hidden="1" x14ac:dyDescent="0.25">
      <c r="A92" s="43">
        <v>21103523600809</v>
      </c>
      <c r="B92" t="s">
        <v>88</v>
      </c>
      <c r="C92" s="73" t="s">
        <v>32</v>
      </c>
      <c r="D92" s="6" t="s">
        <v>2</v>
      </c>
      <c r="E92" s="7" t="s">
        <v>74</v>
      </c>
      <c r="F92" s="7"/>
      <c r="G92" s="6"/>
      <c r="H92" s="6"/>
      <c r="I92" s="8">
        <v>45997</v>
      </c>
      <c r="J92" s="6"/>
      <c r="K92" s="6"/>
      <c r="L92" s="45"/>
      <c r="M92" s="6"/>
    </row>
    <row r="93" spans="1:13" hidden="1" x14ac:dyDescent="0.25">
      <c r="A93" s="43">
        <v>21103523600846</v>
      </c>
      <c r="B93" t="s">
        <v>89</v>
      </c>
      <c r="C93" s="73" t="s">
        <v>32</v>
      </c>
      <c r="D93" s="6" t="s">
        <v>2</v>
      </c>
      <c r="E93" s="7" t="s">
        <v>74</v>
      </c>
      <c r="F93" s="7"/>
      <c r="G93" s="6"/>
      <c r="H93" s="6"/>
      <c r="I93" s="8">
        <v>45997</v>
      </c>
      <c r="J93" s="6"/>
      <c r="K93" s="6"/>
      <c r="L93" s="45"/>
      <c r="M93" s="6"/>
    </row>
    <row r="94" spans="1:13" hidden="1" x14ac:dyDescent="0.25">
      <c r="A94" s="43">
        <v>21103523600847</v>
      </c>
      <c r="C94" s="73" t="s">
        <v>32</v>
      </c>
      <c r="D94" s="6" t="s">
        <v>2</v>
      </c>
      <c r="E94" s="7" t="s">
        <v>74</v>
      </c>
      <c r="F94" s="7"/>
      <c r="G94" s="6"/>
      <c r="H94" s="6"/>
      <c r="I94" s="8">
        <v>45997</v>
      </c>
      <c r="J94" s="6"/>
      <c r="K94" s="6"/>
      <c r="L94" s="45"/>
      <c r="M94" s="6"/>
    </row>
    <row r="95" spans="1:13" hidden="1" x14ac:dyDescent="0.25">
      <c r="A95" s="43">
        <v>21103523600862</v>
      </c>
      <c r="C95" s="73" t="s">
        <v>32</v>
      </c>
      <c r="D95" s="6" t="s">
        <v>2</v>
      </c>
      <c r="E95" s="7" t="s">
        <v>74</v>
      </c>
      <c r="F95" s="7"/>
      <c r="G95" s="6"/>
      <c r="H95" s="6"/>
      <c r="I95" s="8">
        <v>45997</v>
      </c>
      <c r="J95" s="6"/>
      <c r="K95" s="6"/>
      <c r="L95" s="45"/>
      <c r="M95" s="6"/>
    </row>
    <row r="96" spans="1:13" hidden="1" x14ac:dyDescent="0.25">
      <c r="A96" s="43">
        <v>21103523600931</v>
      </c>
      <c r="B96" t="s">
        <v>90</v>
      </c>
      <c r="C96" s="73" t="s">
        <v>32</v>
      </c>
      <c r="D96" s="6" t="s">
        <v>2</v>
      </c>
      <c r="E96" s="7" t="s">
        <v>74</v>
      </c>
      <c r="F96" s="7"/>
      <c r="G96" s="6"/>
      <c r="H96" s="6"/>
      <c r="I96" s="8">
        <v>45997</v>
      </c>
      <c r="J96" s="6"/>
      <c r="K96" s="6"/>
      <c r="L96" s="45"/>
      <c r="M96" s="6"/>
    </row>
    <row r="97" spans="1:13" hidden="1" x14ac:dyDescent="0.25">
      <c r="A97" s="43">
        <v>21103523600967</v>
      </c>
      <c r="B97" t="s">
        <v>91</v>
      </c>
      <c r="C97" s="73" t="s">
        <v>32</v>
      </c>
      <c r="D97" s="6" t="s">
        <v>2</v>
      </c>
      <c r="E97" s="7" t="s">
        <v>74</v>
      </c>
      <c r="F97" s="7"/>
      <c r="G97" s="6"/>
      <c r="H97" s="6"/>
      <c r="I97" s="8">
        <v>45997</v>
      </c>
      <c r="J97" s="6"/>
      <c r="K97" s="6"/>
      <c r="L97" s="45"/>
      <c r="M97" s="6"/>
    </row>
    <row r="98" spans="1:13" hidden="1" x14ac:dyDescent="0.25">
      <c r="A98" s="43">
        <v>21103523600986</v>
      </c>
      <c r="B98" t="s">
        <v>92</v>
      </c>
      <c r="C98" s="73" t="s">
        <v>32</v>
      </c>
      <c r="D98" s="6" t="s">
        <v>2</v>
      </c>
      <c r="E98" s="7" t="s">
        <v>74</v>
      </c>
      <c r="F98" s="7"/>
      <c r="G98" s="6"/>
      <c r="H98" s="6"/>
      <c r="I98" s="8">
        <v>45997</v>
      </c>
      <c r="J98" s="6"/>
      <c r="K98" s="6"/>
      <c r="L98" s="45"/>
      <c r="M98" s="6"/>
    </row>
    <row r="99" spans="1:13" hidden="1" x14ac:dyDescent="0.25">
      <c r="A99" s="43">
        <v>21103523600992</v>
      </c>
      <c r="C99" s="73" t="s">
        <v>32</v>
      </c>
      <c r="D99" s="6" t="s">
        <v>2</v>
      </c>
      <c r="E99" s="7" t="s">
        <v>74</v>
      </c>
      <c r="F99" s="7"/>
      <c r="G99" s="6"/>
      <c r="H99" s="6"/>
      <c r="I99" s="8">
        <v>45997</v>
      </c>
      <c r="J99" s="6"/>
      <c r="K99" s="6"/>
      <c r="L99" s="45"/>
      <c r="M99" s="6"/>
    </row>
    <row r="100" spans="1:13" hidden="1" x14ac:dyDescent="0.25">
      <c r="A100" s="43">
        <v>21103523600995</v>
      </c>
      <c r="C100" s="73" t="s">
        <v>32</v>
      </c>
      <c r="D100" s="6" t="s">
        <v>2</v>
      </c>
      <c r="E100" s="7" t="s">
        <v>74</v>
      </c>
      <c r="F100" s="7"/>
      <c r="G100" s="6"/>
      <c r="H100" s="6"/>
      <c r="I100" s="8">
        <v>45997</v>
      </c>
      <c r="J100" s="6"/>
      <c r="K100" s="6"/>
      <c r="L100" s="45"/>
      <c r="M100" s="6"/>
    </row>
    <row r="101" spans="1:13" hidden="1" x14ac:dyDescent="0.25">
      <c r="A101" s="43">
        <v>21103523601018</v>
      </c>
      <c r="B101" t="s">
        <v>93</v>
      </c>
      <c r="C101" s="73" t="s">
        <v>32</v>
      </c>
      <c r="D101" s="6" t="s">
        <v>2</v>
      </c>
      <c r="E101" s="7" t="s">
        <v>74</v>
      </c>
      <c r="F101" s="7"/>
      <c r="G101" s="6"/>
      <c r="H101" s="6"/>
      <c r="I101" s="8">
        <v>45997</v>
      </c>
      <c r="J101" s="6"/>
      <c r="K101" s="6"/>
      <c r="L101" s="45"/>
      <c r="M101" s="6"/>
    </row>
    <row r="102" spans="1:13" hidden="1" x14ac:dyDescent="0.25">
      <c r="A102" s="43">
        <v>21103523601019</v>
      </c>
      <c r="C102" s="73" t="s">
        <v>32</v>
      </c>
      <c r="D102" s="6" t="s">
        <v>2</v>
      </c>
      <c r="E102" s="7" t="s">
        <v>74</v>
      </c>
      <c r="F102" s="7"/>
      <c r="G102" s="6"/>
      <c r="H102" s="6"/>
      <c r="I102" s="8">
        <v>45997</v>
      </c>
      <c r="J102" s="6"/>
      <c r="K102" s="6"/>
      <c r="L102" s="45"/>
      <c r="M102" s="6"/>
    </row>
    <row r="103" spans="1:13" hidden="1" x14ac:dyDescent="0.25">
      <c r="A103" s="43">
        <v>21112523600223</v>
      </c>
      <c r="C103" s="73" t="s">
        <v>32</v>
      </c>
      <c r="D103" s="6" t="s">
        <v>2</v>
      </c>
      <c r="E103" s="7" t="s">
        <v>74</v>
      </c>
      <c r="F103" s="7"/>
      <c r="G103" s="6"/>
      <c r="H103" s="6"/>
      <c r="I103" s="8">
        <v>45997</v>
      </c>
      <c r="J103" s="6"/>
      <c r="K103" s="6"/>
      <c r="L103" s="45"/>
      <c r="M103" s="6"/>
    </row>
    <row r="104" spans="1:13" hidden="1" x14ac:dyDescent="0.25">
      <c r="A104" s="43">
        <v>21112523600381</v>
      </c>
      <c r="B104" t="s">
        <v>94</v>
      </c>
      <c r="C104" s="73" t="s">
        <v>32</v>
      </c>
      <c r="D104" s="6" t="s">
        <v>2</v>
      </c>
      <c r="E104" s="7" t="s">
        <v>74</v>
      </c>
      <c r="F104" s="7"/>
      <c r="G104" s="6"/>
      <c r="H104" s="6"/>
      <c r="I104" s="8">
        <v>45997</v>
      </c>
      <c r="J104" s="6"/>
      <c r="K104" s="6"/>
      <c r="L104" s="45"/>
      <c r="M104" s="6"/>
    </row>
    <row r="105" spans="1:13" hidden="1" x14ac:dyDescent="0.25">
      <c r="A105" s="43">
        <v>21112523600612</v>
      </c>
      <c r="B105" t="s">
        <v>95</v>
      </c>
      <c r="C105" s="73" t="s">
        <v>32</v>
      </c>
      <c r="D105" s="6" t="s">
        <v>2</v>
      </c>
      <c r="E105" s="7" t="s">
        <v>74</v>
      </c>
      <c r="F105" s="7"/>
      <c r="G105" s="6"/>
      <c r="H105" s="6"/>
      <c r="I105" s="8">
        <v>45997</v>
      </c>
      <c r="J105" s="6"/>
      <c r="K105" s="6"/>
      <c r="L105" s="45"/>
      <c r="M105" s="6"/>
    </row>
    <row r="106" spans="1:13" hidden="1" x14ac:dyDescent="0.25">
      <c r="A106" s="43">
        <v>21112523600726</v>
      </c>
      <c r="B106" t="s">
        <v>96</v>
      </c>
      <c r="C106" s="73" t="s">
        <v>32</v>
      </c>
      <c r="D106" s="6" t="s">
        <v>2</v>
      </c>
      <c r="E106" s="7" t="s">
        <v>74</v>
      </c>
      <c r="F106" s="7"/>
      <c r="G106" s="6"/>
      <c r="H106" s="6"/>
      <c r="I106" s="8">
        <v>45997</v>
      </c>
      <c r="J106" s="6"/>
      <c r="K106" s="6"/>
      <c r="L106" s="45"/>
      <c r="M106" s="6"/>
    </row>
    <row r="107" spans="1:13" hidden="1" x14ac:dyDescent="0.25">
      <c r="A107" s="43">
        <v>21112523600869</v>
      </c>
      <c r="B107" t="s">
        <v>97</v>
      </c>
      <c r="C107" s="73" t="s">
        <v>32</v>
      </c>
      <c r="D107" s="6" t="s">
        <v>2</v>
      </c>
      <c r="E107" s="7" t="s">
        <v>74</v>
      </c>
      <c r="F107" s="7"/>
      <c r="G107" s="6"/>
      <c r="H107" s="6"/>
      <c r="I107" s="8">
        <v>45997</v>
      </c>
      <c r="J107" s="6"/>
      <c r="K107" s="6"/>
      <c r="L107" s="45"/>
      <c r="M107" s="6"/>
    </row>
    <row r="108" spans="1:13" hidden="1" x14ac:dyDescent="0.25">
      <c r="A108" s="43">
        <v>21112523600873</v>
      </c>
      <c r="B108" s="53" t="s">
        <v>98</v>
      </c>
      <c r="C108" s="73" t="s">
        <v>32</v>
      </c>
      <c r="D108" s="6" t="s">
        <v>2</v>
      </c>
      <c r="E108" s="7" t="s">
        <v>74</v>
      </c>
      <c r="F108" s="7"/>
      <c r="G108" s="6"/>
      <c r="H108" s="6"/>
      <c r="I108" s="8">
        <v>45997</v>
      </c>
      <c r="J108" s="6"/>
      <c r="K108" s="6"/>
      <c r="L108" s="45"/>
      <c r="M108" s="6"/>
    </row>
    <row r="109" spans="1:13" hidden="1" x14ac:dyDescent="0.25">
      <c r="A109" s="43">
        <v>21112523601141</v>
      </c>
      <c r="C109" s="73" t="s">
        <v>32</v>
      </c>
      <c r="D109" s="6" t="s">
        <v>2</v>
      </c>
      <c r="E109" s="7" t="s">
        <v>74</v>
      </c>
      <c r="F109" s="7"/>
      <c r="G109" s="6"/>
      <c r="H109" s="6"/>
      <c r="I109" s="8">
        <v>45997</v>
      </c>
      <c r="J109" s="6"/>
      <c r="K109" s="6"/>
      <c r="L109" s="45"/>
      <c r="M109" s="6"/>
    </row>
    <row r="110" spans="1:13" hidden="1" x14ac:dyDescent="0.25">
      <c r="A110" s="43">
        <v>21112523601232</v>
      </c>
      <c r="B110" t="s">
        <v>99</v>
      </c>
      <c r="C110" s="73" t="s">
        <v>32</v>
      </c>
      <c r="D110" s="6" t="s">
        <v>2</v>
      </c>
      <c r="E110" s="7" t="s">
        <v>74</v>
      </c>
      <c r="F110" s="7"/>
      <c r="G110" s="6"/>
      <c r="H110" s="6"/>
      <c r="I110" s="8">
        <v>45997</v>
      </c>
      <c r="J110" s="6"/>
      <c r="K110" s="6"/>
      <c r="L110" s="45"/>
      <c r="M110" s="6"/>
    </row>
    <row r="111" spans="1:13" hidden="1" x14ac:dyDescent="0.25">
      <c r="A111" s="43">
        <v>21112523601376</v>
      </c>
      <c r="C111" s="73" t="s">
        <v>32</v>
      </c>
      <c r="D111" s="6" t="s">
        <v>2</v>
      </c>
      <c r="E111" s="7" t="s">
        <v>74</v>
      </c>
      <c r="F111" s="7"/>
      <c r="G111" s="6"/>
      <c r="H111" s="6"/>
      <c r="I111" s="8">
        <v>45997</v>
      </c>
      <c r="J111" s="6"/>
      <c r="K111" s="6"/>
      <c r="L111" s="45"/>
      <c r="M111" s="6"/>
    </row>
    <row r="112" spans="1:13" hidden="1" x14ac:dyDescent="0.25">
      <c r="A112" s="43">
        <v>21123523600563</v>
      </c>
      <c r="B112" t="s">
        <v>100</v>
      </c>
      <c r="C112" s="73" t="s">
        <v>32</v>
      </c>
      <c r="D112" s="6" t="s">
        <v>2</v>
      </c>
      <c r="E112" s="7" t="s">
        <v>74</v>
      </c>
      <c r="F112" s="7"/>
      <c r="G112" s="6"/>
      <c r="H112" s="6"/>
      <c r="I112" s="8">
        <v>45997</v>
      </c>
      <c r="J112" s="6"/>
      <c r="K112" s="6"/>
      <c r="L112" s="45"/>
      <c r="M112" s="6"/>
    </row>
    <row r="113" spans="1:13" hidden="1" x14ac:dyDescent="0.25">
      <c r="A113" s="43">
        <v>21195523600007</v>
      </c>
      <c r="C113" s="74" t="s">
        <v>33</v>
      </c>
      <c r="D113" s="6" t="s">
        <v>2</v>
      </c>
      <c r="E113" s="7" t="s">
        <v>74</v>
      </c>
      <c r="F113" s="7"/>
      <c r="G113" s="6"/>
      <c r="H113" s="6"/>
      <c r="I113" s="8">
        <v>45997</v>
      </c>
      <c r="J113" s="6"/>
      <c r="K113" s="6"/>
      <c r="L113" s="45"/>
      <c r="M113" s="6"/>
    </row>
    <row r="114" spans="1:13" hidden="1" x14ac:dyDescent="0.25">
      <c r="A114" s="43">
        <v>21195523600008</v>
      </c>
      <c r="C114" s="74" t="s">
        <v>33</v>
      </c>
      <c r="D114" s="6" t="s">
        <v>2</v>
      </c>
      <c r="E114" s="7" t="s">
        <v>74</v>
      </c>
      <c r="F114" s="7"/>
      <c r="G114" s="6"/>
      <c r="H114" s="6"/>
      <c r="I114" s="8">
        <v>45997</v>
      </c>
      <c r="J114" s="6"/>
      <c r="K114" s="6"/>
      <c r="L114" s="45"/>
      <c r="M114" s="6"/>
    </row>
    <row r="115" spans="1:13" hidden="1" x14ac:dyDescent="0.25">
      <c r="A115" s="43">
        <v>21195523600018</v>
      </c>
      <c r="B115" s="40"/>
      <c r="C115" s="74" t="s">
        <v>33</v>
      </c>
      <c r="D115" s="6" t="s">
        <v>2</v>
      </c>
      <c r="E115" s="7" t="s">
        <v>74</v>
      </c>
      <c r="F115" s="7"/>
      <c r="G115" s="6"/>
      <c r="H115" s="6"/>
      <c r="I115" s="8">
        <v>45997</v>
      </c>
      <c r="J115" s="6"/>
      <c r="K115" s="6"/>
      <c r="L115" s="45"/>
      <c r="M115" s="6"/>
    </row>
    <row r="116" spans="1:13" hidden="1" x14ac:dyDescent="0.25">
      <c r="A116" s="43">
        <v>21195523600030</v>
      </c>
      <c r="C116" s="74" t="s">
        <v>33</v>
      </c>
      <c r="D116" s="6" t="s">
        <v>2</v>
      </c>
      <c r="E116" s="7" t="s">
        <v>74</v>
      </c>
      <c r="F116" s="7"/>
      <c r="G116" s="6"/>
      <c r="H116" s="6"/>
      <c r="I116" s="8">
        <v>45997</v>
      </c>
      <c r="J116" s="6"/>
      <c r="K116" s="6"/>
      <c r="L116" s="45">
        <v>45997</v>
      </c>
      <c r="M116" s="6"/>
    </row>
    <row r="117" spans="1:13" hidden="1" x14ac:dyDescent="0.25">
      <c r="A117" s="43">
        <v>21195523600081</v>
      </c>
      <c r="B117" s="40"/>
      <c r="C117" s="74" t="s">
        <v>33</v>
      </c>
      <c r="D117" s="6" t="s">
        <v>2</v>
      </c>
      <c r="E117" s="7" t="s">
        <v>74</v>
      </c>
      <c r="F117" s="7"/>
      <c r="G117" s="6"/>
      <c r="H117" s="6"/>
      <c r="I117" s="8">
        <v>45997</v>
      </c>
      <c r="J117" s="6"/>
      <c r="K117" s="6"/>
      <c r="L117" s="45"/>
      <c r="M117" s="6"/>
    </row>
    <row r="118" spans="1:13" hidden="1" x14ac:dyDescent="0.25">
      <c r="A118" s="43">
        <v>21196524200351</v>
      </c>
      <c r="B118" s="48"/>
      <c r="C118" s="74" t="s">
        <v>34</v>
      </c>
      <c r="D118" s="6" t="s">
        <v>2</v>
      </c>
      <c r="E118" s="7" t="s">
        <v>74</v>
      </c>
      <c r="F118" s="47"/>
      <c r="I118" s="8">
        <v>45997</v>
      </c>
      <c r="L118" s="45"/>
      <c r="M118" s="6"/>
    </row>
    <row r="119" spans="1:13" hidden="1" x14ac:dyDescent="0.25">
      <c r="A119" s="43">
        <v>21196524200367</v>
      </c>
      <c r="B119" s="48"/>
      <c r="C119" s="74" t="s">
        <v>34</v>
      </c>
      <c r="D119" s="6" t="s">
        <v>2</v>
      </c>
      <c r="E119" s="7" t="s">
        <v>74</v>
      </c>
      <c r="F119" s="47"/>
      <c r="I119" s="8">
        <v>45997</v>
      </c>
      <c r="L119" s="45"/>
      <c r="M119" s="6"/>
    </row>
    <row r="120" spans="1:13" hidden="1" x14ac:dyDescent="0.25">
      <c r="A120" s="43">
        <v>21196524200414</v>
      </c>
      <c r="B120" s="48"/>
      <c r="C120" s="74" t="s">
        <v>34</v>
      </c>
      <c r="D120" s="6" t="s">
        <v>2</v>
      </c>
      <c r="E120" s="7" t="s">
        <v>74</v>
      </c>
      <c r="F120" s="47"/>
      <c r="I120" s="8">
        <v>45997</v>
      </c>
      <c r="L120" s="45"/>
      <c r="M120" s="6"/>
    </row>
    <row r="121" spans="1:13" hidden="1" x14ac:dyDescent="0.25">
      <c r="A121" s="43">
        <v>21196524200425</v>
      </c>
      <c r="B121" s="48"/>
      <c r="C121" s="74" t="s">
        <v>34</v>
      </c>
      <c r="D121" s="6" t="s">
        <v>2</v>
      </c>
      <c r="E121" s="7" t="s">
        <v>74</v>
      </c>
      <c r="F121" s="47"/>
      <c r="I121" s="8">
        <v>45997</v>
      </c>
      <c r="L121" s="45"/>
      <c r="M121" s="6"/>
    </row>
    <row r="122" spans="1:13" hidden="1" x14ac:dyDescent="0.25">
      <c r="A122" s="43">
        <v>21196524200465</v>
      </c>
      <c r="B122" s="48"/>
      <c r="C122" s="74" t="s">
        <v>34</v>
      </c>
      <c r="D122" s="6" t="s">
        <v>2</v>
      </c>
      <c r="E122" s="7" t="s">
        <v>74</v>
      </c>
      <c r="F122" s="47"/>
      <c r="I122" s="8">
        <v>45997</v>
      </c>
      <c r="L122" s="45"/>
      <c r="M122" s="6"/>
    </row>
    <row r="123" spans="1:13" hidden="1" x14ac:dyDescent="0.25">
      <c r="A123" s="43">
        <v>21196524200496</v>
      </c>
      <c r="B123" s="48"/>
      <c r="C123" s="74" t="s">
        <v>34</v>
      </c>
      <c r="D123" s="6" t="s">
        <v>2</v>
      </c>
      <c r="E123" s="7" t="s">
        <v>74</v>
      </c>
      <c r="F123" s="47"/>
      <c r="I123" s="8">
        <v>45997</v>
      </c>
      <c r="L123" s="45"/>
      <c r="M123" s="6"/>
    </row>
    <row r="124" spans="1:13" hidden="1" x14ac:dyDescent="0.25">
      <c r="A124" s="43">
        <v>21200523600951</v>
      </c>
      <c r="B124" s="42"/>
      <c r="C124" s="74" t="s">
        <v>33</v>
      </c>
      <c r="D124" s="6" t="s">
        <v>2</v>
      </c>
      <c r="E124" s="47" t="s">
        <v>74</v>
      </c>
      <c r="F124" s="47"/>
      <c r="I124" s="8">
        <v>45997</v>
      </c>
      <c r="L124" s="45"/>
      <c r="M124" s="6"/>
    </row>
    <row r="125" spans="1:13" hidden="1" x14ac:dyDescent="0.25">
      <c r="A125" s="43">
        <v>21200523600972</v>
      </c>
      <c r="B125" s="42"/>
      <c r="C125" s="74" t="s">
        <v>33</v>
      </c>
      <c r="D125" s="6" t="s">
        <v>2</v>
      </c>
      <c r="E125" s="47" t="s">
        <v>74</v>
      </c>
      <c r="F125" s="47"/>
      <c r="I125" s="8">
        <v>45997</v>
      </c>
      <c r="L125" s="45"/>
      <c r="M125" s="6"/>
    </row>
    <row r="126" spans="1:13" hidden="1" x14ac:dyDescent="0.25">
      <c r="A126" s="43">
        <v>21207524200538</v>
      </c>
      <c r="B126" s="48"/>
      <c r="C126" s="74" t="s">
        <v>34</v>
      </c>
      <c r="D126" s="6" t="s">
        <v>2</v>
      </c>
      <c r="E126" s="7" t="s">
        <v>74</v>
      </c>
      <c r="F126" s="47"/>
      <c r="I126" s="8">
        <v>45997</v>
      </c>
      <c r="L126" s="45"/>
      <c r="M126" s="6"/>
    </row>
    <row r="127" spans="1:13" hidden="1" x14ac:dyDescent="0.25">
      <c r="A127" s="43">
        <v>21207524200572</v>
      </c>
      <c r="B127" s="48"/>
      <c r="C127" s="74" t="s">
        <v>34</v>
      </c>
      <c r="D127" s="6" t="s">
        <v>2</v>
      </c>
      <c r="E127" s="7" t="s">
        <v>74</v>
      </c>
      <c r="F127" s="47"/>
      <c r="I127" s="8">
        <v>45997</v>
      </c>
      <c r="L127" s="45"/>
      <c r="M127" s="6"/>
    </row>
    <row r="128" spans="1:13" hidden="1" x14ac:dyDescent="0.25">
      <c r="A128" s="43">
        <v>21207524200573</v>
      </c>
      <c r="B128" s="48"/>
      <c r="C128" s="74" t="s">
        <v>34</v>
      </c>
      <c r="D128" s="6" t="s">
        <v>2</v>
      </c>
      <c r="E128" s="7" t="s">
        <v>76</v>
      </c>
      <c r="F128" s="47" t="s">
        <v>101</v>
      </c>
      <c r="H128" t="s">
        <v>102</v>
      </c>
      <c r="I128" s="61">
        <v>45497</v>
      </c>
      <c r="K128" t="s">
        <v>103</v>
      </c>
      <c r="L128" s="45"/>
      <c r="M128" s="6"/>
    </row>
    <row r="129" spans="1:13" hidden="1" x14ac:dyDescent="0.25">
      <c r="A129" s="43">
        <v>21207524200576</v>
      </c>
      <c r="B129" s="48"/>
      <c r="C129" s="74" t="s">
        <v>34</v>
      </c>
      <c r="D129" s="6" t="s">
        <v>2</v>
      </c>
      <c r="E129" s="7" t="s">
        <v>74</v>
      </c>
      <c r="F129" s="47"/>
      <c r="I129" s="8">
        <v>45997</v>
      </c>
      <c r="L129" s="45"/>
      <c r="M129" s="6"/>
    </row>
    <row r="130" spans="1:13" hidden="1" x14ac:dyDescent="0.25">
      <c r="A130" s="43">
        <v>21207524200586</v>
      </c>
      <c r="B130" s="48"/>
      <c r="C130" s="74" t="s">
        <v>34</v>
      </c>
      <c r="D130" s="6" t="s">
        <v>2</v>
      </c>
      <c r="E130" s="7" t="s">
        <v>74</v>
      </c>
      <c r="F130" s="47"/>
      <c r="I130" s="8">
        <v>45997</v>
      </c>
      <c r="L130" s="45"/>
      <c r="M130" s="6"/>
    </row>
    <row r="131" spans="1:13" hidden="1" x14ac:dyDescent="0.25">
      <c r="A131" s="43">
        <v>21207524200593</v>
      </c>
      <c r="B131" s="48"/>
      <c r="C131" s="74" t="s">
        <v>34</v>
      </c>
      <c r="D131" s="6" t="s">
        <v>2</v>
      </c>
      <c r="E131" s="7" t="s">
        <v>74</v>
      </c>
      <c r="F131" s="47"/>
      <c r="I131" s="8">
        <v>45997</v>
      </c>
      <c r="L131" s="45"/>
      <c r="M131" s="6"/>
    </row>
    <row r="132" spans="1:13" hidden="1" x14ac:dyDescent="0.25">
      <c r="A132" s="43">
        <v>21207524200631</v>
      </c>
      <c r="B132" s="48"/>
      <c r="C132" s="74" t="s">
        <v>34</v>
      </c>
      <c r="D132" s="6" t="s">
        <v>2</v>
      </c>
      <c r="E132" s="7" t="s">
        <v>74</v>
      </c>
      <c r="F132" s="47"/>
      <c r="I132" s="8">
        <v>45997</v>
      </c>
      <c r="L132" s="45"/>
      <c r="M132" s="6"/>
    </row>
    <row r="133" spans="1:13" hidden="1" x14ac:dyDescent="0.25">
      <c r="A133" s="43">
        <v>21207524200649</v>
      </c>
      <c r="B133" s="48"/>
      <c r="C133" s="74" t="s">
        <v>34</v>
      </c>
      <c r="D133" s="6" t="s">
        <v>2</v>
      </c>
      <c r="E133" s="7" t="s">
        <v>74</v>
      </c>
      <c r="F133" s="47"/>
      <c r="I133" s="8">
        <v>45997</v>
      </c>
      <c r="L133" s="45"/>
      <c r="M133" s="6"/>
    </row>
    <row r="134" spans="1:13" hidden="1" x14ac:dyDescent="0.25">
      <c r="A134" s="43">
        <v>21207524200654</v>
      </c>
      <c r="B134" s="48"/>
      <c r="C134" s="74" t="s">
        <v>34</v>
      </c>
      <c r="D134" s="6" t="s">
        <v>2</v>
      </c>
      <c r="E134" s="7" t="s">
        <v>74</v>
      </c>
      <c r="F134" s="47"/>
      <c r="I134" s="8">
        <v>45997</v>
      </c>
      <c r="L134" s="45"/>
      <c r="M134" s="6"/>
    </row>
    <row r="135" spans="1:13" hidden="1" x14ac:dyDescent="0.25">
      <c r="A135" s="43">
        <v>21207524200664</v>
      </c>
      <c r="B135" s="48"/>
      <c r="C135" s="74" t="s">
        <v>34</v>
      </c>
      <c r="D135" s="6" t="s">
        <v>2</v>
      </c>
      <c r="E135" s="7" t="s">
        <v>74</v>
      </c>
      <c r="F135" s="47"/>
      <c r="I135" s="8">
        <v>45997</v>
      </c>
      <c r="L135" s="45"/>
      <c r="M135" s="6"/>
    </row>
    <row r="136" spans="1:13" hidden="1" x14ac:dyDescent="0.25">
      <c r="A136" s="43">
        <v>21207524200665</v>
      </c>
      <c r="B136" s="48"/>
      <c r="C136" s="74" t="s">
        <v>34</v>
      </c>
      <c r="D136" s="6" t="s">
        <v>2</v>
      </c>
      <c r="E136" s="7" t="s">
        <v>74</v>
      </c>
      <c r="F136" s="47"/>
      <c r="I136" s="8">
        <v>45997</v>
      </c>
      <c r="L136" s="45"/>
      <c r="M136" s="6"/>
    </row>
    <row r="137" spans="1:13" hidden="1" x14ac:dyDescent="0.25">
      <c r="A137" s="43">
        <v>21207524200668</v>
      </c>
      <c r="B137" s="48"/>
      <c r="C137" s="74" t="s">
        <v>34</v>
      </c>
      <c r="D137" s="6" t="s">
        <v>2</v>
      </c>
      <c r="E137" s="7" t="s">
        <v>74</v>
      </c>
      <c r="F137" s="47"/>
      <c r="I137" s="8">
        <v>45997</v>
      </c>
      <c r="L137" s="45"/>
      <c r="M137" s="6"/>
    </row>
    <row r="138" spans="1:13" hidden="1" x14ac:dyDescent="0.25">
      <c r="A138" s="43">
        <v>21333523600389</v>
      </c>
      <c r="C138" s="73" t="s">
        <v>32</v>
      </c>
      <c r="D138" s="6" t="s">
        <v>2</v>
      </c>
      <c r="E138" s="7" t="s">
        <v>74</v>
      </c>
      <c r="F138" s="7"/>
      <c r="G138" s="6"/>
      <c r="H138" s="6"/>
      <c r="I138" s="8">
        <v>45997</v>
      </c>
      <c r="J138" s="6"/>
      <c r="K138" s="6"/>
      <c r="L138" s="45"/>
      <c r="M138" s="6"/>
    </row>
    <row r="139" spans="1:13" hidden="1" x14ac:dyDescent="0.25">
      <c r="A139" s="43">
        <v>21333523600637</v>
      </c>
      <c r="C139" s="73" t="s">
        <v>32</v>
      </c>
      <c r="D139" s="6" t="s">
        <v>2</v>
      </c>
      <c r="E139" s="47" t="s">
        <v>74</v>
      </c>
      <c r="F139" s="47"/>
      <c r="I139" s="8">
        <v>45997</v>
      </c>
      <c r="L139" s="45"/>
      <c r="M139" s="6"/>
    </row>
    <row r="140" spans="1:13" hidden="1" x14ac:dyDescent="0.25">
      <c r="A140" s="43">
        <v>21333523600836</v>
      </c>
      <c r="C140" s="73" t="s">
        <v>32</v>
      </c>
      <c r="D140" s="6" t="s">
        <v>2</v>
      </c>
      <c r="E140" s="7" t="s">
        <v>74</v>
      </c>
      <c r="F140" s="7"/>
      <c r="G140" s="6"/>
      <c r="H140" s="6"/>
      <c r="I140" s="8">
        <v>45997</v>
      </c>
      <c r="J140" s="6"/>
      <c r="K140" s="6"/>
      <c r="L140" s="45"/>
      <c r="M140" s="6"/>
    </row>
    <row r="141" spans="1:13" hidden="1" x14ac:dyDescent="0.25">
      <c r="A141" s="43">
        <v>21342523600077</v>
      </c>
      <c r="C141" s="73" t="s">
        <v>32</v>
      </c>
      <c r="D141" s="6" t="s">
        <v>2</v>
      </c>
      <c r="E141" s="7" t="s">
        <v>74</v>
      </c>
      <c r="F141" s="7"/>
      <c r="G141" s="6"/>
      <c r="H141" s="6"/>
      <c r="I141" s="8">
        <v>45997</v>
      </c>
      <c r="J141" s="6"/>
      <c r="K141" s="6"/>
      <c r="L141" s="45"/>
      <c r="M141" s="6"/>
    </row>
    <row r="142" spans="1:13" hidden="1" x14ac:dyDescent="0.25">
      <c r="A142" s="43">
        <v>21342523600085</v>
      </c>
      <c r="C142" s="73" t="s">
        <v>32</v>
      </c>
      <c r="D142" s="6" t="s">
        <v>2</v>
      </c>
      <c r="E142" s="7" t="s">
        <v>74</v>
      </c>
      <c r="F142" s="7"/>
      <c r="G142" s="6"/>
      <c r="H142" s="6"/>
      <c r="I142" s="8">
        <v>45997</v>
      </c>
      <c r="J142" s="6"/>
      <c r="K142" s="6"/>
      <c r="L142" s="45"/>
      <c r="M142" s="6"/>
    </row>
    <row r="143" spans="1:13" hidden="1" x14ac:dyDescent="0.25">
      <c r="A143" s="43">
        <v>21342523600099</v>
      </c>
      <c r="B143" t="s">
        <v>104</v>
      </c>
      <c r="C143" s="73" t="s">
        <v>32</v>
      </c>
      <c r="D143" s="6" t="s">
        <v>2</v>
      </c>
      <c r="E143" s="7" t="s">
        <v>74</v>
      </c>
      <c r="F143" s="7"/>
      <c r="G143" s="6"/>
      <c r="H143" s="6"/>
      <c r="I143" s="8">
        <v>45997</v>
      </c>
      <c r="J143" s="6"/>
      <c r="K143" s="6"/>
      <c r="L143" s="45"/>
      <c r="M143" s="6"/>
    </row>
    <row r="144" spans="1:13" hidden="1" x14ac:dyDescent="0.25">
      <c r="A144" s="43">
        <v>21342523600100</v>
      </c>
      <c r="C144" s="73" t="s">
        <v>32</v>
      </c>
      <c r="D144" s="6" t="s">
        <v>2</v>
      </c>
      <c r="E144" s="7" t="s">
        <v>74</v>
      </c>
      <c r="F144" s="7"/>
      <c r="G144" s="6"/>
      <c r="H144" s="6"/>
      <c r="I144" s="8">
        <v>45997</v>
      </c>
      <c r="J144" s="6"/>
      <c r="K144" s="6"/>
      <c r="L144" s="45"/>
      <c r="M144" s="6"/>
    </row>
    <row r="145" spans="1:13" hidden="1" x14ac:dyDescent="0.25">
      <c r="A145" s="43">
        <v>21342523600113</v>
      </c>
      <c r="C145" s="73" t="s">
        <v>32</v>
      </c>
      <c r="D145" s="6" t="s">
        <v>2</v>
      </c>
      <c r="E145" s="47" t="s">
        <v>74</v>
      </c>
      <c r="F145" s="47"/>
      <c r="I145" s="8">
        <v>45997</v>
      </c>
      <c r="L145" s="45"/>
      <c r="M145" s="6"/>
    </row>
    <row r="146" spans="1:13" hidden="1" x14ac:dyDescent="0.25">
      <c r="A146" s="43">
        <v>21342523600114</v>
      </c>
      <c r="C146" s="73" t="s">
        <v>32</v>
      </c>
      <c r="D146" s="6" t="s">
        <v>2</v>
      </c>
      <c r="E146" s="7" t="s">
        <v>74</v>
      </c>
      <c r="F146" s="7"/>
      <c r="G146" s="6"/>
      <c r="H146" s="6"/>
      <c r="I146" s="8">
        <v>45997</v>
      </c>
      <c r="J146" s="6"/>
      <c r="K146" s="6"/>
      <c r="L146" s="45"/>
      <c r="M146" s="6"/>
    </row>
    <row r="147" spans="1:13" hidden="1" x14ac:dyDescent="0.25">
      <c r="A147" s="43">
        <v>21342523600123</v>
      </c>
      <c r="C147" s="73" t="s">
        <v>32</v>
      </c>
      <c r="D147" s="6" t="s">
        <v>2</v>
      </c>
      <c r="E147" s="7" t="s">
        <v>74</v>
      </c>
      <c r="F147" s="7"/>
      <c r="G147" s="6"/>
      <c r="H147" s="6"/>
      <c r="I147" s="8">
        <v>45997</v>
      </c>
      <c r="J147" s="6"/>
      <c r="K147" s="6"/>
      <c r="L147" s="45"/>
      <c r="M147" s="6"/>
    </row>
    <row r="148" spans="1:13" hidden="1" x14ac:dyDescent="0.25">
      <c r="A148" s="43">
        <v>21342523600140</v>
      </c>
      <c r="C148" s="73" t="s">
        <v>32</v>
      </c>
      <c r="D148" s="6" t="s">
        <v>2</v>
      </c>
      <c r="E148" s="7" t="s">
        <v>74</v>
      </c>
      <c r="F148" s="7"/>
      <c r="G148" s="6"/>
      <c r="H148" s="6"/>
      <c r="I148" s="8">
        <v>45997</v>
      </c>
      <c r="J148" s="6"/>
      <c r="K148" s="6"/>
      <c r="L148" s="45"/>
      <c r="M148" s="6"/>
    </row>
    <row r="149" spans="1:13" hidden="1" x14ac:dyDescent="0.25">
      <c r="A149" s="43">
        <v>21342523600141</v>
      </c>
      <c r="C149" s="73" t="s">
        <v>32</v>
      </c>
      <c r="D149" s="6" t="s">
        <v>2</v>
      </c>
      <c r="E149" s="47" t="s">
        <v>74</v>
      </c>
      <c r="F149" s="47"/>
      <c r="I149" s="8">
        <v>45997</v>
      </c>
      <c r="L149" s="45"/>
      <c r="M149" s="6"/>
    </row>
    <row r="150" spans="1:13" hidden="1" x14ac:dyDescent="0.25">
      <c r="A150" s="43">
        <v>21342523600161</v>
      </c>
      <c r="C150" s="73" t="s">
        <v>32</v>
      </c>
      <c r="D150" s="6" t="s">
        <v>2</v>
      </c>
      <c r="E150" s="7" t="s">
        <v>74</v>
      </c>
      <c r="F150" s="7"/>
      <c r="G150" s="6"/>
      <c r="H150" s="6"/>
      <c r="I150" s="8">
        <v>45997</v>
      </c>
      <c r="J150" s="6"/>
      <c r="K150" s="6"/>
      <c r="L150" s="45"/>
      <c r="M150" s="6"/>
    </row>
    <row r="151" spans="1:13" hidden="1" x14ac:dyDescent="0.25">
      <c r="A151" s="43">
        <v>21342523600171</v>
      </c>
      <c r="C151" s="73" t="s">
        <v>32</v>
      </c>
      <c r="D151" s="6" t="s">
        <v>2</v>
      </c>
      <c r="E151" s="7" t="s">
        <v>74</v>
      </c>
      <c r="F151" s="7"/>
      <c r="G151" s="6"/>
      <c r="H151" s="6"/>
      <c r="I151" s="8">
        <v>45997</v>
      </c>
      <c r="J151" s="6"/>
      <c r="K151" s="6"/>
      <c r="L151" s="45"/>
      <c r="M151" s="6"/>
    </row>
    <row r="152" spans="1:13" hidden="1" x14ac:dyDescent="0.25">
      <c r="A152" s="43">
        <v>21342523600186</v>
      </c>
      <c r="C152" s="73" t="s">
        <v>32</v>
      </c>
      <c r="D152" s="6" t="s">
        <v>2</v>
      </c>
      <c r="E152" s="7" t="s">
        <v>74</v>
      </c>
      <c r="F152" s="7"/>
      <c r="G152" s="6"/>
      <c r="H152" s="6"/>
      <c r="I152" s="8">
        <v>45997</v>
      </c>
      <c r="J152" s="6"/>
      <c r="K152" s="6"/>
      <c r="L152" s="45"/>
      <c r="M152" s="6"/>
    </row>
    <row r="153" spans="1:13" hidden="1" x14ac:dyDescent="0.25">
      <c r="A153" s="43">
        <v>21342523600189</v>
      </c>
      <c r="C153" s="73" t="s">
        <v>32</v>
      </c>
      <c r="D153" s="6" t="s">
        <v>2</v>
      </c>
      <c r="E153" s="7" t="s">
        <v>74</v>
      </c>
      <c r="F153" s="7"/>
      <c r="G153" s="6"/>
      <c r="H153" s="6"/>
      <c r="I153" s="8">
        <v>45997</v>
      </c>
      <c r="J153" s="6"/>
      <c r="K153" s="6"/>
      <c r="L153" s="45"/>
      <c r="M153" s="6"/>
    </row>
    <row r="154" spans="1:13" hidden="1" x14ac:dyDescent="0.25">
      <c r="A154" s="43">
        <v>21342523600196</v>
      </c>
      <c r="C154" s="73" t="s">
        <v>32</v>
      </c>
      <c r="D154" s="6" t="s">
        <v>2</v>
      </c>
      <c r="E154" s="7" t="s">
        <v>74</v>
      </c>
      <c r="F154" s="7"/>
      <c r="G154" s="6"/>
      <c r="H154" s="6"/>
      <c r="I154" s="8">
        <v>45997</v>
      </c>
      <c r="J154" s="6"/>
      <c r="K154" s="6"/>
      <c r="L154" s="45"/>
      <c r="M154" s="6"/>
    </row>
    <row r="155" spans="1:13" hidden="1" x14ac:dyDescent="0.25">
      <c r="A155" s="43">
        <v>21342523600216</v>
      </c>
      <c r="C155" s="73" t="s">
        <v>32</v>
      </c>
      <c r="D155" s="6" t="s">
        <v>2</v>
      </c>
      <c r="E155" s="7" t="s">
        <v>74</v>
      </c>
      <c r="F155" s="7"/>
      <c r="G155" s="6"/>
      <c r="H155" s="6"/>
      <c r="I155" s="8">
        <v>45997</v>
      </c>
      <c r="J155" s="6"/>
      <c r="K155" s="6"/>
      <c r="L155" s="45"/>
      <c r="M155" s="6"/>
    </row>
    <row r="156" spans="1:13" hidden="1" x14ac:dyDescent="0.25">
      <c r="A156" s="43">
        <v>21342523600217</v>
      </c>
      <c r="C156" s="73" t="s">
        <v>32</v>
      </c>
      <c r="D156" s="6" t="s">
        <v>2</v>
      </c>
      <c r="E156" s="7" t="s">
        <v>74</v>
      </c>
      <c r="F156" s="7"/>
      <c r="G156" s="6"/>
      <c r="H156" s="6"/>
      <c r="I156" s="8">
        <v>45997</v>
      </c>
      <c r="J156" s="6"/>
      <c r="K156" s="6"/>
      <c r="L156" s="45"/>
      <c r="M156" s="6"/>
    </row>
    <row r="157" spans="1:13" hidden="1" x14ac:dyDescent="0.25">
      <c r="A157" s="43">
        <v>21342523600226</v>
      </c>
      <c r="C157" s="73" t="s">
        <v>32</v>
      </c>
      <c r="D157" s="6" t="s">
        <v>2</v>
      </c>
      <c r="E157" s="7" t="s">
        <v>74</v>
      </c>
      <c r="F157" s="7"/>
      <c r="G157" s="6"/>
      <c r="H157" s="6"/>
      <c r="I157" s="8">
        <v>45997</v>
      </c>
      <c r="J157" s="6"/>
      <c r="K157" s="6"/>
      <c r="L157" s="45"/>
      <c r="M157" s="6"/>
    </row>
    <row r="158" spans="1:13" hidden="1" x14ac:dyDescent="0.25">
      <c r="A158" s="43">
        <v>21342523600230</v>
      </c>
      <c r="C158" s="73" t="s">
        <v>32</v>
      </c>
      <c r="D158" s="6" t="s">
        <v>2</v>
      </c>
      <c r="E158" s="47" t="s">
        <v>74</v>
      </c>
      <c r="F158" s="47"/>
      <c r="I158" s="8">
        <v>45997</v>
      </c>
      <c r="L158" s="45"/>
      <c r="M158" s="6"/>
    </row>
    <row r="159" spans="1:13" hidden="1" x14ac:dyDescent="0.25">
      <c r="A159" s="43">
        <v>21342523600235</v>
      </c>
      <c r="C159" s="73" t="s">
        <v>32</v>
      </c>
      <c r="D159" s="6" t="s">
        <v>2</v>
      </c>
      <c r="E159" s="7" t="s">
        <v>74</v>
      </c>
      <c r="F159" s="7"/>
      <c r="G159" s="6"/>
      <c r="H159" s="6"/>
      <c r="I159" s="8">
        <v>45997</v>
      </c>
      <c r="J159" s="6"/>
      <c r="K159" s="6"/>
      <c r="L159" s="45"/>
      <c r="M159" s="6"/>
    </row>
    <row r="160" spans="1:13" hidden="1" x14ac:dyDescent="0.25">
      <c r="A160" s="43">
        <v>21342523600238</v>
      </c>
      <c r="C160" s="73" t="s">
        <v>32</v>
      </c>
      <c r="D160" s="6" t="s">
        <v>2</v>
      </c>
      <c r="E160" s="7" t="s">
        <v>74</v>
      </c>
      <c r="F160" s="7"/>
      <c r="G160" s="6"/>
      <c r="H160" s="6"/>
      <c r="I160" s="8">
        <v>45997</v>
      </c>
      <c r="J160" s="6"/>
      <c r="K160" s="6"/>
      <c r="L160" s="45"/>
      <c r="M160" s="6"/>
    </row>
    <row r="161" spans="1:13" hidden="1" x14ac:dyDescent="0.25">
      <c r="A161" s="43">
        <v>21342523600240</v>
      </c>
      <c r="B161" s="53"/>
      <c r="C161" s="73" t="s">
        <v>32</v>
      </c>
      <c r="D161" s="6" t="s">
        <v>2</v>
      </c>
      <c r="E161" s="7" t="s">
        <v>74</v>
      </c>
      <c r="F161" s="7"/>
      <c r="G161" s="6"/>
      <c r="H161" s="6"/>
      <c r="I161" s="8">
        <v>45997</v>
      </c>
      <c r="J161" s="6"/>
      <c r="K161" s="6"/>
      <c r="L161" s="45"/>
      <c r="M161" s="6"/>
    </row>
    <row r="162" spans="1:13" hidden="1" x14ac:dyDescent="0.25">
      <c r="A162" s="43">
        <v>21342523600244</v>
      </c>
      <c r="C162" s="73" t="s">
        <v>32</v>
      </c>
      <c r="D162" s="6" t="s">
        <v>2</v>
      </c>
      <c r="E162" s="7" t="s">
        <v>74</v>
      </c>
      <c r="F162" s="7"/>
      <c r="G162" s="6"/>
      <c r="H162" s="6"/>
      <c r="I162" s="8">
        <v>45997</v>
      </c>
      <c r="J162" s="6"/>
      <c r="K162" s="6"/>
      <c r="L162" s="45"/>
      <c r="M162" s="6"/>
    </row>
    <row r="163" spans="1:13" hidden="1" x14ac:dyDescent="0.25">
      <c r="A163" s="43">
        <v>21342523600254</v>
      </c>
      <c r="C163" s="73" t="s">
        <v>32</v>
      </c>
      <c r="D163" s="6" t="s">
        <v>2</v>
      </c>
      <c r="E163" s="47" t="s">
        <v>74</v>
      </c>
      <c r="F163" s="47"/>
      <c r="I163" s="8">
        <v>45997</v>
      </c>
      <c r="L163" s="45"/>
      <c r="M163" s="6"/>
    </row>
    <row r="164" spans="1:13" hidden="1" x14ac:dyDescent="0.25">
      <c r="A164" s="43">
        <v>21342523600271</v>
      </c>
      <c r="C164" s="73" t="s">
        <v>32</v>
      </c>
      <c r="D164" s="6" t="s">
        <v>2</v>
      </c>
      <c r="E164" s="7" t="s">
        <v>74</v>
      </c>
      <c r="F164" s="7"/>
      <c r="G164" s="6"/>
      <c r="H164" s="6"/>
      <c r="I164" s="8">
        <v>45997</v>
      </c>
      <c r="J164" s="6"/>
      <c r="K164" s="6"/>
      <c r="L164" s="45"/>
      <c r="M164" s="6"/>
    </row>
    <row r="165" spans="1:13" hidden="1" x14ac:dyDescent="0.25">
      <c r="A165" s="43">
        <v>21342523600284</v>
      </c>
      <c r="C165" s="73" t="s">
        <v>32</v>
      </c>
      <c r="D165" s="6" t="s">
        <v>2</v>
      </c>
      <c r="E165" s="7" t="s">
        <v>74</v>
      </c>
      <c r="F165" s="7"/>
      <c r="G165" s="6"/>
      <c r="H165" s="6"/>
      <c r="I165" s="8">
        <v>45997</v>
      </c>
      <c r="J165" s="6"/>
      <c r="K165" s="6"/>
      <c r="L165" s="45"/>
      <c r="M165" s="6"/>
    </row>
    <row r="166" spans="1:13" hidden="1" x14ac:dyDescent="0.25">
      <c r="A166" s="43">
        <v>21342523600295</v>
      </c>
      <c r="C166" s="73" t="s">
        <v>32</v>
      </c>
      <c r="D166" s="6" t="s">
        <v>2</v>
      </c>
      <c r="E166" s="47" t="s">
        <v>74</v>
      </c>
      <c r="F166" s="47"/>
      <c r="I166" s="8">
        <v>45997</v>
      </c>
      <c r="L166" s="45"/>
      <c r="M166" s="6"/>
    </row>
    <row r="167" spans="1:13" hidden="1" x14ac:dyDescent="0.25">
      <c r="A167" s="43">
        <v>22134523600247</v>
      </c>
      <c r="C167" s="73" t="s">
        <v>32</v>
      </c>
      <c r="D167" s="6" t="s">
        <v>2</v>
      </c>
      <c r="E167" s="7" t="s">
        <v>74</v>
      </c>
      <c r="F167" s="7"/>
      <c r="G167" s="6"/>
      <c r="H167" s="6"/>
      <c r="I167" s="8">
        <v>45997</v>
      </c>
      <c r="J167" s="6"/>
      <c r="K167" s="6"/>
      <c r="L167" s="45"/>
      <c r="M167" s="6"/>
    </row>
    <row r="168" spans="1:13" hidden="1" x14ac:dyDescent="0.25">
      <c r="A168" s="43">
        <v>22134523600293</v>
      </c>
      <c r="C168" s="73" t="s">
        <v>32</v>
      </c>
      <c r="D168" s="6" t="s">
        <v>2</v>
      </c>
      <c r="E168" s="7" t="s">
        <v>74</v>
      </c>
      <c r="F168" s="7"/>
      <c r="G168" s="6"/>
      <c r="H168" s="6"/>
      <c r="I168" s="8">
        <v>45997</v>
      </c>
      <c r="J168" s="6"/>
      <c r="K168" s="6"/>
      <c r="L168" s="45"/>
      <c r="M168" s="6"/>
    </row>
    <row r="169" spans="1:13" hidden="1" x14ac:dyDescent="0.25">
      <c r="A169" s="43">
        <v>22137523600119</v>
      </c>
      <c r="C169" s="73" t="s">
        <v>32</v>
      </c>
      <c r="D169" s="6" t="s">
        <v>2</v>
      </c>
      <c r="E169" s="7" t="s">
        <v>74</v>
      </c>
      <c r="F169" s="7"/>
      <c r="G169" s="6"/>
      <c r="H169" s="6"/>
      <c r="I169" s="8">
        <v>45997</v>
      </c>
      <c r="J169" s="6"/>
      <c r="K169" s="6"/>
      <c r="L169" s="45"/>
      <c r="M169" s="6"/>
    </row>
    <row r="170" spans="1:13" hidden="1" x14ac:dyDescent="0.25">
      <c r="A170" s="43">
        <v>22137523600169</v>
      </c>
      <c r="C170" s="73" t="s">
        <v>32</v>
      </c>
      <c r="D170" s="6" t="s">
        <v>2</v>
      </c>
      <c r="E170" s="47" t="s">
        <v>74</v>
      </c>
      <c r="F170" s="47"/>
      <c r="I170" s="8">
        <v>45997</v>
      </c>
      <c r="L170" s="45"/>
      <c r="M170" s="6"/>
    </row>
    <row r="171" spans="1:13" hidden="1" x14ac:dyDescent="0.25">
      <c r="A171" s="43">
        <v>22139523601892</v>
      </c>
      <c r="C171" s="73" t="s">
        <v>32</v>
      </c>
      <c r="D171" s="6" t="s">
        <v>2</v>
      </c>
      <c r="E171" s="7" t="s">
        <v>74</v>
      </c>
      <c r="F171" s="7"/>
      <c r="G171" s="6"/>
      <c r="H171" s="6"/>
      <c r="I171" s="8">
        <v>45997</v>
      </c>
      <c r="J171" s="6"/>
      <c r="K171" s="6"/>
      <c r="L171" s="45"/>
      <c r="M171" s="6"/>
    </row>
    <row r="172" spans="1:13" hidden="1" x14ac:dyDescent="0.25">
      <c r="A172" s="43">
        <v>22161523600031</v>
      </c>
      <c r="C172" s="74" t="s">
        <v>33</v>
      </c>
      <c r="D172" s="6" t="s">
        <v>2</v>
      </c>
      <c r="E172" s="47" t="s">
        <v>74</v>
      </c>
      <c r="F172" s="47"/>
      <c r="I172" s="8">
        <v>45997</v>
      </c>
      <c r="L172" s="45"/>
      <c r="M172" s="6"/>
    </row>
    <row r="173" spans="1:13" hidden="1" x14ac:dyDescent="0.25">
      <c r="A173" s="43">
        <v>22161523600061</v>
      </c>
      <c r="B173" s="42"/>
      <c r="C173" s="74" t="s">
        <v>33</v>
      </c>
      <c r="D173" s="6" t="s">
        <v>2</v>
      </c>
      <c r="E173" s="47" t="s">
        <v>74</v>
      </c>
      <c r="F173" s="47"/>
      <c r="I173" s="8">
        <v>45997</v>
      </c>
      <c r="L173" s="45"/>
      <c r="M173" s="6"/>
    </row>
    <row r="174" spans="1:13" hidden="1" x14ac:dyDescent="0.25">
      <c r="A174" s="43">
        <v>22161523600228</v>
      </c>
      <c r="B174" s="42"/>
      <c r="C174" s="74" t="s">
        <v>33</v>
      </c>
      <c r="D174" s="6" t="s">
        <v>2</v>
      </c>
      <c r="E174" s="47" t="s">
        <v>74</v>
      </c>
      <c r="F174" s="47"/>
      <c r="I174" s="8">
        <v>45997</v>
      </c>
      <c r="L174" s="45"/>
      <c r="M174" s="6"/>
    </row>
    <row r="175" spans="1:13" hidden="1" x14ac:dyDescent="0.25">
      <c r="A175" s="43">
        <v>22167523600602</v>
      </c>
      <c r="B175" s="42"/>
      <c r="C175" s="74" t="s">
        <v>33</v>
      </c>
      <c r="D175" s="6" t="s">
        <v>2</v>
      </c>
      <c r="E175" s="47" t="s">
        <v>74</v>
      </c>
      <c r="F175" s="47"/>
      <c r="I175" s="8">
        <v>45997</v>
      </c>
      <c r="L175" s="45"/>
      <c r="M175" s="6"/>
    </row>
    <row r="176" spans="1:13" hidden="1" x14ac:dyDescent="0.25">
      <c r="A176" s="43">
        <v>22167523600629</v>
      </c>
      <c r="B176" s="42"/>
      <c r="C176" s="74" t="s">
        <v>33</v>
      </c>
      <c r="D176" s="6" t="s">
        <v>2</v>
      </c>
      <c r="E176" s="47" t="s">
        <v>74</v>
      </c>
      <c r="F176" s="47"/>
      <c r="I176" s="8">
        <v>45997</v>
      </c>
      <c r="L176" s="45"/>
      <c r="M176" s="6"/>
    </row>
    <row r="177" spans="1:13" hidden="1" x14ac:dyDescent="0.25">
      <c r="A177" s="43">
        <v>22167523600692</v>
      </c>
      <c r="C177" s="74" t="s">
        <v>33</v>
      </c>
      <c r="D177" s="6" t="s">
        <v>2</v>
      </c>
      <c r="E177" s="7" t="s">
        <v>74</v>
      </c>
      <c r="F177" s="7"/>
      <c r="G177" s="6"/>
      <c r="H177" s="6"/>
      <c r="I177" s="8">
        <v>45997</v>
      </c>
      <c r="J177" s="6"/>
      <c r="K177" s="6"/>
      <c r="L177" s="45">
        <v>45997</v>
      </c>
      <c r="M177" s="6"/>
    </row>
    <row r="178" spans="1:13" hidden="1" x14ac:dyDescent="0.25">
      <c r="A178" s="43">
        <v>22167523600739</v>
      </c>
      <c r="C178" s="74" t="s">
        <v>33</v>
      </c>
      <c r="D178" s="6" t="s">
        <v>2</v>
      </c>
      <c r="E178" s="47" t="s">
        <v>74</v>
      </c>
      <c r="F178" s="47"/>
      <c r="I178" s="8">
        <v>45997</v>
      </c>
      <c r="L178" s="45"/>
      <c r="M178" s="6"/>
    </row>
    <row r="179" spans="1:13" hidden="1" x14ac:dyDescent="0.25">
      <c r="A179" s="43">
        <v>22231523600890</v>
      </c>
      <c r="C179" s="73" t="s">
        <v>33</v>
      </c>
      <c r="D179" t="s">
        <v>2</v>
      </c>
      <c r="E179" s="47" t="s">
        <v>74</v>
      </c>
      <c r="F179" s="47"/>
      <c r="I179" s="61">
        <v>46006</v>
      </c>
      <c r="L179" s="45"/>
      <c r="M179" s="6"/>
    </row>
    <row r="180" spans="1:13" hidden="1" x14ac:dyDescent="0.25">
      <c r="A180" s="43">
        <v>22280524700896</v>
      </c>
      <c r="B180" s="6" t="s">
        <v>105</v>
      </c>
      <c r="C180" s="73" t="s">
        <v>31</v>
      </c>
      <c r="D180" s="6" t="s">
        <v>2</v>
      </c>
      <c r="E180" s="7" t="s">
        <v>74</v>
      </c>
      <c r="F180" s="7"/>
      <c r="G180" s="6"/>
      <c r="H180" s="6"/>
      <c r="I180" s="8">
        <v>45997</v>
      </c>
      <c r="J180" s="6"/>
      <c r="K180" s="6"/>
      <c r="L180" s="45"/>
      <c r="M180" s="6"/>
    </row>
    <row r="181" spans="1:13" hidden="1" x14ac:dyDescent="0.25">
      <c r="A181" s="43">
        <v>22280524701278</v>
      </c>
      <c r="B181" s="6" t="s">
        <v>106</v>
      </c>
      <c r="C181" s="73" t="s">
        <v>31</v>
      </c>
      <c r="D181" s="6" t="s">
        <v>2</v>
      </c>
      <c r="E181" s="7" t="s">
        <v>74</v>
      </c>
      <c r="F181" s="7"/>
      <c r="G181" s="6"/>
      <c r="H181" s="6"/>
      <c r="I181" s="8">
        <v>45997</v>
      </c>
      <c r="J181" s="6"/>
      <c r="K181" s="6"/>
      <c r="L181" s="45"/>
      <c r="M181" s="6"/>
    </row>
    <row r="182" spans="1:13" hidden="1" x14ac:dyDescent="0.25">
      <c r="A182" s="43">
        <v>22283524700483</v>
      </c>
      <c r="B182" s="6" t="s">
        <v>107</v>
      </c>
      <c r="C182" s="73" t="s">
        <v>31</v>
      </c>
      <c r="D182" s="6" t="s">
        <v>2</v>
      </c>
      <c r="E182" s="7" t="s">
        <v>74</v>
      </c>
      <c r="F182" s="7"/>
      <c r="G182" s="6"/>
      <c r="H182" s="6"/>
      <c r="I182" s="8">
        <v>45997</v>
      </c>
      <c r="J182" s="6"/>
      <c r="K182" s="6"/>
      <c r="L182" s="45"/>
      <c r="M182" s="6"/>
    </row>
    <row r="183" spans="1:13" hidden="1" x14ac:dyDescent="0.25">
      <c r="A183" s="43">
        <v>22291522505866</v>
      </c>
      <c r="B183" s="53"/>
      <c r="C183" s="73" t="s">
        <v>45</v>
      </c>
      <c r="D183" s="6" t="s">
        <v>2</v>
      </c>
      <c r="E183" s="7" t="s">
        <v>74</v>
      </c>
      <c r="F183" s="7" t="s">
        <v>101</v>
      </c>
      <c r="G183" s="6"/>
      <c r="H183" s="6"/>
      <c r="I183" s="8">
        <v>45997</v>
      </c>
      <c r="J183" s="6"/>
      <c r="K183" s="6"/>
      <c r="L183" s="45"/>
      <c r="M183" s="6"/>
    </row>
    <row r="184" spans="1:13" hidden="1" x14ac:dyDescent="0.25">
      <c r="A184" s="43">
        <v>22291522505868</v>
      </c>
      <c r="C184" s="73" t="s">
        <v>45</v>
      </c>
      <c r="D184" s="6" t="s">
        <v>2</v>
      </c>
      <c r="E184" s="7" t="s">
        <v>74</v>
      </c>
      <c r="F184" s="7"/>
      <c r="G184" s="6"/>
      <c r="H184" s="6"/>
      <c r="I184" s="8">
        <v>45997</v>
      </c>
      <c r="J184" s="6"/>
      <c r="K184" s="6"/>
      <c r="L184" s="45"/>
      <c r="M184" s="6"/>
    </row>
    <row r="185" spans="1:13" hidden="1" x14ac:dyDescent="0.25">
      <c r="A185" s="43">
        <v>22291522505870</v>
      </c>
      <c r="C185" s="73" t="s">
        <v>45</v>
      </c>
      <c r="D185" s="6" t="s">
        <v>2</v>
      </c>
      <c r="E185" s="7" t="s">
        <v>74</v>
      </c>
      <c r="F185" s="7" t="s">
        <v>101</v>
      </c>
      <c r="G185" s="6"/>
      <c r="H185" s="6"/>
      <c r="I185" s="8">
        <v>45997</v>
      </c>
      <c r="J185" s="6"/>
      <c r="K185" s="6"/>
      <c r="L185" s="45"/>
      <c r="M185" s="6"/>
    </row>
    <row r="186" spans="1:13" hidden="1" x14ac:dyDescent="0.25">
      <c r="A186" s="43">
        <v>22291522505871</v>
      </c>
      <c r="C186" s="73" t="s">
        <v>45</v>
      </c>
      <c r="D186" s="6" t="s">
        <v>2</v>
      </c>
      <c r="E186" s="7" t="s">
        <v>74</v>
      </c>
      <c r="F186" s="7" t="s">
        <v>101</v>
      </c>
      <c r="G186" s="6"/>
      <c r="H186" s="6"/>
      <c r="I186" s="8">
        <v>45997</v>
      </c>
      <c r="J186" s="6"/>
      <c r="K186" s="6"/>
      <c r="L186" s="45"/>
      <c r="M186" s="6"/>
    </row>
    <row r="187" spans="1:13" hidden="1" x14ac:dyDescent="0.25">
      <c r="A187" s="43">
        <v>22291522505873</v>
      </c>
      <c r="C187" s="73" t="s">
        <v>45</v>
      </c>
      <c r="D187" s="6" t="s">
        <v>2</v>
      </c>
      <c r="E187" s="7" t="s">
        <v>74</v>
      </c>
      <c r="F187" s="7"/>
      <c r="G187" s="6"/>
      <c r="H187" s="6"/>
      <c r="I187" s="8">
        <v>45997</v>
      </c>
      <c r="J187" s="6"/>
      <c r="K187" s="6"/>
      <c r="L187" s="45"/>
      <c r="M187" s="6"/>
    </row>
    <row r="188" spans="1:13" hidden="1" x14ac:dyDescent="0.25">
      <c r="A188" s="43">
        <v>22291522505911</v>
      </c>
      <c r="C188" s="73" t="s">
        <v>45</v>
      </c>
      <c r="D188" s="6" t="s">
        <v>2</v>
      </c>
      <c r="E188" s="7" t="s">
        <v>74</v>
      </c>
      <c r="F188" s="7"/>
      <c r="G188" s="6"/>
      <c r="H188" s="6"/>
      <c r="I188" s="8">
        <v>45997</v>
      </c>
      <c r="J188" s="6"/>
      <c r="K188" s="6"/>
      <c r="L188" s="45"/>
      <c r="M188" s="6"/>
    </row>
    <row r="189" spans="1:13" hidden="1" x14ac:dyDescent="0.25">
      <c r="A189" s="43">
        <v>22291522505914</v>
      </c>
      <c r="C189" s="73" t="s">
        <v>45</v>
      </c>
      <c r="D189" s="6" t="s">
        <v>2</v>
      </c>
      <c r="E189" s="7" t="s">
        <v>74</v>
      </c>
      <c r="F189" s="7"/>
      <c r="G189" s="6"/>
      <c r="H189" s="6"/>
      <c r="I189" s="8">
        <v>45997</v>
      </c>
      <c r="J189" s="6"/>
      <c r="K189" s="6"/>
      <c r="L189" s="45"/>
      <c r="M189" s="6"/>
    </row>
    <row r="190" spans="1:13" hidden="1" x14ac:dyDescent="0.25">
      <c r="A190" s="43">
        <v>22291522505915</v>
      </c>
      <c r="C190" s="73" t="s">
        <v>45</v>
      </c>
      <c r="D190" s="6" t="s">
        <v>2</v>
      </c>
      <c r="E190" s="7" t="s">
        <v>74</v>
      </c>
      <c r="F190" s="7"/>
      <c r="G190" s="6"/>
      <c r="H190" s="6"/>
      <c r="I190" s="8">
        <v>45997</v>
      </c>
      <c r="J190" s="6"/>
      <c r="K190" s="6"/>
      <c r="L190" s="45"/>
      <c r="M190" s="6"/>
    </row>
    <row r="191" spans="1:13" hidden="1" x14ac:dyDescent="0.25">
      <c r="A191" s="43">
        <v>22291522505916</v>
      </c>
      <c r="C191" s="73" t="s">
        <v>45</v>
      </c>
      <c r="D191" s="6" t="s">
        <v>2</v>
      </c>
      <c r="E191" s="7" t="s">
        <v>74</v>
      </c>
      <c r="F191" s="7" t="s">
        <v>101</v>
      </c>
      <c r="G191" s="6"/>
      <c r="H191" s="6"/>
      <c r="I191" s="8">
        <v>45997</v>
      </c>
      <c r="J191" s="6"/>
      <c r="K191" s="6"/>
      <c r="L191" s="45"/>
      <c r="M191" s="6"/>
    </row>
    <row r="192" spans="1:13" hidden="1" x14ac:dyDescent="0.25">
      <c r="A192" s="43">
        <v>22291522505917</v>
      </c>
      <c r="C192" s="73" t="s">
        <v>45</v>
      </c>
      <c r="D192" s="6" t="s">
        <v>2</v>
      </c>
      <c r="E192" s="7" t="s">
        <v>74</v>
      </c>
      <c r="F192" s="7"/>
      <c r="G192" s="6"/>
      <c r="H192" s="6"/>
      <c r="I192" s="8">
        <v>45997</v>
      </c>
      <c r="J192" s="6"/>
      <c r="K192" s="6"/>
      <c r="L192" s="45"/>
      <c r="M192" s="6"/>
    </row>
    <row r="193" spans="1:13" hidden="1" x14ac:dyDescent="0.25">
      <c r="A193" s="43">
        <v>22291522505918</v>
      </c>
      <c r="C193" s="73" t="s">
        <v>45</v>
      </c>
      <c r="D193" s="6" t="s">
        <v>2</v>
      </c>
      <c r="E193" s="7" t="s">
        <v>74</v>
      </c>
      <c r="F193" s="7"/>
      <c r="G193" s="6"/>
      <c r="H193" s="6"/>
      <c r="I193" s="8">
        <v>45997</v>
      </c>
      <c r="J193" s="6"/>
      <c r="K193" s="6"/>
      <c r="L193" s="45"/>
      <c r="M193" s="6"/>
    </row>
    <row r="194" spans="1:13" hidden="1" x14ac:dyDescent="0.25">
      <c r="A194" s="43">
        <v>22291522505919</v>
      </c>
      <c r="C194" s="73" t="s">
        <v>45</v>
      </c>
      <c r="D194" s="6" t="s">
        <v>2</v>
      </c>
      <c r="E194" s="7" t="s">
        <v>74</v>
      </c>
      <c r="F194" s="7"/>
      <c r="G194" s="6"/>
      <c r="H194" s="6"/>
      <c r="I194" s="8">
        <v>45997</v>
      </c>
      <c r="J194" s="6"/>
      <c r="K194" s="6"/>
      <c r="L194" s="45"/>
      <c r="M194" s="6"/>
    </row>
    <row r="195" spans="1:13" hidden="1" x14ac:dyDescent="0.25">
      <c r="A195" s="43">
        <v>22291522505920</v>
      </c>
      <c r="C195" s="73" t="s">
        <v>45</v>
      </c>
      <c r="D195" s="6" t="s">
        <v>2</v>
      </c>
      <c r="E195" s="7" t="s">
        <v>74</v>
      </c>
      <c r="F195" s="7"/>
      <c r="G195" s="6"/>
      <c r="H195" s="6"/>
      <c r="I195" s="8">
        <v>45997</v>
      </c>
      <c r="J195" s="6"/>
      <c r="K195" s="6"/>
      <c r="L195" s="45"/>
      <c r="M195" s="6"/>
    </row>
    <row r="196" spans="1:13" hidden="1" x14ac:dyDescent="0.25">
      <c r="A196" s="43">
        <v>22291522505928</v>
      </c>
      <c r="C196" s="73" t="s">
        <v>45</v>
      </c>
      <c r="D196" s="6" t="s">
        <v>2</v>
      </c>
      <c r="E196" s="7" t="s">
        <v>74</v>
      </c>
      <c r="F196" s="7"/>
      <c r="G196" s="6"/>
      <c r="H196" s="6"/>
      <c r="I196" s="8">
        <v>45997</v>
      </c>
      <c r="J196" s="6"/>
      <c r="K196" s="6"/>
      <c r="L196" s="45"/>
      <c r="M196" s="6"/>
    </row>
    <row r="197" spans="1:13" hidden="1" x14ac:dyDescent="0.25">
      <c r="A197" s="43">
        <v>22291522505930</v>
      </c>
      <c r="C197" s="73" t="s">
        <v>45</v>
      </c>
      <c r="D197" s="6" t="s">
        <v>2</v>
      </c>
      <c r="E197" s="7" t="s">
        <v>74</v>
      </c>
      <c r="F197" s="7"/>
      <c r="G197" s="6"/>
      <c r="H197" s="6"/>
      <c r="I197" s="8">
        <v>45997</v>
      </c>
      <c r="J197" s="6"/>
      <c r="K197" s="6"/>
      <c r="L197" s="45"/>
      <c r="M197" s="6"/>
    </row>
    <row r="198" spans="1:13" hidden="1" x14ac:dyDescent="0.25">
      <c r="A198" s="43">
        <v>22291522505931</v>
      </c>
      <c r="C198" s="73" t="s">
        <v>45</v>
      </c>
      <c r="D198" s="6" t="s">
        <v>2</v>
      </c>
      <c r="E198" s="7" t="s">
        <v>74</v>
      </c>
      <c r="F198" s="7"/>
      <c r="G198" s="6"/>
      <c r="H198" s="6"/>
      <c r="I198" s="8">
        <v>45997</v>
      </c>
      <c r="J198" s="6"/>
      <c r="K198" s="6"/>
      <c r="L198" s="45"/>
      <c r="M198" s="6"/>
    </row>
    <row r="199" spans="1:13" hidden="1" x14ac:dyDescent="0.25">
      <c r="A199" s="43">
        <v>22291522505932</v>
      </c>
      <c r="C199" s="73" t="s">
        <v>45</v>
      </c>
      <c r="D199" s="6" t="s">
        <v>2</v>
      </c>
      <c r="E199" s="7" t="s">
        <v>74</v>
      </c>
      <c r="F199" s="7" t="s">
        <v>101</v>
      </c>
      <c r="G199" s="6"/>
      <c r="H199" s="6"/>
      <c r="I199" s="8">
        <v>45997</v>
      </c>
      <c r="J199" s="6"/>
      <c r="K199" s="6"/>
      <c r="L199" s="45"/>
      <c r="M199" s="6"/>
    </row>
    <row r="200" spans="1:13" hidden="1" x14ac:dyDescent="0.25">
      <c r="A200" s="43">
        <v>22291522505933</v>
      </c>
      <c r="C200" s="73" t="s">
        <v>45</v>
      </c>
      <c r="D200" s="6" t="s">
        <v>2</v>
      </c>
      <c r="E200" s="7" t="s">
        <v>74</v>
      </c>
      <c r="F200" s="7"/>
      <c r="G200" s="6"/>
      <c r="H200" s="6"/>
      <c r="I200" s="8">
        <v>45997</v>
      </c>
      <c r="J200" s="6"/>
      <c r="K200" s="6"/>
      <c r="L200" s="45"/>
      <c r="M200" s="6"/>
    </row>
    <row r="201" spans="1:13" hidden="1" x14ac:dyDescent="0.25">
      <c r="A201" s="43">
        <v>22291522505934</v>
      </c>
      <c r="C201" s="73" t="s">
        <v>45</v>
      </c>
      <c r="D201" s="6" t="s">
        <v>2</v>
      </c>
      <c r="E201" s="7" t="s">
        <v>74</v>
      </c>
      <c r="F201" s="7"/>
      <c r="G201" s="6"/>
      <c r="H201" s="6"/>
      <c r="I201" s="8">
        <v>45997</v>
      </c>
      <c r="J201" s="6"/>
      <c r="K201" s="6"/>
      <c r="L201" s="45"/>
      <c r="M201" s="6"/>
    </row>
    <row r="202" spans="1:13" hidden="1" x14ac:dyDescent="0.25">
      <c r="A202" s="43">
        <v>22291522505935</v>
      </c>
      <c r="C202" s="73" t="s">
        <v>45</v>
      </c>
      <c r="D202" s="6" t="s">
        <v>2</v>
      </c>
      <c r="E202" s="7" t="s">
        <v>74</v>
      </c>
      <c r="F202" s="7"/>
      <c r="G202" s="6"/>
      <c r="H202" s="6"/>
      <c r="I202" s="8">
        <v>45997</v>
      </c>
      <c r="J202" s="6"/>
      <c r="K202" s="6"/>
      <c r="L202" s="45"/>
      <c r="M202" s="6"/>
    </row>
    <row r="203" spans="1:13" hidden="1" x14ac:dyDescent="0.25">
      <c r="A203" s="43">
        <v>22291522505936</v>
      </c>
      <c r="C203" s="73" t="s">
        <v>45</v>
      </c>
      <c r="D203" s="6" t="s">
        <v>2</v>
      </c>
      <c r="E203" s="7" t="s">
        <v>74</v>
      </c>
      <c r="F203" s="7"/>
      <c r="G203" s="6"/>
      <c r="H203" s="6"/>
      <c r="I203" s="8">
        <v>45997</v>
      </c>
      <c r="J203" s="6"/>
      <c r="K203" s="6"/>
      <c r="L203" s="45"/>
      <c r="M203" s="6"/>
    </row>
    <row r="204" spans="1:13" hidden="1" x14ac:dyDescent="0.25">
      <c r="A204" s="43">
        <v>22291522505937</v>
      </c>
      <c r="C204" s="73" t="s">
        <v>45</v>
      </c>
      <c r="D204" s="6" t="s">
        <v>2</v>
      </c>
      <c r="E204" s="7" t="s">
        <v>76</v>
      </c>
      <c r="F204" s="7" t="s">
        <v>101</v>
      </c>
      <c r="G204" s="6"/>
      <c r="H204" s="6"/>
      <c r="I204" s="8">
        <v>45997</v>
      </c>
      <c r="J204" s="6"/>
      <c r="K204" s="6"/>
      <c r="L204" s="45"/>
      <c r="M204" s="6"/>
    </row>
    <row r="205" spans="1:13" hidden="1" x14ac:dyDescent="0.25">
      <c r="A205" s="43">
        <v>22291522505969</v>
      </c>
      <c r="C205" s="73" t="s">
        <v>45</v>
      </c>
      <c r="D205" s="6" t="s">
        <v>2</v>
      </c>
      <c r="E205" s="7" t="s">
        <v>76</v>
      </c>
      <c r="F205" s="7" t="s">
        <v>101</v>
      </c>
      <c r="G205" s="6"/>
      <c r="H205" s="6"/>
      <c r="I205" s="8">
        <v>45997</v>
      </c>
      <c r="J205" s="6"/>
      <c r="K205" s="6"/>
      <c r="L205" s="45"/>
      <c r="M205" s="6"/>
    </row>
    <row r="206" spans="1:13" hidden="1" x14ac:dyDescent="0.25">
      <c r="A206" s="43">
        <v>22291522505971</v>
      </c>
      <c r="C206" s="73" t="s">
        <v>45</v>
      </c>
      <c r="D206" s="6" t="s">
        <v>2</v>
      </c>
      <c r="E206" s="7" t="s">
        <v>74</v>
      </c>
      <c r="F206" s="7"/>
      <c r="G206" s="6"/>
      <c r="H206" s="6"/>
      <c r="I206" s="8">
        <v>45997</v>
      </c>
      <c r="J206" s="6"/>
      <c r="K206" s="6"/>
      <c r="L206" s="45"/>
      <c r="M206" s="6"/>
    </row>
    <row r="207" spans="1:13" hidden="1" x14ac:dyDescent="0.25">
      <c r="A207" s="43">
        <v>22291522505972</v>
      </c>
      <c r="C207" s="73" t="s">
        <v>45</v>
      </c>
      <c r="D207" s="6" t="s">
        <v>2</v>
      </c>
      <c r="E207" s="7" t="s">
        <v>74</v>
      </c>
      <c r="F207" s="7"/>
      <c r="G207" s="6"/>
      <c r="H207" s="6"/>
      <c r="I207" s="8">
        <v>45997</v>
      </c>
      <c r="J207" s="6"/>
      <c r="K207" s="6"/>
      <c r="L207" s="45"/>
      <c r="M207" s="6"/>
    </row>
    <row r="208" spans="1:13" hidden="1" x14ac:dyDescent="0.25">
      <c r="A208" s="43">
        <v>22291522505974</v>
      </c>
      <c r="C208" s="73" t="s">
        <v>45</v>
      </c>
      <c r="D208" s="6" t="s">
        <v>2</v>
      </c>
      <c r="E208" s="7" t="s">
        <v>74</v>
      </c>
      <c r="F208" s="7"/>
      <c r="G208" s="6"/>
      <c r="H208" s="6"/>
      <c r="I208" s="8">
        <v>45997</v>
      </c>
      <c r="J208" s="6"/>
      <c r="K208" s="6"/>
      <c r="L208" s="45"/>
      <c r="M208" s="6"/>
    </row>
    <row r="209" spans="1:13" hidden="1" x14ac:dyDescent="0.25">
      <c r="A209" s="43">
        <v>22291522505981</v>
      </c>
      <c r="C209" s="73" t="s">
        <v>45</v>
      </c>
      <c r="D209" s="6" t="s">
        <v>2</v>
      </c>
      <c r="E209" s="7" t="s">
        <v>74</v>
      </c>
      <c r="F209" s="7"/>
      <c r="G209" s="6"/>
      <c r="H209" s="6"/>
      <c r="I209" s="8">
        <v>45997</v>
      </c>
      <c r="J209" s="6"/>
      <c r="K209" s="6"/>
      <c r="L209" s="45"/>
      <c r="M209" s="6"/>
    </row>
    <row r="210" spans="1:13" hidden="1" x14ac:dyDescent="0.25">
      <c r="A210" s="43">
        <v>22291522505982</v>
      </c>
      <c r="C210" s="73" t="s">
        <v>45</v>
      </c>
      <c r="D210" s="6" t="s">
        <v>2</v>
      </c>
      <c r="E210" s="7" t="s">
        <v>74</v>
      </c>
      <c r="F210" s="7"/>
      <c r="G210" s="6"/>
      <c r="H210" s="6"/>
      <c r="I210" s="8">
        <v>45997</v>
      </c>
      <c r="J210" s="6"/>
      <c r="K210" s="6"/>
      <c r="L210" s="45"/>
      <c r="M210" s="6"/>
    </row>
    <row r="211" spans="1:13" hidden="1" x14ac:dyDescent="0.25">
      <c r="A211" s="43">
        <v>22291522505983</v>
      </c>
      <c r="C211" s="73" t="s">
        <v>45</v>
      </c>
      <c r="D211" s="6" t="s">
        <v>2</v>
      </c>
      <c r="E211" s="7" t="s">
        <v>74</v>
      </c>
      <c r="F211" s="7"/>
      <c r="G211" s="6"/>
      <c r="H211" s="6"/>
      <c r="I211" s="8">
        <v>45997</v>
      </c>
      <c r="J211" s="6"/>
      <c r="K211" s="6"/>
      <c r="L211" s="45"/>
      <c r="M211" s="6"/>
    </row>
    <row r="212" spans="1:13" hidden="1" x14ac:dyDescent="0.25">
      <c r="A212" s="43">
        <v>22291522505984</v>
      </c>
      <c r="C212" s="73" t="s">
        <v>45</v>
      </c>
      <c r="D212" s="6" t="s">
        <v>2</v>
      </c>
      <c r="E212" s="7" t="s">
        <v>74</v>
      </c>
      <c r="F212" s="7"/>
      <c r="G212" s="6"/>
      <c r="H212" s="6"/>
      <c r="I212" s="8">
        <v>45997</v>
      </c>
      <c r="J212" s="6"/>
      <c r="K212" s="6"/>
      <c r="L212" s="45"/>
      <c r="M212" s="6"/>
    </row>
    <row r="213" spans="1:13" hidden="1" x14ac:dyDescent="0.25">
      <c r="A213" s="43">
        <v>22291522505985</v>
      </c>
      <c r="B213" s="53"/>
      <c r="C213" s="73" t="s">
        <v>45</v>
      </c>
      <c r="D213" s="6" t="s">
        <v>2</v>
      </c>
      <c r="E213" s="7" t="s">
        <v>74</v>
      </c>
      <c r="F213" s="7"/>
      <c r="G213" s="6"/>
      <c r="H213" s="6"/>
      <c r="I213" s="8">
        <v>45997</v>
      </c>
      <c r="J213" s="6"/>
      <c r="K213" s="6"/>
      <c r="L213" s="45"/>
      <c r="M213" s="6"/>
    </row>
    <row r="214" spans="1:13" hidden="1" x14ac:dyDescent="0.25">
      <c r="A214" s="43">
        <v>22291522505986</v>
      </c>
      <c r="B214" s="53"/>
      <c r="C214" s="73" t="s">
        <v>45</v>
      </c>
      <c r="D214" s="6" t="s">
        <v>2</v>
      </c>
      <c r="E214" s="7" t="s">
        <v>74</v>
      </c>
      <c r="F214" s="7"/>
      <c r="G214" s="6"/>
      <c r="H214" s="6"/>
      <c r="I214" s="8">
        <v>45997</v>
      </c>
      <c r="J214" s="6"/>
      <c r="K214" s="6"/>
      <c r="L214" s="45"/>
      <c r="M214" s="6"/>
    </row>
    <row r="215" spans="1:13" hidden="1" x14ac:dyDescent="0.25">
      <c r="A215" s="43">
        <v>22291522506001</v>
      </c>
      <c r="B215" s="53"/>
      <c r="C215" s="73" t="s">
        <v>45</v>
      </c>
      <c r="D215" s="6" t="s">
        <v>2</v>
      </c>
      <c r="E215" s="7" t="s">
        <v>74</v>
      </c>
      <c r="F215" s="7"/>
      <c r="G215" s="6"/>
      <c r="H215" s="6"/>
      <c r="I215" s="8">
        <v>45997</v>
      </c>
      <c r="J215" s="6"/>
      <c r="K215" s="6"/>
      <c r="L215" s="45"/>
      <c r="M215" s="6"/>
    </row>
    <row r="216" spans="1:13" hidden="1" x14ac:dyDescent="0.25">
      <c r="A216" s="43">
        <v>22291522506004</v>
      </c>
      <c r="B216" s="53"/>
      <c r="C216" s="73" t="s">
        <v>45</v>
      </c>
      <c r="D216" s="6" t="s">
        <v>2</v>
      </c>
      <c r="E216" s="7" t="s">
        <v>74</v>
      </c>
      <c r="F216" s="7"/>
      <c r="G216" s="6"/>
      <c r="H216" s="6"/>
      <c r="I216" s="8">
        <v>45997</v>
      </c>
      <c r="J216" s="6"/>
      <c r="K216" s="6"/>
      <c r="L216" s="45"/>
      <c r="M216" s="6"/>
    </row>
    <row r="217" spans="1:13" hidden="1" x14ac:dyDescent="0.25">
      <c r="A217" s="43">
        <v>22291522506006</v>
      </c>
      <c r="C217" s="73" t="s">
        <v>45</v>
      </c>
      <c r="D217" s="6" t="s">
        <v>2</v>
      </c>
      <c r="E217" s="7" t="s">
        <v>74</v>
      </c>
      <c r="F217" s="7"/>
      <c r="G217" s="6"/>
      <c r="H217" s="6"/>
      <c r="I217" s="8">
        <v>45997</v>
      </c>
      <c r="J217" s="6"/>
      <c r="K217" s="6"/>
      <c r="L217" s="45"/>
      <c r="M217" s="6"/>
    </row>
    <row r="218" spans="1:13" hidden="1" x14ac:dyDescent="0.25">
      <c r="A218" s="43">
        <v>22291522506013</v>
      </c>
      <c r="B218" s="53"/>
      <c r="C218" s="73" t="s">
        <v>45</v>
      </c>
      <c r="D218" s="6" t="s">
        <v>2</v>
      </c>
      <c r="E218" s="7" t="s">
        <v>76</v>
      </c>
      <c r="F218" s="7"/>
      <c r="G218" s="6"/>
      <c r="H218" s="6"/>
      <c r="I218" s="8">
        <v>45997</v>
      </c>
      <c r="J218" s="6"/>
      <c r="K218" s="6"/>
      <c r="L218" s="45"/>
      <c r="M218" s="6"/>
    </row>
    <row r="219" spans="1:13" hidden="1" x14ac:dyDescent="0.25">
      <c r="A219" s="43">
        <v>22292524701380</v>
      </c>
      <c r="B219" s="6" t="s">
        <v>108</v>
      </c>
      <c r="C219" s="73" t="s">
        <v>31</v>
      </c>
      <c r="D219" s="6" t="s">
        <v>2</v>
      </c>
      <c r="E219" s="7" t="s">
        <v>74</v>
      </c>
      <c r="F219" s="7"/>
      <c r="G219" s="6"/>
      <c r="H219" s="6"/>
      <c r="I219" s="8">
        <v>45997</v>
      </c>
      <c r="J219" s="6"/>
      <c r="K219" s="6"/>
      <c r="L219" s="45"/>
      <c r="M219" s="6"/>
    </row>
    <row r="220" spans="1:13" hidden="1" x14ac:dyDescent="0.25">
      <c r="A220" s="43">
        <v>22292524701416</v>
      </c>
      <c r="B220" s="6" t="s">
        <v>109</v>
      </c>
      <c r="C220" s="73" t="s">
        <v>31</v>
      </c>
      <c r="D220" s="6" t="s">
        <v>2</v>
      </c>
      <c r="E220" s="7" t="s">
        <v>74</v>
      </c>
      <c r="F220" s="7"/>
      <c r="G220" s="6"/>
      <c r="H220" s="6"/>
      <c r="I220" s="8">
        <v>45997</v>
      </c>
      <c r="J220" s="6"/>
      <c r="K220" s="6"/>
      <c r="L220" s="45"/>
      <c r="M220" s="6"/>
    </row>
    <row r="221" spans="1:13" hidden="1" x14ac:dyDescent="0.25">
      <c r="A221" s="43">
        <v>22292524701427</v>
      </c>
      <c r="B221" t="s">
        <v>110</v>
      </c>
      <c r="C221" s="73" t="s">
        <v>31</v>
      </c>
      <c r="D221" s="6" t="s">
        <v>2</v>
      </c>
      <c r="E221" s="7" t="s">
        <v>74</v>
      </c>
      <c r="F221" s="7"/>
      <c r="G221" s="6"/>
      <c r="H221" s="6"/>
      <c r="I221" s="8">
        <v>45997</v>
      </c>
      <c r="J221" s="6"/>
      <c r="K221" s="6"/>
      <c r="L221" s="45"/>
      <c r="M221" s="6"/>
    </row>
    <row r="222" spans="1:13" hidden="1" x14ac:dyDescent="0.25">
      <c r="A222" s="43">
        <v>22293524700004</v>
      </c>
      <c r="B222" t="s">
        <v>111</v>
      </c>
      <c r="C222" s="73" t="s">
        <v>31</v>
      </c>
      <c r="D222" s="6" t="s">
        <v>2</v>
      </c>
      <c r="E222" s="7" t="s">
        <v>74</v>
      </c>
      <c r="F222" s="7"/>
      <c r="G222" s="6"/>
      <c r="H222" s="6"/>
      <c r="I222" s="8">
        <v>45997</v>
      </c>
      <c r="J222" s="6"/>
      <c r="K222" s="6"/>
      <c r="L222" s="45"/>
      <c r="M222" s="6"/>
    </row>
    <row r="223" spans="1:13" hidden="1" x14ac:dyDescent="0.25">
      <c r="A223" s="43">
        <v>22293524700010</v>
      </c>
      <c r="B223" s="6" t="s">
        <v>112</v>
      </c>
      <c r="C223" s="73" t="s">
        <v>31</v>
      </c>
      <c r="D223" s="6" t="s">
        <v>2</v>
      </c>
      <c r="E223" s="7" t="s">
        <v>74</v>
      </c>
      <c r="F223" s="7"/>
      <c r="G223" s="6"/>
      <c r="H223" s="10"/>
      <c r="I223" s="8">
        <v>45997</v>
      </c>
      <c r="J223" s="6"/>
      <c r="K223" s="6"/>
      <c r="L223" s="45"/>
      <c r="M223" s="6"/>
    </row>
    <row r="224" spans="1:13" hidden="1" x14ac:dyDescent="0.25">
      <c r="A224" s="43">
        <v>22293524700050</v>
      </c>
      <c r="B224" s="6" t="s">
        <v>113</v>
      </c>
      <c r="C224" s="73" t="s">
        <v>31</v>
      </c>
      <c r="D224" s="6" t="s">
        <v>2</v>
      </c>
      <c r="E224" s="7" t="s">
        <v>74</v>
      </c>
      <c r="F224" s="7"/>
      <c r="G224" s="6"/>
      <c r="H224" s="6"/>
      <c r="I224" s="8">
        <v>45997</v>
      </c>
      <c r="J224" s="6"/>
      <c r="K224" s="6"/>
      <c r="L224" s="45"/>
      <c r="M224" s="6"/>
    </row>
    <row r="225" spans="1:13" hidden="1" x14ac:dyDescent="0.25">
      <c r="A225" s="43">
        <v>22293524700086</v>
      </c>
      <c r="B225" s="6" t="s">
        <v>114</v>
      </c>
      <c r="C225" s="73" t="s">
        <v>31</v>
      </c>
      <c r="D225" s="6" t="s">
        <v>2</v>
      </c>
      <c r="E225" s="7" t="s">
        <v>74</v>
      </c>
      <c r="F225" s="7"/>
      <c r="G225" s="6"/>
      <c r="H225" s="6"/>
      <c r="I225" s="8">
        <v>45997</v>
      </c>
      <c r="J225" s="6"/>
      <c r="K225" s="6"/>
      <c r="L225" s="45"/>
      <c r="M225" s="6"/>
    </row>
    <row r="226" spans="1:13" hidden="1" x14ac:dyDescent="0.25">
      <c r="A226" s="43">
        <v>22293524700101</v>
      </c>
      <c r="B226" t="s">
        <v>115</v>
      </c>
      <c r="C226" s="73" t="s">
        <v>31</v>
      </c>
      <c r="D226" s="6" t="s">
        <v>2</v>
      </c>
      <c r="E226" s="7" t="s">
        <v>74</v>
      </c>
      <c r="F226" s="7"/>
      <c r="G226" s="6"/>
      <c r="H226" s="6"/>
      <c r="I226" s="8">
        <v>45997</v>
      </c>
      <c r="J226" s="6"/>
      <c r="K226" s="6"/>
      <c r="L226" s="45"/>
      <c r="M226" s="6"/>
    </row>
    <row r="227" spans="1:13" hidden="1" x14ac:dyDescent="0.25">
      <c r="A227" s="43">
        <v>22293524700120</v>
      </c>
      <c r="B227" s="6" t="s">
        <v>116</v>
      </c>
      <c r="C227" s="73" t="s">
        <v>31</v>
      </c>
      <c r="D227" s="6" t="s">
        <v>2</v>
      </c>
      <c r="E227" s="7" t="s">
        <v>74</v>
      </c>
      <c r="F227" s="7"/>
      <c r="G227" s="6"/>
      <c r="H227" s="6"/>
      <c r="I227" s="8">
        <v>45997</v>
      </c>
      <c r="J227" s="6"/>
      <c r="K227" s="6"/>
      <c r="L227" s="45"/>
      <c r="M227" s="6"/>
    </row>
    <row r="228" spans="1:13" hidden="1" x14ac:dyDescent="0.25">
      <c r="A228" s="43">
        <v>22293524700256</v>
      </c>
      <c r="B228" t="s">
        <v>117</v>
      </c>
      <c r="C228" s="73" t="s">
        <v>31</v>
      </c>
      <c r="D228" s="6" t="s">
        <v>2</v>
      </c>
      <c r="E228" s="7" t="s">
        <v>74</v>
      </c>
      <c r="F228" s="7"/>
      <c r="G228" s="6"/>
      <c r="H228" s="6"/>
      <c r="I228" s="8">
        <v>45997</v>
      </c>
      <c r="J228" s="6"/>
      <c r="K228" s="6"/>
      <c r="L228" s="45"/>
      <c r="M228" s="6"/>
    </row>
    <row r="229" spans="1:13" hidden="1" x14ac:dyDescent="0.25">
      <c r="A229" s="43">
        <v>22293524700437</v>
      </c>
      <c r="B229" t="s">
        <v>118</v>
      </c>
      <c r="C229" s="73" t="s">
        <v>31</v>
      </c>
      <c r="D229" s="6" t="s">
        <v>2</v>
      </c>
      <c r="E229" s="7" t="s">
        <v>74</v>
      </c>
      <c r="F229" s="7"/>
      <c r="G229" s="6"/>
      <c r="H229" s="6"/>
      <c r="I229" s="8">
        <v>45997</v>
      </c>
      <c r="J229" s="6"/>
      <c r="K229" s="6"/>
      <c r="L229" s="45"/>
      <c r="M229" s="6"/>
    </row>
    <row r="230" spans="1:13" hidden="1" x14ac:dyDescent="0.25">
      <c r="A230" s="43">
        <v>22293524700446</v>
      </c>
      <c r="B230" t="s">
        <v>119</v>
      </c>
      <c r="C230" s="73" t="s">
        <v>31</v>
      </c>
      <c r="D230" s="6" t="s">
        <v>2</v>
      </c>
      <c r="E230" s="7" t="s">
        <v>74</v>
      </c>
      <c r="F230" s="7"/>
      <c r="G230" s="6"/>
      <c r="H230" s="6"/>
      <c r="I230" s="8">
        <v>45997</v>
      </c>
      <c r="J230" s="6"/>
      <c r="K230" s="6"/>
      <c r="L230" s="45"/>
      <c r="M230" s="6"/>
    </row>
    <row r="231" spans="1:13" hidden="1" x14ac:dyDescent="0.25">
      <c r="A231" s="43">
        <v>22293524700476</v>
      </c>
      <c r="B231" t="s">
        <v>120</v>
      </c>
      <c r="C231" s="73" t="s">
        <v>31</v>
      </c>
      <c r="D231" s="6" t="s">
        <v>2</v>
      </c>
      <c r="E231" s="7" t="s">
        <v>74</v>
      </c>
      <c r="F231" s="7"/>
      <c r="G231" s="6"/>
      <c r="H231" s="6"/>
      <c r="I231" s="8">
        <v>45997</v>
      </c>
      <c r="J231" s="6"/>
      <c r="K231" s="6"/>
      <c r="L231" s="45"/>
      <c r="M231" s="6"/>
    </row>
    <row r="232" spans="1:13" hidden="1" x14ac:dyDescent="0.25">
      <c r="A232" s="43">
        <v>22293524700491</v>
      </c>
      <c r="B232" t="s">
        <v>121</v>
      </c>
      <c r="C232" s="73" t="s">
        <v>31</v>
      </c>
      <c r="D232" s="6" t="s">
        <v>2</v>
      </c>
      <c r="E232" s="7" t="s">
        <v>74</v>
      </c>
      <c r="F232" s="7"/>
      <c r="G232" s="6"/>
      <c r="H232" s="6"/>
      <c r="I232" s="8">
        <v>45997</v>
      </c>
      <c r="J232" s="6"/>
      <c r="K232" s="6"/>
      <c r="L232" s="45"/>
      <c r="M232" s="6"/>
    </row>
    <row r="233" spans="1:13" hidden="1" x14ac:dyDescent="0.25">
      <c r="A233" s="43">
        <v>22293524700501</v>
      </c>
      <c r="B233" t="s">
        <v>122</v>
      </c>
      <c r="C233" s="73" t="s">
        <v>31</v>
      </c>
      <c r="D233" s="6" t="s">
        <v>2</v>
      </c>
      <c r="E233" s="7" t="s">
        <v>74</v>
      </c>
      <c r="F233" s="7"/>
      <c r="G233" s="6"/>
      <c r="H233" s="6"/>
      <c r="I233" s="8">
        <v>45997</v>
      </c>
      <c r="J233" s="6"/>
      <c r="K233" s="6"/>
      <c r="L233" s="45"/>
      <c r="M233" s="6"/>
    </row>
    <row r="234" spans="1:13" hidden="1" x14ac:dyDescent="0.25">
      <c r="A234" s="43">
        <v>22293524700535</v>
      </c>
      <c r="B234" t="s">
        <v>123</v>
      </c>
      <c r="C234" s="73" t="s">
        <v>31</v>
      </c>
      <c r="D234" s="6" t="s">
        <v>2</v>
      </c>
      <c r="E234" s="7" t="s">
        <v>74</v>
      </c>
      <c r="F234" s="7"/>
      <c r="G234" s="6"/>
      <c r="H234" s="6"/>
      <c r="I234" s="8">
        <v>45997</v>
      </c>
      <c r="J234" s="6"/>
      <c r="K234" s="6"/>
      <c r="L234" s="45"/>
      <c r="M234" s="6"/>
    </row>
    <row r="235" spans="1:13" hidden="1" x14ac:dyDescent="0.25">
      <c r="A235" s="43">
        <v>22293524700538</v>
      </c>
      <c r="B235" t="s">
        <v>124</v>
      </c>
      <c r="C235" s="73" t="s">
        <v>31</v>
      </c>
      <c r="D235" s="6" t="s">
        <v>2</v>
      </c>
      <c r="E235" s="7" t="s">
        <v>74</v>
      </c>
      <c r="F235" s="7"/>
      <c r="G235" s="6"/>
      <c r="H235" s="6"/>
      <c r="I235" s="8">
        <v>45997</v>
      </c>
      <c r="J235" s="6"/>
      <c r="K235" s="6"/>
      <c r="L235" s="45"/>
      <c r="M235" s="6"/>
    </row>
    <row r="236" spans="1:13" hidden="1" x14ac:dyDescent="0.25">
      <c r="A236" s="43">
        <v>22293524700563</v>
      </c>
      <c r="B236" t="s">
        <v>125</v>
      </c>
      <c r="C236" s="73" t="s">
        <v>31</v>
      </c>
      <c r="D236" s="6" t="s">
        <v>2</v>
      </c>
      <c r="E236" s="7" t="s">
        <v>74</v>
      </c>
      <c r="F236" s="7"/>
      <c r="G236" s="6"/>
      <c r="H236" s="6"/>
      <c r="I236" s="8">
        <v>45997</v>
      </c>
      <c r="J236" s="6"/>
      <c r="K236" s="6"/>
      <c r="L236" s="45"/>
      <c r="M236" s="6"/>
    </row>
    <row r="237" spans="1:13" hidden="1" x14ac:dyDescent="0.25">
      <c r="A237" s="43">
        <v>22293524700580</v>
      </c>
      <c r="B237" t="s">
        <v>126</v>
      </c>
      <c r="C237" s="73" t="s">
        <v>31</v>
      </c>
      <c r="D237" s="6" t="s">
        <v>2</v>
      </c>
      <c r="E237" s="7" t="s">
        <v>74</v>
      </c>
      <c r="F237" s="7"/>
      <c r="G237" s="6"/>
      <c r="H237" s="6"/>
      <c r="I237" s="8">
        <v>45997</v>
      </c>
      <c r="J237" s="6"/>
      <c r="K237" s="6"/>
      <c r="L237" s="45"/>
      <c r="M237" s="6"/>
    </row>
    <row r="238" spans="1:13" hidden="1" x14ac:dyDescent="0.25">
      <c r="A238" s="43">
        <v>22293524700885</v>
      </c>
      <c r="B238" t="s">
        <v>127</v>
      </c>
      <c r="C238" s="73" t="s">
        <v>31</v>
      </c>
      <c r="D238" s="6" t="s">
        <v>2</v>
      </c>
      <c r="E238" s="7" t="s">
        <v>74</v>
      </c>
      <c r="F238" s="7"/>
      <c r="G238" s="6"/>
      <c r="H238" s="6"/>
      <c r="I238" s="8">
        <v>45997</v>
      </c>
      <c r="J238" s="6"/>
      <c r="K238" s="6"/>
      <c r="L238" s="45"/>
      <c r="M238" s="6"/>
    </row>
    <row r="239" spans="1:13" hidden="1" x14ac:dyDescent="0.25">
      <c r="A239" s="43">
        <v>22293524700935</v>
      </c>
      <c r="B239" t="s">
        <v>128</v>
      </c>
      <c r="C239" s="73" t="s">
        <v>31</v>
      </c>
      <c r="D239" s="6" t="s">
        <v>2</v>
      </c>
      <c r="E239" s="7" t="s">
        <v>74</v>
      </c>
      <c r="F239" s="7"/>
      <c r="G239" s="6"/>
      <c r="H239" s="6"/>
      <c r="I239" s="8">
        <v>45997</v>
      </c>
      <c r="J239" s="6"/>
      <c r="K239" s="6"/>
      <c r="L239" s="45"/>
      <c r="M239" s="6"/>
    </row>
    <row r="240" spans="1:13" hidden="1" x14ac:dyDescent="0.25">
      <c r="A240" s="43">
        <v>22293524701109</v>
      </c>
      <c r="B240" t="s">
        <v>129</v>
      </c>
      <c r="C240" s="73" t="s">
        <v>31</v>
      </c>
      <c r="D240" s="6" t="s">
        <v>2</v>
      </c>
      <c r="E240" s="7" t="s">
        <v>74</v>
      </c>
      <c r="F240" s="7"/>
      <c r="G240" s="6"/>
      <c r="H240" s="6"/>
      <c r="I240" s="8">
        <v>45997</v>
      </c>
      <c r="J240" s="6"/>
      <c r="K240" s="6"/>
      <c r="L240" s="45"/>
      <c r="M240" s="6"/>
    </row>
    <row r="241" spans="1:13" hidden="1" x14ac:dyDescent="0.25">
      <c r="A241" s="43">
        <v>22293524701200</v>
      </c>
      <c r="B241" t="s">
        <v>130</v>
      </c>
      <c r="C241" s="73" t="s">
        <v>31</v>
      </c>
      <c r="D241" s="6" t="s">
        <v>2</v>
      </c>
      <c r="E241" s="7" t="s">
        <v>74</v>
      </c>
      <c r="F241" s="7"/>
      <c r="G241" s="6"/>
      <c r="H241" s="6"/>
      <c r="I241" s="8">
        <v>45997</v>
      </c>
      <c r="J241" s="6"/>
      <c r="K241" s="6"/>
      <c r="L241" s="45"/>
      <c r="M241" s="6"/>
    </row>
    <row r="242" spans="1:13" hidden="1" x14ac:dyDescent="0.25">
      <c r="A242" s="43">
        <v>22293524701250</v>
      </c>
      <c r="B242" t="s">
        <v>131</v>
      </c>
      <c r="C242" s="73" t="s">
        <v>31</v>
      </c>
      <c r="D242" s="6" t="s">
        <v>2</v>
      </c>
      <c r="E242" s="7" t="s">
        <v>74</v>
      </c>
      <c r="F242" s="7"/>
      <c r="G242" s="6"/>
      <c r="H242" s="6"/>
      <c r="I242" s="8">
        <v>45997</v>
      </c>
      <c r="J242" s="6"/>
      <c r="K242" s="6"/>
      <c r="L242" s="45"/>
      <c r="M242" s="6"/>
    </row>
    <row r="243" spans="1:13" hidden="1" x14ac:dyDescent="0.25">
      <c r="A243" s="43">
        <v>22293524701293</v>
      </c>
      <c r="B243" t="s">
        <v>132</v>
      </c>
      <c r="C243" s="73" t="s">
        <v>31</v>
      </c>
      <c r="D243" s="6" t="s">
        <v>2</v>
      </c>
      <c r="E243" s="7" t="s">
        <v>74</v>
      </c>
      <c r="F243" s="7"/>
      <c r="G243" s="6"/>
      <c r="H243" s="6"/>
      <c r="I243" s="8">
        <v>45997</v>
      </c>
      <c r="J243" s="6"/>
      <c r="K243" s="6"/>
      <c r="L243" s="45"/>
      <c r="M243" s="6"/>
    </row>
    <row r="244" spans="1:13" hidden="1" x14ac:dyDescent="0.25">
      <c r="A244" s="43">
        <v>22293524701312</v>
      </c>
      <c r="B244" t="s">
        <v>133</v>
      </c>
      <c r="C244" s="73" t="s">
        <v>31</v>
      </c>
      <c r="D244" s="6" t="s">
        <v>2</v>
      </c>
      <c r="E244" s="7" t="s">
        <v>74</v>
      </c>
      <c r="F244" s="7"/>
      <c r="G244" s="6"/>
      <c r="H244" s="6"/>
      <c r="I244" s="8">
        <v>45997</v>
      </c>
      <c r="J244" s="6"/>
      <c r="K244" s="6"/>
      <c r="L244" s="45"/>
      <c r="M244" s="6"/>
    </row>
    <row r="245" spans="1:13" hidden="1" x14ac:dyDescent="0.25">
      <c r="A245" s="43">
        <v>22293524701316</v>
      </c>
      <c r="B245" t="s">
        <v>134</v>
      </c>
      <c r="C245" s="73" t="s">
        <v>31</v>
      </c>
      <c r="D245" s="6" t="s">
        <v>2</v>
      </c>
      <c r="E245" s="7" t="s">
        <v>74</v>
      </c>
      <c r="F245" s="7"/>
      <c r="G245" s="6"/>
      <c r="H245" s="6"/>
      <c r="I245" s="8">
        <v>45997</v>
      </c>
      <c r="J245" s="6"/>
      <c r="K245" s="6"/>
      <c r="L245" s="45"/>
      <c r="M245" s="6"/>
    </row>
    <row r="246" spans="1:13" hidden="1" x14ac:dyDescent="0.25">
      <c r="A246" s="43">
        <v>22293524701318</v>
      </c>
      <c r="B246" t="s">
        <v>135</v>
      </c>
      <c r="C246" s="73" t="s">
        <v>31</v>
      </c>
      <c r="D246" s="6" t="s">
        <v>2</v>
      </c>
      <c r="E246" s="7" t="s">
        <v>74</v>
      </c>
      <c r="F246" s="7"/>
      <c r="G246" s="6"/>
      <c r="H246" s="6"/>
      <c r="I246" s="8">
        <v>45997</v>
      </c>
      <c r="J246" s="6"/>
      <c r="K246" s="6"/>
      <c r="L246" s="45"/>
      <c r="M246" s="6"/>
    </row>
    <row r="247" spans="1:13" hidden="1" x14ac:dyDescent="0.25">
      <c r="A247" s="43">
        <v>22293524701339</v>
      </c>
      <c r="B247" t="s">
        <v>136</v>
      </c>
      <c r="C247" s="73" t="s">
        <v>31</v>
      </c>
      <c r="D247" s="6" t="s">
        <v>2</v>
      </c>
      <c r="E247" s="7" t="s">
        <v>74</v>
      </c>
      <c r="F247" s="7"/>
      <c r="G247" s="6"/>
      <c r="H247" s="6"/>
      <c r="I247" s="8">
        <v>45997</v>
      </c>
      <c r="J247" s="6"/>
      <c r="K247" s="6"/>
      <c r="L247" s="45"/>
      <c r="M247" s="6"/>
    </row>
    <row r="248" spans="1:13" hidden="1" x14ac:dyDescent="0.25">
      <c r="A248" s="43">
        <v>22293524701363</v>
      </c>
      <c r="B248" t="s">
        <v>137</v>
      </c>
      <c r="C248" s="73" t="s">
        <v>31</v>
      </c>
      <c r="D248" s="6" t="s">
        <v>2</v>
      </c>
      <c r="E248" s="7" t="s">
        <v>74</v>
      </c>
      <c r="F248" s="7"/>
      <c r="G248" s="6"/>
      <c r="H248" s="6"/>
      <c r="I248" s="8">
        <v>45997</v>
      </c>
      <c r="J248" s="6"/>
      <c r="K248" s="6"/>
      <c r="L248" s="45"/>
      <c r="M248" s="6"/>
    </row>
    <row r="249" spans="1:13" hidden="1" x14ac:dyDescent="0.25">
      <c r="A249" s="43">
        <v>22293524701382</v>
      </c>
      <c r="B249" s="10" t="s">
        <v>138</v>
      </c>
      <c r="C249" s="73" t="s">
        <v>31</v>
      </c>
      <c r="D249" s="6" t="s">
        <v>2</v>
      </c>
      <c r="E249" s="7" t="s">
        <v>74</v>
      </c>
      <c r="F249" s="7"/>
      <c r="G249" s="6"/>
      <c r="H249" s="6"/>
      <c r="I249" s="8">
        <v>45997</v>
      </c>
      <c r="J249" s="6"/>
      <c r="K249" s="6"/>
      <c r="L249" s="45"/>
      <c r="M249" s="6"/>
    </row>
    <row r="250" spans="1:13" hidden="1" x14ac:dyDescent="0.25">
      <c r="A250" s="43">
        <v>22293524701395</v>
      </c>
      <c r="B250" s="10" t="s">
        <v>139</v>
      </c>
      <c r="C250" s="73" t="s">
        <v>31</v>
      </c>
      <c r="D250" s="6" t="s">
        <v>2</v>
      </c>
      <c r="E250" s="7" t="s">
        <v>74</v>
      </c>
      <c r="F250" s="7"/>
      <c r="G250" s="6"/>
      <c r="H250" s="6"/>
      <c r="I250" s="8">
        <v>45997</v>
      </c>
      <c r="J250" s="6"/>
      <c r="K250" s="6"/>
      <c r="L250" s="45"/>
      <c r="M250" s="6"/>
    </row>
    <row r="251" spans="1:13" hidden="1" x14ac:dyDescent="0.25">
      <c r="A251" s="43">
        <v>22293524701468</v>
      </c>
      <c r="B251" s="10" t="s">
        <v>140</v>
      </c>
      <c r="C251" s="73" t="s">
        <v>31</v>
      </c>
      <c r="D251" s="6" t="s">
        <v>2</v>
      </c>
      <c r="E251" s="7" t="s">
        <v>74</v>
      </c>
      <c r="F251" s="7"/>
      <c r="G251" s="6"/>
      <c r="H251" s="6"/>
      <c r="I251" s="8">
        <v>45997</v>
      </c>
      <c r="J251" s="6"/>
      <c r="K251" s="6"/>
      <c r="L251" s="45"/>
      <c r="M251" s="6"/>
    </row>
    <row r="252" spans="1:13" hidden="1" x14ac:dyDescent="0.25">
      <c r="A252" s="43">
        <v>22293524701485</v>
      </c>
      <c r="B252" s="145" t="s">
        <v>141</v>
      </c>
      <c r="C252" s="73" t="s">
        <v>31</v>
      </c>
      <c r="D252" s="6" t="s">
        <v>2</v>
      </c>
      <c r="E252" s="7" t="s">
        <v>74</v>
      </c>
      <c r="F252" s="7"/>
      <c r="G252" s="6"/>
      <c r="H252" s="6"/>
      <c r="I252" s="8">
        <v>45997</v>
      </c>
      <c r="J252" s="6"/>
      <c r="K252" s="6"/>
      <c r="L252" s="45"/>
      <c r="M252" s="6"/>
    </row>
    <row r="253" spans="1:13" hidden="1" x14ac:dyDescent="0.25">
      <c r="A253" s="43">
        <v>22293524701510</v>
      </c>
      <c r="B253" s="10" t="s">
        <v>142</v>
      </c>
      <c r="C253" s="73" t="s">
        <v>31</v>
      </c>
      <c r="D253" s="6" t="s">
        <v>2</v>
      </c>
      <c r="E253" s="7" t="s">
        <v>74</v>
      </c>
      <c r="F253" s="7"/>
      <c r="G253" s="6"/>
      <c r="H253" s="6"/>
      <c r="I253" s="8">
        <v>45997</v>
      </c>
      <c r="J253" s="6"/>
      <c r="K253" s="6"/>
      <c r="L253" s="45"/>
      <c r="M253" s="6"/>
    </row>
    <row r="254" spans="1:13" hidden="1" x14ac:dyDescent="0.25">
      <c r="A254" s="43">
        <v>22293524701544</v>
      </c>
      <c r="B254" s="10" t="s">
        <v>143</v>
      </c>
      <c r="C254" s="73" t="s">
        <v>31</v>
      </c>
      <c r="D254" s="6" t="s">
        <v>2</v>
      </c>
      <c r="E254" s="7" t="s">
        <v>74</v>
      </c>
      <c r="F254" s="7"/>
      <c r="G254" s="6"/>
      <c r="H254" s="6"/>
      <c r="I254" s="8">
        <v>45997</v>
      </c>
      <c r="J254" s="6"/>
      <c r="K254" s="6"/>
      <c r="L254" s="45"/>
      <c r="M254" s="6"/>
    </row>
    <row r="255" spans="1:13" hidden="1" x14ac:dyDescent="0.25">
      <c r="A255" s="43">
        <v>22293524701594</v>
      </c>
      <c r="B255" s="10" t="s">
        <v>144</v>
      </c>
      <c r="C255" s="73" t="s">
        <v>31</v>
      </c>
      <c r="D255" s="6" t="s">
        <v>2</v>
      </c>
      <c r="E255" s="7" t="s">
        <v>74</v>
      </c>
      <c r="F255" s="7"/>
      <c r="G255" s="6"/>
      <c r="H255" s="6"/>
      <c r="I255" s="8">
        <v>45997</v>
      </c>
      <c r="J255" s="6"/>
      <c r="K255" s="6"/>
      <c r="L255" s="45"/>
      <c r="M255" s="6"/>
    </row>
    <row r="256" spans="1:13" hidden="1" x14ac:dyDescent="0.25">
      <c r="A256" s="43">
        <v>22293524701600</v>
      </c>
      <c r="B256" s="10" t="s">
        <v>145</v>
      </c>
      <c r="C256" s="73" t="s">
        <v>31</v>
      </c>
      <c r="D256" s="6" t="s">
        <v>2</v>
      </c>
      <c r="E256" s="7" t="s">
        <v>74</v>
      </c>
      <c r="F256" s="7"/>
      <c r="G256" s="6"/>
      <c r="H256" s="6"/>
      <c r="I256" s="8">
        <v>45997</v>
      </c>
      <c r="J256" s="6"/>
      <c r="K256" s="6"/>
      <c r="L256" s="45"/>
      <c r="M256" s="6"/>
    </row>
    <row r="257" spans="1:13" hidden="1" x14ac:dyDescent="0.25">
      <c r="A257" s="43">
        <v>22293524701603</v>
      </c>
      <c r="B257" s="10" t="s">
        <v>146</v>
      </c>
      <c r="C257" s="73" t="s">
        <v>31</v>
      </c>
      <c r="D257" s="6" t="s">
        <v>2</v>
      </c>
      <c r="E257" s="7" t="s">
        <v>74</v>
      </c>
      <c r="F257" s="7"/>
      <c r="G257" s="6"/>
      <c r="H257" s="6"/>
      <c r="I257" s="8">
        <v>45997</v>
      </c>
      <c r="J257" s="6"/>
      <c r="K257" s="6"/>
      <c r="L257" s="45"/>
      <c r="M257" s="6"/>
    </row>
    <row r="258" spans="1:13" hidden="1" x14ac:dyDescent="0.25">
      <c r="A258" s="43">
        <v>22293524701681</v>
      </c>
      <c r="B258" s="10" t="s">
        <v>147</v>
      </c>
      <c r="C258" s="73" t="s">
        <v>31</v>
      </c>
      <c r="D258" s="6" t="s">
        <v>2</v>
      </c>
      <c r="E258" s="7" t="s">
        <v>74</v>
      </c>
      <c r="F258" s="7"/>
      <c r="G258" s="6"/>
      <c r="H258" s="6"/>
      <c r="I258" s="8">
        <v>45997</v>
      </c>
      <c r="J258" s="6"/>
      <c r="K258" s="6"/>
      <c r="L258" s="45"/>
      <c r="M258" s="6"/>
    </row>
    <row r="259" spans="1:13" hidden="1" x14ac:dyDescent="0.25">
      <c r="A259" s="43">
        <v>22293524701686</v>
      </c>
      <c r="B259" s="10" t="s">
        <v>148</v>
      </c>
      <c r="C259" s="73" t="s">
        <v>31</v>
      </c>
      <c r="D259" s="6" t="s">
        <v>2</v>
      </c>
      <c r="E259" s="7" t="s">
        <v>74</v>
      </c>
      <c r="F259" s="7"/>
      <c r="G259" s="6"/>
      <c r="H259" s="6"/>
      <c r="I259" s="8">
        <v>45997</v>
      </c>
      <c r="J259" s="6"/>
      <c r="K259" s="6"/>
      <c r="L259" s="45"/>
      <c r="M259" s="6"/>
    </row>
    <row r="260" spans="1:13" hidden="1" x14ac:dyDescent="0.25">
      <c r="A260" s="43">
        <v>22293524701715</v>
      </c>
      <c r="B260" s="10" t="s">
        <v>149</v>
      </c>
      <c r="C260" s="73" t="s">
        <v>31</v>
      </c>
      <c r="D260" s="6" t="s">
        <v>2</v>
      </c>
      <c r="E260" s="7" t="s">
        <v>74</v>
      </c>
      <c r="F260" s="7"/>
      <c r="G260" s="6"/>
      <c r="H260" s="6"/>
      <c r="I260" s="8">
        <v>45997</v>
      </c>
      <c r="J260" s="6"/>
      <c r="K260" s="6"/>
      <c r="L260" s="45"/>
      <c r="M260" s="6"/>
    </row>
    <row r="261" spans="1:13" hidden="1" x14ac:dyDescent="0.25">
      <c r="A261" s="43">
        <v>22293524701735</v>
      </c>
      <c r="B261" s="10" t="s">
        <v>150</v>
      </c>
      <c r="C261" s="73" t="s">
        <v>31</v>
      </c>
      <c r="D261" s="6" t="s">
        <v>2</v>
      </c>
      <c r="E261" s="7" t="s">
        <v>74</v>
      </c>
      <c r="F261" s="7"/>
      <c r="G261" s="6"/>
      <c r="H261" s="6"/>
      <c r="I261" s="8">
        <v>45997</v>
      </c>
      <c r="J261" s="6"/>
      <c r="K261" s="6"/>
      <c r="L261" s="45"/>
      <c r="M261" s="6"/>
    </row>
    <row r="262" spans="1:13" hidden="1" x14ac:dyDescent="0.25">
      <c r="A262" s="43">
        <v>22293524701769</v>
      </c>
      <c r="B262" s="10" t="s">
        <v>151</v>
      </c>
      <c r="C262" s="73" t="s">
        <v>31</v>
      </c>
      <c r="D262" s="6" t="s">
        <v>2</v>
      </c>
      <c r="E262" s="7" t="s">
        <v>74</v>
      </c>
      <c r="F262" s="7"/>
      <c r="G262" s="6"/>
      <c r="H262" s="6"/>
      <c r="I262" s="8">
        <v>45997</v>
      </c>
      <c r="J262" s="6"/>
      <c r="K262" s="6"/>
      <c r="L262" s="45"/>
      <c r="M262" s="6"/>
    </row>
    <row r="263" spans="1:13" hidden="1" x14ac:dyDescent="0.25">
      <c r="A263" s="43">
        <v>22293524701834</v>
      </c>
      <c r="B263" s="10" t="s">
        <v>152</v>
      </c>
      <c r="C263" s="73" t="s">
        <v>31</v>
      </c>
      <c r="D263" s="6" t="s">
        <v>2</v>
      </c>
      <c r="E263" s="7" t="s">
        <v>74</v>
      </c>
      <c r="F263" s="7"/>
      <c r="G263" s="6"/>
      <c r="H263" s="6"/>
      <c r="I263" s="8">
        <v>45997</v>
      </c>
      <c r="J263" s="6"/>
      <c r="K263" s="6"/>
      <c r="L263" s="45"/>
      <c r="M263" s="6"/>
    </row>
    <row r="264" spans="1:13" hidden="1" x14ac:dyDescent="0.25">
      <c r="A264" s="43">
        <v>22293524701850</v>
      </c>
      <c r="B264" s="10" t="s">
        <v>153</v>
      </c>
      <c r="C264" s="73" t="s">
        <v>31</v>
      </c>
      <c r="D264" s="6" t="s">
        <v>2</v>
      </c>
      <c r="E264" s="7" t="s">
        <v>74</v>
      </c>
      <c r="F264" s="7"/>
      <c r="G264" s="6"/>
      <c r="H264" s="6"/>
      <c r="I264" s="8">
        <v>45997</v>
      </c>
      <c r="J264" s="6"/>
      <c r="K264" s="6"/>
      <c r="L264" s="45"/>
      <c r="M264" s="6"/>
    </row>
    <row r="265" spans="1:13" hidden="1" x14ac:dyDescent="0.25">
      <c r="A265" s="43">
        <v>22293524701891</v>
      </c>
      <c r="B265" s="10" t="s">
        <v>154</v>
      </c>
      <c r="C265" s="73" t="s">
        <v>31</v>
      </c>
      <c r="D265" s="6" t="s">
        <v>2</v>
      </c>
      <c r="E265" s="7" t="s">
        <v>74</v>
      </c>
      <c r="F265" s="7"/>
      <c r="G265" s="6"/>
      <c r="H265" s="6"/>
      <c r="I265" s="8">
        <v>45997</v>
      </c>
      <c r="J265" s="6"/>
      <c r="K265" s="6"/>
      <c r="L265" s="45"/>
      <c r="M265" s="6"/>
    </row>
    <row r="266" spans="1:13" hidden="1" x14ac:dyDescent="0.25">
      <c r="A266" s="43">
        <v>22293524701893</v>
      </c>
      <c r="B266" t="s">
        <v>155</v>
      </c>
      <c r="C266" s="73" t="s">
        <v>31</v>
      </c>
      <c r="D266" s="6" t="s">
        <v>2</v>
      </c>
      <c r="E266" s="7" t="s">
        <v>74</v>
      </c>
      <c r="F266" s="7"/>
      <c r="G266" s="6"/>
      <c r="H266" s="6"/>
      <c r="I266" s="8">
        <v>45997</v>
      </c>
      <c r="J266" s="6"/>
      <c r="K266" s="6"/>
      <c r="L266" s="45"/>
      <c r="M266" s="6"/>
    </row>
    <row r="267" spans="1:13" hidden="1" x14ac:dyDescent="0.25">
      <c r="A267" s="43">
        <v>22294524700060</v>
      </c>
      <c r="B267" t="s">
        <v>156</v>
      </c>
      <c r="C267" s="73" t="s">
        <v>31</v>
      </c>
      <c r="D267" s="6" t="s">
        <v>2</v>
      </c>
      <c r="E267" s="7" t="s">
        <v>74</v>
      </c>
      <c r="F267" s="7"/>
      <c r="G267" s="6"/>
      <c r="H267" s="6"/>
      <c r="I267" s="8">
        <v>45997</v>
      </c>
      <c r="J267" s="6"/>
      <c r="K267" s="6"/>
      <c r="L267" s="45"/>
      <c r="M267" s="6"/>
    </row>
    <row r="268" spans="1:13" hidden="1" x14ac:dyDescent="0.25">
      <c r="A268" s="43">
        <v>22294524700106</v>
      </c>
      <c r="B268" t="s">
        <v>157</v>
      </c>
      <c r="C268" s="73" t="s">
        <v>31</v>
      </c>
      <c r="D268" s="6" t="s">
        <v>2</v>
      </c>
      <c r="E268" s="7" t="s">
        <v>74</v>
      </c>
      <c r="F268" s="7"/>
      <c r="G268" s="6"/>
      <c r="H268" s="6"/>
      <c r="I268" s="8">
        <v>45997</v>
      </c>
      <c r="J268" s="6"/>
      <c r="K268" s="6"/>
      <c r="L268" s="45"/>
      <c r="M268" s="6"/>
    </row>
    <row r="269" spans="1:13" hidden="1" x14ac:dyDescent="0.25">
      <c r="A269" s="43">
        <v>22294524700130</v>
      </c>
      <c r="B269" t="s">
        <v>158</v>
      </c>
      <c r="C269" s="73" t="s">
        <v>31</v>
      </c>
      <c r="D269" s="6" t="s">
        <v>2</v>
      </c>
      <c r="E269" s="7" t="s">
        <v>74</v>
      </c>
      <c r="F269" s="7"/>
      <c r="G269" s="6"/>
      <c r="H269" s="6"/>
      <c r="I269" s="8">
        <v>45997</v>
      </c>
      <c r="J269" s="6"/>
      <c r="K269" s="6"/>
      <c r="L269" s="45"/>
      <c r="M269" s="6"/>
    </row>
    <row r="270" spans="1:13" hidden="1" x14ac:dyDescent="0.25">
      <c r="A270" s="43">
        <v>22294524700151</v>
      </c>
      <c r="B270" t="s">
        <v>159</v>
      </c>
      <c r="C270" s="73" t="s">
        <v>31</v>
      </c>
      <c r="D270" s="6" t="s">
        <v>2</v>
      </c>
      <c r="E270" s="7" t="s">
        <v>74</v>
      </c>
      <c r="F270" s="7"/>
      <c r="G270" s="6"/>
      <c r="H270" s="6"/>
      <c r="I270" s="8">
        <v>45997</v>
      </c>
      <c r="J270" s="6"/>
      <c r="K270" s="6"/>
      <c r="L270" s="45"/>
      <c r="M270" s="6"/>
    </row>
    <row r="271" spans="1:13" hidden="1" x14ac:dyDescent="0.25">
      <c r="A271" s="43">
        <v>22294524700201</v>
      </c>
      <c r="B271" t="s">
        <v>160</v>
      </c>
      <c r="C271" s="73" t="s">
        <v>31</v>
      </c>
      <c r="D271" s="6" t="s">
        <v>2</v>
      </c>
      <c r="E271" s="7" t="s">
        <v>74</v>
      </c>
      <c r="F271" s="7"/>
      <c r="G271" s="6"/>
      <c r="H271" s="6"/>
      <c r="I271" s="8">
        <v>45997</v>
      </c>
      <c r="J271" s="6"/>
      <c r="K271" s="6"/>
      <c r="L271" s="45"/>
      <c r="M271" s="6"/>
    </row>
    <row r="272" spans="1:13" hidden="1" x14ac:dyDescent="0.25">
      <c r="A272" s="43">
        <v>22294524700202</v>
      </c>
      <c r="B272" t="s">
        <v>161</v>
      </c>
      <c r="C272" s="73" t="s">
        <v>31</v>
      </c>
      <c r="D272" s="6" t="s">
        <v>2</v>
      </c>
      <c r="E272" s="7" t="s">
        <v>74</v>
      </c>
      <c r="F272" s="7"/>
      <c r="G272" s="6"/>
      <c r="H272" s="6"/>
      <c r="I272" s="8">
        <v>45997</v>
      </c>
      <c r="J272" s="6"/>
      <c r="K272" s="6"/>
      <c r="L272" s="45"/>
      <c r="M272" s="6"/>
    </row>
    <row r="273" spans="1:13" hidden="1" x14ac:dyDescent="0.25">
      <c r="A273" s="43">
        <v>22294524700324</v>
      </c>
      <c r="B273" t="s">
        <v>162</v>
      </c>
      <c r="C273" s="73" t="s">
        <v>31</v>
      </c>
      <c r="D273" s="6" t="s">
        <v>2</v>
      </c>
      <c r="E273" s="7" t="s">
        <v>74</v>
      </c>
      <c r="F273" s="7"/>
      <c r="G273" s="6"/>
      <c r="H273" s="6"/>
      <c r="I273" s="8">
        <v>45997</v>
      </c>
      <c r="J273" s="6"/>
      <c r="K273" s="6"/>
      <c r="L273" s="45"/>
      <c r="M273" s="6"/>
    </row>
    <row r="274" spans="1:13" hidden="1" x14ac:dyDescent="0.25">
      <c r="A274" s="43">
        <v>22332522507151</v>
      </c>
      <c r="C274" s="73" t="s">
        <v>30</v>
      </c>
      <c r="D274" s="6" t="s">
        <v>2</v>
      </c>
      <c r="E274" s="7" t="s">
        <v>76</v>
      </c>
      <c r="F274" s="7" t="s">
        <v>25</v>
      </c>
      <c r="G274" s="6"/>
      <c r="H274" s="6"/>
      <c r="I274" s="61">
        <v>45997</v>
      </c>
      <c r="J274" s="6"/>
      <c r="K274" t="s">
        <v>163</v>
      </c>
      <c r="L274" s="45"/>
      <c r="M274" s="6"/>
    </row>
    <row r="275" spans="1:13" hidden="1" x14ac:dyDescent="0.25">
      <c r="A275" s="43">
        <v>22348522507422</v>
      </c>
      <c r="C275" s="73" t="s">
        <v>30</v>
      </c>
      <c r="D275" s="6" t="s">
        <v>2</v>
      </c>
      <c r="E275" s="7" t="s">
        <v>74</v>
      </c>
      <c r="F275" s="7"/>
      <c r="G275" s="6"/>
      <c r="H275" s="6"/>
      <c r="I275" s="61">
        <v>45997</v>
      </c>
      <c r="J275" s="6"/>
      <c r="K275" t="s">
        <v>164</v>
      </c>
      <c r="L275" s="45">
        <v>45997</v>
      </c>
      <c r="M275" s="6"/>
    </row>
    <row r="276" spans="1:13" hidden="1" x14ac:dyDescent="0.25">
      <c r="A276" s="43">
        <v>22353523601280</v>
      </c>
      <c r="C276" s="73" t="s">
        <v>32</v>
      </c>
      <c r="D276" s="6" t="s">
        <v>2</v>
      </c>
      <c r="E276" s="7" t="s">
        <v>74</v>
      </c>
      <c r="F276" s="7"/>
      <c r="G276" s="6"/>
      <c r="H276" s="6"/>
      <c r="I276" s="8">
        <v>45997</v>
      </c>
      <c r="J276" s="6"/>
      <c r="K276" s="6"/>
      <c r="L276" s="45"/>
      <c r="M276" s="6"/>
    </row>
    <row r="277" spans="1:13" hidden="1" x14ac:dyDescent="0.25">
      <c r="A277" s="43">
        <v>353405110209131</v>
      </c>
      <c r="B277" s="6"/>
      <c r="C277" s="73" t="s">
        <v>165</v>
      </c>
      <c r="D277" s="6" t="s">
        <v>2</v>
      </c>
      <c r="E277" s="7" t="s">
        <v>74</v>
      </c>
      <c r="F277" s="7"/>
      <c r="G277" s="6"/>
      <c r="H277" s="6"/>
      <c r="I277" s="8">
        <v>45997</v>
      </c>
      <c r="J277" s="6"/>
      <c r="K277" s="6"/>
      <c r="L277" s="45"/>
      <c r="M277" s="6"/>
    </row>
    <row r="278" spans="1:13" hidden="1" x14ac:dyDescent="0.25">
      <c r="A278" s="43">
        <v>353405110210782</v>
      </c>
      <c r="B278" s="6"/>
      <c r="C278" s="73" t="s">
        <v>165</v>
      </c>
      <c r="D278" s="6" t="s">
        <v>2</v>
      </c>
      <c r="E278" s="7" t="s">
        <v>74</v>
      </c>
      <c r="F278" s="7"/>
      <c r="G278" s="6"/>
      <c r="H278" s="6"/>
      <c r="I278" s="8">
        <v>45997</v>
      </c>
      <c r="J278" s="6"/>
      <c r="K278" s="6"/>
      <c r="L278" s="45"/>
      <c r="M278" s="6"/>
    </row>
    <row r="279" spans="1:13" hidden="1" x14ac:dyDescent="0.25">
      <c r="A279" s="43">
        <v>353405110213711</v>
      </c>
      <c r="B279" s="6"/>
      <c r="C279" s="73" t="s">
        <v>165</v>
      </c>
      <c r="D279" s="6" t="s">
        <v>2</v>
      </c>
      <c r="E279" s="7" t="s">
        <v>74</v>
      </c>
      <c r="F279" s="7"/>
      <c r="G279" s="6"/>
      <c r="H279" s="6"/>
      <c r="I279" s="8">
        <v>45997</v>
      </c>
      <c r="J279" s="6"/>
      <c r="K279" s="6"/>
      <c r="L279" s="45"/>
      <c r="M279" s="6"/>
    </row>
    <row r="280" spans="1:13" hidden="1" x14ac:dyDescent="0.25">
      <c r="A280" s="43">
        <v>353405110216888</v>
      </c>
      <c r="B280" s="6"/>
      <c r="C280" s="73" t="s">
        <v>165</v>
      </c>
      <c r="D280" s="6" t="s">
        <v>2</v>
      </c>
      <c r="E280" s="7" t="s">
        <v>74</v>
      </c>
      <c r="F280" s="7"/>
      <c r="G280" s="6"/>
      <c r="H280" s="6"/>
      <c r="I280" s="8">
        <v>45997</v>
      </c>
      <c r="J280" s="6"/>
      <c r="K280" s="6"/>
      <c r="L280" s="45"/>
      <c r="M280" s="6"/>
    </row>
    <row r="281" spans="1:13" hidden="1" x14ac:dyDescent="0.25">
      <c r="A281" s="43">
        <v>353405110227133</v>
      </c>
      <c r="B281" s="6"/>
      <c r="C281" s="73" t="s">
        <v>165</v>
      </c>
      <c r="D281" s="6" t="s">
        <v>2</v>
      </c>
      <c r="E281" s="7" t="s">
        <v>74</v>
      </c>
      <c r="F281" s="7"/>
      <c r="G281" s="6"/>
      <c r="H281" s="6"/>
      <c r="I281" s="8">
        <v>45997</v>
      </c>
      <c r="J281" s="6"/>
      <c r="K281" s="6"/>
      <c r="L281" s="45"/>
      <c r="M281" s="6"/>
    </row>
    <row r="282" spans="1:13" hidden="1" x14ac:dyDescent="0.25">
      <c r="A282" s="43">
        <v>357635091142606</v>
      </c>
      <c r="B282" s="6"/>
      <c r="C282" s="73" t="s">
        <v>165</v>
      </c>
      <c r="D282" s="6" t="s">
        <v>2</v>
      </c>
      <c r="E282" s="7" t="s">
        <v>74</v>
      </c>
      <c r="F282" s="7"/>
      <c r="G282" s="6"/>
      <c r="H282" s="6"/>
      <c r="I282" s="8">
        <v>45997</v>
      </c>
      <c r="J282" s="6"/>
      <c r="K282" s="6"/>
      <c r="L282" s="45"/>
      <c r="M282" s="6"/>
    </row>
    <row r="283" spans="1:13" hidden="1" x14ac:dyDescent="0.25">
      <c r="A283" s="43">
        <v>357635091146862</v>
      </c>
      <c r="B283" s="6"/>
      <c r="C283" s="73" t="s">
        <v>165</v>
      </c>
      <c r="D283" s="6" t="s">
        <v>2</v>
      </c>
      <c r="E283" s="7" t="s">
        <v>74</v>
      </c>
      <c r="F283" s="7"/>
      <c r="G283" s="6"/>
      <c r="H283" s="6"/>
      <c r="I283" s="8">
        <v>45997</v>
      </c>
      <c r="J283" s="6"/>
      <c r="K283" s="6"/>
      <c r="L283" s="45"/>
      <c r="M283" s="6"/>
    </row>
    <row r="284" spans="1:13" hidden="1" x14ac:dyDescent="0.25">
      <c r="A284" s="43">
        <v>357635091149940</v>
      </c>
      <c r="B284" s="6"/>
      <c r="C284" s="73" t="s">
        <v>165</v>
      </c>
      <c r="D284" s="6" t="s">
        <v>2</v>
      </c>
      <c r="E284" s="7" t="s">
        <v>74</v>
      </c>
      <c r="F284" s="7"/>
      <c r="G284" s="6"/>
      <c r="H284" s="6"/>
      <c r="I284" s="8">
        <v>45997</v>
      </c>
      <c r="J284" s="6"/>
      <c r="K284" s="6"/>
      <c r="L284" s="45"/>
      <c r="M284" s="6"/>
    </row>
    <row r="285" spans="1:13" hidden="1" x14ac:dyDescent="0.25">
      <c r="A285" s="43">
        <v>357635091151698</v>
      </c>
      <c r="B285" s="6"/>
      <c r="C285" s="73" t="s">
        <v>165</v>
      </c>
      <c r="D285" s="6" t="s">
        <v>2</v>
      </c>
      <c r="E285" s="7" t="s">
        <v>74</v>
      </c>
      <c r="F285" s="7"/>
      <c r="G285" s="6"/>
      <c r="H285" s="6"/>
      <c r="I285" s="8">
        <v>45997</v>
      </c>
      <c r="J285" s="6"/>
      <c r="K285" s="6"/>
      <c r="L285" s="45"/>
      <c r="M285" s="6"/>
    </row>
    <row r="286" spans="1:13" hidden="1" x14ac:dyDescent="0.25">
      <c r="A286" s="43">
        <v>357635091151888</v>
      </c>
      <c r="B286" s="6"/>
      <c r="C286" s="73" t="s">
        <v>165</v>
      </c>
      <c r="D286" s="6" t="s">
        <v>2</v>
      </c>
      <c r="E286" s="7" t="s">
        <v>74</v>
      </c>
      <c r="F286" s="7"/>
      <c r="G286" s="6"/>
      <c r="H286" s="6"/>
      <c r="I286" s="8">
        <v>45997</v>
      </c>
      <c r="J286" s="6"/>
      <c r="K286" s="6"/>
      <c r="L286" s="45"/>
      <c r="M286" s="6"/>
    </row>
    <row r="287" spans="1:13" hidden="1" x14ac:dyDescent="0.25">
      <c r="A287" s="43">
        <v>357635091151946</v>
      </c>
      <c r="B287" s="6"/>
      <c r="C287" s="73" t="s">
        <v>165</v>
      </c>
      <c r="D287" s="6" t="s">
        <v>2</v>
      </c>
      <c r="E287" s="7" t="s">
        <v>74</v>
      </c>
      <c r="F287" s="7"/>
      <c r="G287" s="6"/>
      <c r="H287" s="6"/>
      <c r="I287" s="8">
        <v>45997</v>
      </c>
      <c r="J287" s="6"/>
      <c r="K287" s="6"/>
      <c r="L287" s="45"/>
      <c r="M287" s="6"/>
    </row>
    <row r="288" spans="1:13" hidden="1" x14ac:dyDescent="0.25">
      <c r="A288" s="43">
        <v>3533494116626740</v>
      </c>
      <c r="B288" s="6"/>
      <c r="C288" s="73" t="s">
        <v>165</v>
      </c>
      <c r="D288" s="6" t="s">
        <v>2</v>
      </c>
      <c r="E288" s="7" t="s">
        <v>74</v>
      </c>
      <c r="F288" s="7"/>
      <c r="G288" s="6"/>
      <c r="H288" s="6"/>
      <c r="I288" s="8">
        <v>45997</v>
      </c>
      <c r="J288" s="6"/>
      <c r="K288" s="6"/>
      <c r="L288" s="45"/>
      <c r="M288" s="6"/>
    </row>
    <row r="289" spans="1:13" hidden="1" x14ac:dyDescent="0.25">
      <c r="A289" s="49">
        <v>966348</v>
      </c>
      <c r="C289" s="73" t="s">
        <v>43</v>
      </c>
      <c r="D289" s="6" t="s">
        <v>2</v>
      </c>
      <c r="E289" s="7" t="s">
        <v>74</v>
      </c>
      <c r="F289" s="7"/>
      <c r="G289" s="6"/>
      <c r="H289" s="6"/>
      <c r="I289" s="8">
        <v>45997</v>
      </c>
      <c r="J289" s="6"/>
      <c r="K289" s="6"/>
      <c r="L289" s="45"/>
      <c r="M289" s="6"/>
    </row>
    <row r="290" spans="1:13" hidden="1" x14ac:dyDescent="0.25">
      <c r="A290" s="49">
        <v>966686</v>
      </c>
      <c r="C290" s="73" t="s">
        <v>43</v>
      </c>
      <c r="D290" s="6" t="s">
        <v>2</v>
      </c>
      <c r="E290" s="7" t="s">
        <v>74</v>
      </c>
      <c r="F290" s="7"/>
      <c r="G290" s="6"/>
      <c r="H290" s="6"/>
      <c r="I290" s="8">
        <v>45997</v>
      </c>
      <c r="J290" s="6"/>
      <c r="K290" s="6"/>
      <c r="L290" s="45"/>
      <c r="M290" s="6"/>
    </row>
    <row r="291" spans="1:13" hidden="1" x14ac:dyDescent="0.25">
      <c r="A291" s="49">
        <v>966702</v>
      </c>
      <c r="B291" s="40"/>
      <c r="C291" s="73" t="s">
        <v>43</v>
      </c>
      <c r="D291" s="6" t="s">
        <v>2</v>
      </c>
      <c r="E291" s="7" t="s">
        <v>74</v>
      </c>
      <c r="F291" s="7"/>
      <c r="G291" s="6"/>
      <c r="H291" s="6"/>
      <c r="I291" s="8">
        <v>45997</v>
      </c>
      <c r="J291" s="6"/>
      <c r="K291" s="6"/>
      <c r="L291" s="45"/>
      <c r="M291" s="6"/>
    </row>
    <row r="292" spans="1:13" hidden="1" x14ac:dyDescent="0.25">
      <c r="A292" s="49">
        <v>966728</v>
      </c>
      <c r="C292" s="73" t="s">
        <v>43</v>
      </c>
      <c r="D292" s="6" t="s">
        <v>2</v>
      </c>
      <c r="E292" s="7" t="s">
        <v>74</v>
      </c>
      <c r="F292" s="7"/>
      <c r="G292" s="6"/>
      <c r="H292" s="6"/>
      <c r="I292" s="8">
        <v>45997</v>
      </c>
      <c r="J292" s="6"/>
      <c r="K292" s="6"/>
      <c r="L292" s="45">
        <v>45997</v>
      </c>
      <c r="M292" s="6"/>
    </row>
    <row r="293" spans="1:13" hidden="1" x14ac:dyDescent="0.25">
      <c r="A293" s="49">
        <v>966769</v>
      </c>
      <c r="C293" s="73" t="s">
        <v>43</v>
      </c>
      <c r="D293" s="6" t="s">
        <v>2</v>
      </c>
      <c r="E293" s="7" t="s">
        <v>74</v>
      </c>
      <c r="F293" s="7"/>
      <c r="G293" s="6"/>
      <c r="H293" s="6"/>
      <c r="I293" s="8">
        <v>45997</v>
      </c>
      <c r="J293" s="6"/>
      <c r="K293" s="6"/>
      <c r="L293" s="45">
        <v>45997</v>
      </c>
      <c r="M293" s="6"/>
    </row>
    <row r="294" spans="1:13" hidden="1" x14ac:dyDescent="0.25">
      <c r="A294" s="49">
        <v>966801</v>
      </c>
      <c r="C294" s="73" t="s">
        <v>43</v>
      </c>
      <c r="D294" s="6" t="s">
        <v>2</v>
      </c>
      <c r="E294" s="7" t="s">
        <v>74</v>
      </c>
      <c r="F294" s="7"/>
      <c r="G294" s="6"/>
      <c r="H294" s="6"/>
      <c r="I294" s="8">
        <v>45997</v>
      </c>
      <c r="J294" s="6"/>
      <c r="K294" s="6"/>
      <c r="L294" s="45"/>
      <c r="M294" s="6"/>
    </row>
    <row r="295" spans="1:13" hidden="1" x14ac:dyDescent="0.25">
      <c r="A295" s="59" t="s">
        <v>166</v>
      </c>
      <c r="C295" s="73" t="s">
        <v>43</v>
      </c>
      <c r="D295" s="6" t="s">
        <v>2</v>
      </c>
      <c r="E295" s="7" t="s">
        <v>74</v>
      </c>
      <c r="F295" s="7"/>
      <c r="G295" s="6"/>
      <c r="H295" s="6"/>
      <c r="I295" s="8">
        <v>45997</v>
      </c>
      <c r="J295" s="6"/>
      <c r="K295" s="6"/>
      <c r="L295" s="45"/>
      <c r="M295" s="6"/>
    </row>
    <row r="296" spans="1:13" hidden="1" x14ac:dyDescent="0.25">
      <c r="A296" s="59" t="s">
        <v>167</v>
      </c>
      <c r="C296" s="73" t="s">
        <v>43</v>
      </c>
      <c r="D296" s="6" t="s">
        <v>2</v>
      </c>
      <c r="E296" s="7" t="s">
        <v>74</v>
      </c>
      <c r="F296" s="7"/>
      <c r="G296" s="6"/>
      <c r="H296" s="6"/>
      <c r="I296" s="8">
        <v>45997</v>
      </c>
      <c r="J296" s="6"/>
      <c r="K296" s="6"/>
      <c r="L296" s="45"/>
      <c r="M296" s="6"/>
    </row>
    <row r="297" spans="1:13" hidden="1" x14ac:dyDescent="0.25">
      <c r="A297" s="59" t="s">
        <v>168</v>
      </c>
      <c r="C297" s="73" t="s">
        <v>43</v>
      </c>
      <c r="D297" s="6" t="s">
        <v>2</v>
      </c>
      <c r="E297" s="7" t="s">
        <v>74</v>
      </c>
      <c r="F297" s="7"/>
      <c r="G297" s="6"/>
      <c r="H297" s="6"/>
      <c r="I297" s="8">
        <v>45997</v>
      </c>
      <c r="J297" s="6"/>
      <c r="K297" s="6"/>
      <c r="L297" s="45"/>
      <c r="M297" s="6"/>
    </row>
    <row r="298" spans="1:13" hidden="1" x14ac:dyDescent="0.25">
      <c r="A298" s="59" t="s">
        <v>169</v>
      </c>
      <c r="C298" s="73" t="s">
        <v>43</v>
      </c>
      <c r="D298" s="6" t="s">
        <v>2</v>
      </c>
      <c r="E298" s="7" t="s">
        <v>74</v>
      </c>
      <c r="F298" s="7"/>
      <c r="G298" s="6"/>
      <c r="H298" s="6"/>
      <c r="I298" s="8">
        <v>45997</v>
      </c>
      <c r="J298" s="6"/>
      <c r="K298" s="6"/>
      <c r="L298" s="45"/>
      <c r="M298" s="6"/>
    </row>
    <row r="299" spans="1:13" hidden="1" x14ac:dyDescent="0.25">
      <c r="A299" s="59" t="s">
        <v>170</v>
      </c>
      <c r="C299" s="73" t="s">
        <v>43</v>
      </c>
      <c r="D299" s="6" t="s">
        <v>2</v>
      </c>
      <c r="E299" s="7" t="s">
        <v>74</v>
      </c>
      <c r="F299" s="7"/>
      <c r="G299" s="6"/>
      <c r="H299" s="6"/>
      <c r="I299" s="8">
        <v>45997</v>
      </c>
      <c r="J299" s="6"/>
      <c r="K299" s="6"/>
      <c r="L299" s="45"/>
      <c r="M299" s="6"/>
    </row>
    <row r="300" spans="1:13" hidden="1" x14ac:dyDescent="0.25">
      <c r="A300" s="59" t="s">
        <v>171</v>
      </c>
      <c r="C300" s="73" t="s">
        <v>43</v>
      </c>
      <c r="D300" s="6" t="s">
        <v>2</v>
      </c>
      <c r="E300" s="7" t="s">
        <v>74</v>
      </c>
      <c r="F300" s="7"/>
      <c r="G300" s="6"/>
      <c r="H300" s="6"/>
      <c r="I300" s="8">
        <v>45997</v>
      </c>
      <c r="J300" s="6"/>
      <c r="K300" s="6"/>
      <c r="L300" s="45"/>
      <c r="M300" s="6"/>
    </row>
    <row r="301" spans="1:13" hidden="1" x14ac:dyDescent="0.25">
      <c r="A301" s="59" t="s">
        <v>172</v>
      </c>
      <c r="C301" s="73" t="s">
        <v>43</v>
      </c>
      <c r="D301" s="6" t="s">
        <v>2</v>
      </c>
      <c r="E301" s="7" t="s">
        <v>74</v>
      </c>
      <c r="F301" s="7"/>
      <c r="G301" s="6"/>
      <c r="H301" s="6"/>
      <c r="I301" s="8">
        <v>45997</v>
      </c>
      <c r="J301" s="6"/>
      <c r="K301" s="6"/>
      <c r="L301" s="45"/>
      <c r="M301" s="6"/>
    </row>
    <row r="302" spans="1:13" hidden="1" x14ac:dyDescent="0.25">
      <c r="A302" s="59" t="s">
        <v>173</v>
      </c>
      <c r="C302" s="73" t="s">
        <v>43</v>
      </c>
      <c r="D302" s="6" t="s">
        <v>2</v>
      </c>
      <c r="E302" s="7" t="s">
        <v>74</v>
      </c>
      <c r="F302" s="7"/>
      <c r="G302" s="6"/>
      <c r="H302" s="6"/>
      <c r="I302" s="8">
        <v>45997</v>
      </c>
      <c r="J302" s="6"/>
      <c r="K302" s="6"/>
      <c r="L302" s="45"/>
      <c r="M302" s="6"/>
    </row>
    <row r="303" spans="1:13" hidden="1" x14ac:dyDescent="0.25">
      <c r="A303" s="59" t="s">
        <v>174</v>
      </c>
      <c r="C303" s="73" t="s">
        <v>43</v>
      </c>
      <c r="D303" s="6" t="s">
        <v>2</v>
      </c>
      <c r="E303" s="7" t="s">
        <v>74</v>
      </c>
      <c r="F303" s="7"/>
      <c r="G303" s="6"/>
      <c r="H303" s="6"/>
      <c r="I303" s="8">
        <v>45997</v>
      </c>
      <c r="J303" s="6"/>
      <c r="K303" s="6"/>
      <c r="L303" s="45"/>
      <c r="M303" s="6"/>
    </row>
    <row r="304" spans="1:13" hidden="1" x14ac:dyDescent="0.25">
      <c r="A304" s="59" t="s">
        <v>175</v>
      </c>
      <c r="C304" s="73" t="s">
        <v>43</v>
      </c>
      <c r="D304" s="6" t="s">
        <v>2</v>
      </c>
      <c r="E304" s="7" t="s">
        <v>74</v>
      </c>
      <c r="F304" s="7"/>
      <c r="G304" s="6"/>
      <c r="H304" s="6"/>
      <c r="I304" s="8">
        <v>45997</v>
      </c>
      <c r="J304" s="6"/>
      <c r="K304" s="6"/>
      <c r="L304" s="45"/>
      <c r="M304" s="6"/>
    </row>
    <row r="305" spans="1:13" hidden="1" x14ac:dyDescent="0.25">
      <c r="A305" s="59" t="s">
        <v>176</v>
      </c>
      <c r="C305" s="73" t="s">
        <v>43</v>
      </c>
      <c r="D305" s="6" t="s">
        <v>2</v>
      </c>
      <c r="E305" s="7" t="s">
        <v>74</v>
      </c>
      <c r="F305" s="7"/>
      <c r="G305" s="6"/>
      <c r="H305" s="6"/>
      <c r="I305" s="8">
        <v>45997</v>
      </c>
      <c r="J305" s="6"/>
      <c r="K305" s="6"/>
      <c r="L305" s="45"/>
      <c r="M305" s="6"/>
    </row>
    <row r="306" spans="1:13" hidden="1" x14ac:dyDescent="0.25">
      <c r="A306" s="59" t="s">
        <v>177</v>
      </c>
      <c r="C306" s="73" t="s">
        <v>43</v>
      </c>
      <c r="D306" s="6" t="s">
        <v>2</v>
      </c>
      <c r="E306" s="7" t="s">
        <v>74</v>
      </c>
      <c r="F306" s="7"/>
      <c r="G306" s="6"/>
      <c r="H306" s="6"/>
      <c r="I306" s="8">
        <v>45997</v>
      </c>
      <c r="J306" s="6"/>
      <c r="K306" s="6"/>
      <c r="L306" s="45"/>
      <c r="M306" s="6"/>
    </row>
    <row r="307" spans="1:13" hidden="1" x14ac:dyDescent="0.25">
      <c r="A307" s="59" t="s">
        <v>178</v>
      </c>
      <c r="C307" s="73" t="s">
        <v>43</v>
      </c>
      <c r="D307" s="6" t="s">
        <v>2</v>
      </c>
      <c r="E307" s="7" t="s">
        <v>74</v>
      </c>
      <c r="F307" s="7"/>
      <c r="G307" s="6"/>
      <c r="H307" s="6"/>
      <c r="I307" s="8">
        <v>45997</v>
      </c>
      <c r="J307" s="6"/>
      <c r="K307" s="6"/>
      <c r="L307" s="45"/>
      <c r="M307" s="6"/>
    </row>
    <row r="308" spans="1:13" hidden="1" x14ac:dyDescent="0.25">
      <c r="A308" s="59" t="s">
        <v>179</v>
      </c>
      <c r="C308" s="73" t="s">
        <v>43</v>
      </c>
      <c r="D308" s="6" t="s">
        <v>2</v>
      </c>
      <c r="E308" s="7" t="s">
        <v>74</v>
      </c>
      <c r="F308" s="7"/>
      <c r="G308" s="6"/>
      <c r="H308" s="6"/>
      <c r="I308" s="8">
        <v>45997</v>
      </c>
      <c r="J308" s="6"/>
      <c r="K308" s="6"/>
      <c r="L308" s="45"/>
      <c r="M308" s="6"/>
    </row>
    <row r="309" spans="1:13" hidden="1" x14ac:dyDescent="0.25">
      <c r="A309" s="59" t="s">
        <v>180</v>
      </c>
      <c r="C309" s="73" t="s">
        <v>43</v>
      </c>
      <c r="D309" s="6" t="s">
        <v>2</v>
      </c>
      <c r="E309" s="7" t="s">
        <v>74</v>
      </c>
      <c r="F309" s="7"/>
      <c r="G309" s="6"/>
      <c r="H309" s="6"/>
      <c r="I309" s="8">
        <v>45997</v>
      </c>
      <c r="J309" s="6"/>
      <c r="K309" s="6"/>
      <c r="L309" s="45"/>
      <c r="M309" s="6"/>
    </row>
    <row r="310" spans="1:13" hidden="1" x14ac:dyDescent="0.25">
      <c r="A310" s="59" t="s">
        <v>181</v>
      </c>
      <c r="C310" s="73" t="s">
        <v>43</v>
      </c>
      <c r="D310" s="6" t="s">
        <v>2</v>
      </c>
      <c r="E310" s="7" t="s">
        <v>74</v>
      </c>
      <c r="F310" s="7"/>
      <c r="G310" s="6"/>
      <c r="H310" s="6"/>
      <c r="I310" s="8">
        <v>45997</v>
      </c>
      <c r="J310" s="6"/>
      <c r="K310" s="6"/>
      <c r="L310" s="45"/>
      <c r="M310" s="6"/>
    </row>
    <row r="311" spans="1:13" hidden="1" x14ac:dyDescent="0.25">
      <c r="A311" s="59" t="s">
        <v>182</v>
      </c>
      <c r="C311" s="73" t="s">
        <v>43</v>
      </c>
      <c r="D311" s="6" t="s">
        <v>2</v>
      </c>
      <c r="E311" s="7" t="s">
        <v>74</v>
      </c>
      <c r="F311" s="7"/>
      <c r="G311" s="6"/>
      <c r="H311" s="6"/>
      <c r="I311" s="8">
        <v>45997</v>
      </c>
      <c r="J311" s="6"/>
      <c r="K311" s="6"/>
      <c r="L311" s="45"/>
      <c r="M311" s="6"/>
    </row>
    <row r="312" spans="1:13" hidden="1" x14ac:dyDescent="0.25">
      <c r="A312" s="59" t="s">
        <v>183</v>
      </c>
      <c r="C312" s="73" t="s">
        <v>43</v>
      </c>
      <c r="D312" s="6" t="s">
        <v>2</v>
      </c>
      <c r="E312" s="7" t="s">
        <v>74</v>
      </c>
      <c r="F312" s="7"/>
      <c r="G312" s="6"/>
      <c r="H312" s="6"/>
      <c r="I312" s="8">
        <v>45997</v>
      </c>
      <c r="J312" s="6"/>
      <c r="K312" s="6"/>
      <c r="L312" s="45"/>
      <c r="M312" s="6"/>
    </row>
    <row r="313" spans="1:13" hidden="1" x14ac:dyDescent="0.25">
      <c r="A313" s="59" t="s">
        <v>184</v>
      </c>
      <c r="C313" s="73" t="s">
        <v>43</v>
      </c>
      <c r="D313" s="6" t="s">
        <v>2</v>
      </c>
      <c r="E313" s="7" t="s">
        <v>74</v>
      </c>
      <c r="F313" s="7"/>
      <c r="G313" s="6"/>
      <c r="H313" s="6"/>
      <c r="I313" s="8">
        <v>45997</v>
      </c>
      <c r="J313" s="6"/>
      <c r="K313" s="6"/>
      <c r="L313" s="45"/>
      <c r="M313" s="6"/>
    </row>
    <row r="314" spans="1:13" hidden="1" x14ac:dyDescent="0.25">
      <c r="A314" s="59" t="s">
        <v>185</v>
      </c>
      <c r="C314" s="73" t="s">
        <v>43</v>
      </c>
      <c r="D314" s="6" t="s">
        <v>2</v>
      </c>
      <c r="E314" s="7" t="s">
        <v>74</v>
      </c>
      <c r="F314" s="7"/>
      <c r="G314" s="6"/>
      <c r="H314" s="6"/>
      <c r="I314" s="8">
        <v>45997</v>
      </c>
      <c r="J314" s="6"/>
      <c r="K314" s="6"/>
      <c r="L314" s="45"/>
      <c r="M314" s="6"/>
    </row>
    <row r="315" spans="1:13" hidden="1" x14ac:dyDescent="0.25">
      <c r="A315" s="59" t="s">
        <v>186</v>
      </c>
      <c r="B315" s="52"/>
      <c r="C315" s="73" t="s">
        <v>43</v>
      </c>
      <c r="D315" s="6" t="s">
        <v>2</v>
      </c>
      <c r="E315" s="7" t="s">
        <v>74</v>
      </c>
      <c r="F315" s="47"/>
      <c r="I315" s="8">
        <v>45997</v>
      </c>
      <c r="L315" s="45"/>
      <c r="M315" s="6"/>
    </row>
    <row r="316" spans="1:13" hidden="1" x14ac:dyDescent="0.25">
      <c r="A316" s="59" t="s">
        <v>187</v>
      </c>
      <c r="C316" s="73" t="s">
        <v>43</v>
      </c>
      <c r="D316" s="6" t="s">
        <v>2</v>
      </c>
      <c r="E316" s="7" t="s">
        <v>74</v>
      </c>
      <c r="F316" s="7"/>
      <c r="G316" s="6"/>
      <c r="H316" s="6"/>
      <c r="I316" s="8">
        <v>45997</v>
      </c>
      <c r="J316" s="6"/>
      <c r="K316" s="6"/>
      <c r="L316" s="45"/>
      <c r="M316" s="6"/>
    </row>
    <row r="317" spans="1:13" hidden="1" x14ac:dyDescent="0.25">
      <c r="A317" s="59" t="s">
        <v>188</v>
      </c>
      <c r="C317" s="73" t="s">
        <v>43</v>
      </c>
      <c r="D317" s="6" t="s">
        <v>2</v>
      </c>
      <c r="E317" s="7" t="s">
        <v>74</v>
      </c>
      <c r="F317" s="7"/>
      <c r="G317" s="6"/>
      <c r="H317" s="6"/>
      <c r="I317" s="8">
        <v>45997</v>
      </c>
      <c r="J317" s="6"/>
      <c r="K317" s="6"/>
      <c r="L317" s="45"/>
      <c r="M317" s="6"/>
    </row>
    <row r="318" spans="1:13" hidden="1" x14ac:dyDescent="0.25">
      <c r="A318" s="59" t="s">
        <v>189</v>
      </c>
      <c r="C318" s="73" t="s">
        <v>43</v>
      </c>
      <c r="D318" s="6" t="s">
        <v>2</v>
      </c>
      <c r="E318" s="7" t="s">
        <v>74</v>
      </c>
      <c r="F318" s="7"/>
      <c r="G318" s="6"/>
      <c r="H318" s="6"/>
      <c r="I318" s="8">
        <v>45997</v>
      </c>
      <c r="J318" s="6"/>
      <c r="K318" s="6"/>
      <c r="L318" s="45"/>
      <c r="M318" s="6"/>
    </row>
    <row r="319" spans="1:13" hidden="1" x14ac:dyDescent="0.25">
      <c r="A319" s="59" t="s">
        <v>190</v>
      </c>
      <c r="B319" s="52"/>
      <c r="C319" s="73" t="s">
        <v>43</v>
      </c>
      <c r="D319" s="6" t="s">
        <v>2</v>
      </c>
      <c r="E319" s="7" t="s">
        <v>74</v>
      </c>
      <c r="F319" s="47"/>
      <c r="I319" s="8">
        <v>45997</v>
      </c>
      <c r="L319" s="45"/>
      <c r="M319" s="6"/>
    </row>
    <row r="320" spans="1:13" hidden="1" x14ac:dyDescent="0.25">
      <c r="A320" s="59" t="s">
        <v>191</v>
      </c>
      <c r="C320" s="73" t="s">
        <v>43</v>
      </c>
      <c r="D320" s="6" t="s">
        <v>2</v>
      </c>
      <c r="E320" s="7" t="s">
        <v>74</v>
      </c>
      <c r="F320" s="7"/>
      <c r="G320" s="6"/>
      <c r="H320" s="9"/>
      <c r="I320" s="8">
        <v>45997</v>
      </c>
      <c r="J320" s="6"/>
      <c r="K320" s="6"/>
      <c r="L320" s="45"/>
      <c r="M320" s="6"/>
    </row>
    <row r="321" spans="1:13" hidden="1" x14ac:dyDescent="0.25">
      <c r="A321" s="59" t="s">
        <v>192</v>
      </c>
      <c r="C321" s="73" t="s">
        <v>43</v>
      </c>
      <c r="D321" s="6" t="s">
        <v>2</v>
      </c>
      <c r="E321" s="7" t="s">
        <v>74</v>
      </c>
      <c r="F321" s="7"/>
      <c r="G321" s="6"/>
      <c r="H321" s="6"/>
      <c r="I321" s="8">
        <v>45997</v>
      </c>
      <c r="J321" s="6"/>
      <c r="K321" s="6"/>
      <c r="L321" s="45"/>
      <c r="M321" s="6"/>
    </row>
    <row r="322" spans="1:13" hidden="1" x14ac:dyDescent="0.25">
      <c r="A322" s="59" t="s">
        <v>193</v>
      </c>
      <c r="C322" s="73" t="s">
        <v>43</v>
      </c>
      <c r="D322" s="6" t="s">
        <v>2</v>
      </c>
      <c r="E322" s="7" t="s">
        <v>74</v>
      </c>
      <c r="F322" s="7"/>
      <c r="G322" s="6"/>
      <c r="H322" s="6"/>
      <c r="I322" s="8">
        <v>45997</v>
      </c>
      <c r="J322" s="6"/>
      <c r="K322" s="6"/>
      <c r="L322" s="45"/>
      <c r="M322" s="6"/>
    </row>
    <row r="323" spans="1:13" hidden="1" x14ac:dyDescent="0.25">
      <c r="A323" s="59" t="s">
        <v>194</v>
      </c>
      <c r="C323" s="73" t="s">
        <v>43</v>
      </c>
      <c r="D323" s="6" t="s">
        <v>2</v>
      </c>
      <c r="E323" s="7" t="s">
        <v>74</v>
      </c>
      <c r="F323" s="7"/>
      <c r="G323" s="6"/>
      <c r="H323" s="6"/>
      <c r="I323" s="8">
        <v>45997</v>
      </c>
      <c r="J323" s="6"/>
      <c r="K323" s="6"/>
      <c r="L323" s="45"/>
      <c r="M323" s="6"/>
    </row>
    <row r="324" spans="1:13" hidden="1" x14ac:dyDescent="0.25">
      <c r="A324" s="59" t="s">
        <v>195</v>
      </c>
      <c r="C324" s="73" t="s">
        <v>43</v>
      </c>
      <c r="D324" s="6" t="s">
        <v>2</v>
      </c>
      <c r="E324" s="7" t="s">
        <v>74</v>
      </c>
      <c r="F324" s="7"/>
      <c r="G324" s="6"/>
      <c r="H324" s="6"/>
      <c r="I324" s="8">
        <v>45997</v>
      </c>
      <c r="J324" s="6"/>
      <c r="K324" s="6"/>
      <c r="L324" s="45"/>
      <c r="M324" s="6"/>
    </row>
    <row r="325" spans="1:13" hidden="1" x14ac:dyDescent="0.25">
      <c r="A325" s="59" t="s">
        <v>196</v>
      </c>
      <c r="C325" s="73" t="s">
        <v>43</v>
      </c>
      <c r="D325" s="6" t="s">
        <v>2</v>
      </c>
      <c r="E325" s="7" t="s">
        <v>74</v>
      </c>
      <c r="F325" s="7"/>
      <c r="G325" s="6"/>
      <c r="H325" s="6"/>
      <c r="I325" s="8">
        <v>45997</v>
      </c>
      <c r="J325" s="6"/>
      <c r="K325" s="6"/>
      <c r="L325" s="45"/>
      <c r="M325" s="6"/>
    </row>
    <row r="326" spans="1:13" hidden="1" x14ac:dyDescent="0.25">
      <c r="A326" s="59" t="s">
        <v>197</v>
      </c>
      <c r="C326" s="73" t="s">
        <v>43</v>
      </c>
      <c r="D326" s="6" t="s">
        <v>2</v>
      </c>
      <c r="E326" s="7" t="s">
        <v>74</v>
      </c>
      <c r="F326" s="7"/>
      <c r="G326" s="6"/>
      <c r="H326" s="6"/>
      <c r="I326" s="8">
        <v>45997</v>
      </c>
      <c r="J326" s="6"/>
      <c r="K326" s="6"/>
      <c r="L326" s="45"/>
      <c r="M326" s="6"/>
    </row>
    <row r="327" spans="1:13" hidden="1" x14ac:dyDescent="0.25">
      <c r="A327" s="59" t="s">
        <v>198</v>
      </c>
      <c r="C327" s="73" t="s">
        <v>43</v>
      </c>
      <c r="D327" s="6" t="s">
        <v>2</v>
      </c>
      <c r="E327" s="7" t="s">
        <v>74</v>
      </c>
      <c r="F327" s="7"/>
      <c r="G327" s="6"/>
      <c r="H327" s="6"/>
      <c r="I327" s="8">
        <v>45997</v>
      </c>
      <c r="J327" s="6"/>
      <c r="K327" s="6"/>
      <c r="L327" s="45"/>
      <c r="M327" s="6"/>
    </row>
    <row r="328" spans="1:13" hidden="1" x14ac:dyDescent="0.25">
      <c r="A328" s="59" t="s">
        <v>199</v>
      </c>
      <c r="C328" s="73" t="s">
        <v>43</v>
      </c>
      <c r="D328" s="6" t="s">
        <v>2</v>
      </c>
      <c r="E328" s="7" t="s">
        <v>74</v>
      </c>
      <c r="F328" s="7"/>
      <c r="G328" s="6"/>
      <c r="H328" s="6"/>
      <c r="I328" s="8">
        <v>45997</v>
      </c>
      <c r="J328" s="6"/>
      <c r="K328" s="6"/>
      <c r="L328" s="45"/>
      <c r="M328" s="6"/>
    </row>
    <row r="329" spans="1:13" hidden="1" x14ac:dyDescent="0.25">
      <c r="A329" s="59" t="s">
        <v>200</v>
      </c>
      <c r="C329" s="73" t="s">
        <v>43</v>
      </c>
      <c r="D329" s="6" t="s">
        <v>2</v>
      </c>
      <c r="E329" s="7" t="s">
        <v>74</v>
      </c>
      <c r="F329" s="7"/>
      <c r="G329" s="6"/>
      <c r="H329" s="6"/>
      <c r="I329" s="8">
        <v>45997</v>
      </c>
      <c r="J329" s="6"/>
      <c r="K329" s="6"/>
      <c r="L329" s="45"/>
      <c r="M329" s="6"/>
    </row>
    <row r="330" spans="1:13" hidden="1" x14ac:dyDescent="0.25">
      <c r="A330" s="59" t="s">
        <v>201</v>
      </c>
      <c r="C330" s="73" t="s">
        <v>43</v>
      </c>
      <c r="D330" s="6" t="s">
        <v>2</v>
      </c>
      <c r="E330" s="7" t="s">
        <v>74</v>
      </c>
      <c r="F330" s="7"/>
      <c r="G330" s="6"/>
      <c r="H330" s="6"/>
      <c r="I330" s="8">
        <v>45997</v>
      </c>
      <c r="J330" s="6"/>
      <c r="K330" s="6"/>
      <c r="L330" s="45"/>
      <c r="M330" s="6"/>
    </row>
    <row r="331" spans="1:13" hidden="1" x14ac:dyDescent="0.25">
      <c r="A331" s="59" t="s">
        <v>202</v>
      </c>
      <c r="C331" s="73" t="s">
        <v>43</v>
      </c>
      <c r="D331" s="6" t="s">
        <v>2</v>
      </c>
      <c r="E331" s="7" t="s">
        <v>74</v>
      </c>
      <c r="F331" s="7"/>
      <c r="G331" s="6"/>
      <c r="H331" s="6"/>
      <c r="I331" s="8">
        <v>45997</v>
      </c>
      <c r="J331" s="6"/>
      <c r="K331" s="6"/>
      <c r="L331" s="45"/>
      <c r="M331" s="6"/>
    </row>
    <row r="332" spans="1:13" hidden="1" x14ac:dyDescent="0.25">
      <c r="A332" s="59" t="s">
        <v>203</v>
      </c>
      <c r="C332" s="73" t="s">
        <v>43</v>
      </c>
      <c r="D332" s="6" t="s">
        <v>2</v>
      </c>
      <c r="E332" s="7" t="s">
        <v>74</v>
      </c>
      <c r="F332" s="7"/>
      <c r="G332" s="6"/>
      <c r="H332" s="6"/>
      <c r="I332" s="8">
        <v>45997</v>
      </c>
      <c r="J332" s="6"/>
      <c r="K332" s="6"/>
      <c r="L332" s="45"/>
      <c r="M332" s="6"/>
    </row>
    <row r="333" spans="1:13" hidden="1" x14ac:dyDescent="0.25">
      <c r="A333" s="59" t="s">
        <v>204</v>
      </c>
      <c r="C333" s="73" t="s">
        <v>43</v>
      </c>
      <c r="D333" s="6" t="s">
        <v>2</v>
      </c>
      <c r="E333" s="7" t="s">
        <v>74</v>
      </c>
      <c r="F333" s="7"/>
      <c r="G333" s="6"/>
      <c r="H333" s="6"/>
      <c r="I333" s="8">
        <v>45997</v>
      </c>
      <c r="J333" s="6"/>
      <c r="K333" s="6"/>
      <c r="L333" s="45"/>
      <c r="M333" s="6"/>
    </row>
    <row r="334" spans="1:13" hidden="1" x14ac:dyDescent="0.25">
      <c r="A334" s="59" t="s">
        <v>205</v>
      </c>
      <c r="C334" s="73" t="s">
        <v>43</v>
      </c>
      <c r="D334" s="6" t="s">
        <v>2</v>
      </c>
      <c r="E334" s="7" t="s">
        <v>74</v>
      </c>
      <c r="F334" s="7"/>
      <c r="G334" s="6"/>
      <c r="H334" s="6"/>
      <c r="I334" s="8">
        <v>45997</v>
      </c>
      <c r="J334" s="6"/>
      <c r="K334" s="6"/>
      <c r="L334" s="45"/>
      <c r="M334" s="6"/>
    </row>
    <row r="335" spans="1:13" hidden="1" x14ac:dyDescent="0.25">
      <c r="A335" s="59" t="s">
        <v>206</v>
      </c>
      <c r="C335" s="73" t="s">
        <v>43</v>
      </c>
      <c r="D335" s="6" t="s">
        <v>2</v>
      </c>
      <c r="E335" s="7" t="s">
        <v>74</v>
      </c>
      <c r="F335" s="7"/>
      <c r="G335" s="6"/>
      <c r="H335" s="6"/>
      <c r="I335" s="8">
        <v>45997</v>
      </c>
      <c r="J335" s="6"/>
      <c r="K335" s="6"/>
      <c r="L335" s="45"/>
      <c r="M335" s="6"/>
    </row>
    <row r="336" spans="1:13" hidden="1" x14ac:dyDescent="0.25">
      <c r="A336" s="59" t="s">
        <v>207</v>
      </c>
      <c r="C336" s="73" t="s">
        <v>43</v>
      </c>
      <c r="D336" s="6" t="s">
        <v>2</v>
      </c>
      <c r="E336" s="7" t="s">
        <v>74</v>
      </c>
      <c r="F336" s="7"/>
      <c r="G336" s="6"/>
      <c r="H336" s="6"/>
      <c r="I336" s="8">
        <v>45997</v>
      </c>
      <c r="J336" s="6"/>
      <c r="K336" s="6"/>
      <c r="L336" s="45"/>
      <c r="M336" s="6"/>
    </row>
    <row r="337" spans="1:13" hidden="1" x14ac:dyDescent="0.25">
      <c r="A337" s="59" t="s">
        <v>208</v>
      </c>
      <c r="C337" s="73" t="s">
        <v>43</v>
      </c>
      <c r="D337" s="6" t="s">
        <v>2</v>
      </c>
      <c r="E337" s="7" t="s">
        <v>74</v>
      </c>
      <c r="F337" s="7"/>
      <c r="G337" s="6"/>
      <c r="H337" s="6"/>
      <c r="I337" s="8">
        <v>45997</v>
      </c>
      <c r="J337" s="6"/>
      <c r="K337" s="6"/>
      <c r="L337" s="45"/>
      <c r="M337" s="6"/>
    </row>
    <row r="338" spans="1:13" hidden="1" x14ac:dyDescent="0.25">
      <c r="A338" s="59" t="s">
        <v>209</v>
      </c>
      <c r="C338" s="73" t="s">
        <v>43</v>
      </c>
      <c r="D338" s="6" t="s">
        <v>2</v>
      </c>
      <c r="E338" s="7" t="s">
        <v>74</v>
      </c>
      <c r="F338" s="7"/>
      <c r="G338" s="6"/>
      <c r="H338" s="6"/>
      <c r="I338" s="8">
        <v>45997</v>
      </c>
      <c r="J338" s="6"/>
      <c r="K338" s="6"/>
      <c r="L338" s="45"/>
      <c r="M338" s="6"/>
    </row>
    <row r="339" spans="1:13" hidden="1" x14ac:dyDescent="0.25">
      <c r="A339" s="59" t="s">
        <v>210</v>
      </c>
      <c r="C339" s="73" t="s">
        <v>43</v>
      </c>
      <c r="D339" s="6" t="s">
        <v>2</v>
      </c>
      <c r="E339" s="7" t="s">
        <v>74</v>
      </c>
      <c r="F339" s="7"/>
      <c r="G339" s="6"/>
      <c r="H339" s="6"/>
      <c r="I339" s="8">
        <v>45997</v>
      </c>
      <c r="J339" s="6"/>
      <c r="K339" s="6"/>
      <c r="L339" s="45"/>
      <c r="M339" s="6"/>
    </row>
    <row r="340" spans="1:13" hidden="1" x14ac:dyDescent="0.25">
      <c r="A340" s="59" t="s">
        <v>211</v>
      </c>
      <c r="C340" s="73" t="s">
        <v>43</v>
      </c>
      <c r="D340" s="6" t="s">
        <v>2</v>
      </c>
      <c r="E340" s="7" t="s">
        <v>74</v>
      </c>
      <c r="F340" s="7"/>
      <c r="G340" s="6"/>
      <c r="H340" s="6"/>
      <c r="I340" s="8">
        <v>45997</v>
      </c>
      <c r="J340" s="6"/>
      <c r="K340" s="6"/>
      <c r="L340" s="45"/>
      <c r="M340" s="6"/>
    </row>
    <row r="341" spans="1:13" hidden="1" x14ac:dyDescent="0.25">
      <c r="A341" s="59" t="s">
        <v>212</v>
      </c>
      <c r="C341" s="73" t="s">
        <v>43</v>
      </c>
      <c r="D341" s="6" t="s">
        <v>2</v>
      </c>
      <c r="E341" s="7" t="s">
        <v>74</v>
      </c>
      <c r="F341" s="7"/>
      <c r="G341" s="6"/>
      <c r="H341" s="6"/>
      <c r="I341" s="8">
        <v>45997</v>
      </c>
      <c r="J341" s="6"/>
      <c r="K341" s="6"/>
      <c r="L341" s="45"/>
      <c r="M341" s="6"/>
    </row>
    <row r="342" spans="1:13" hidden="1" x14ac:dyDescent="0.25">
      <c r="A342" s="59" t="s">
        <v>213</v>
      </c>
      <c r="C342" s="73" t="s">
        <v>43</v>
      </c>
      <c r="D342" s="6" t="s">
        <v>2</v>
      </c>
      <c r="E342" s="7" t="s">
        <v>74</v>
      </c>
      <c r="F342" s="7"/>
      <c r="G342" s="6"/>
      <c r="H342" s="6"/>
      <c r="I342" s="8">
        <v>45997</v>
      </c>
      <c r="J342" s="6"/>
      <c r="K342" s="6"/>
      <c r="L342" s="45"/>
      <c r="M342" s="6"/>
    </row>
    <row r="343" spans="1:13" hidden="1" x14ac:dyDescent="0.25">
      <c r="A343" s="59" t="s">
        <v>214</v>
      </c>
      <c r="C343" s="73" t="s">
        <v>43</v>
      </c>
      <c r="D343" s="6" t="s">
        <v>2</v>
      </c>
      <c r="E343" s="7" t="s">
        <v>74</v>
      </c>
      <c r="F343" s="7"/>
      <c r="G343" s="6"/>
      <c r="H343" s="6"/>
      <c r="I343" s="8">
        <v>45997</v>
      </c>
      <c r="J343" s="6"/>
      <c r="K343" s="6"/>
      <c r="L343" s="45"/>
      <c r="M343" s="6"/>
    </row>
    <row r="344" spans="1:13" hidden="1" x14ac:dyDescent="0.25">
      <c r="A344" s="59" t="s">
        <v>215</v>
      </c>
      <c r="C344" s="73" t="s">
        <v>43</v>
      </c>
      <c r="D344" s="6" t="s">
        <v>2</v>
      </c>
      <c r="E344" s="7" t="s">
        <v>74</v>
      </c>
      <c r="F344" s="7"/>
      <c r="G344" s="6"/>
      <c r="H344" s="6"/>
      <c r="I344" s="8">
        <v>45997</v>
      </c>
      <c r="J344" s="6"/>
      <c r="K344" s="6"/>
      <c r="L344" s="45"/>
      <c r="M344" s="6"/>
    </row>
    <row r="345" spans="1:13" hidden="1" x14ac:dyDescent="0.25">
      <c r="A345" s="59" t="s">
        <v>216</v>
      </c>
      <c r="C345" s="73" t="s">
        <v>43</v>
      </c>
      <c r="D345" s="6" t="s">
        <v>2</v>
      </c>
      <c r="E345" s="7" t="s">
        <v>74</v>
      </c>
      <c r="F345" s="7"/>
      <c r="G345" s="6"/>
      <c r="H345" s="6"/>
      <c r="I345" s="8">
        <v>45997</v>
      </c>
      <c r="J345" s="6"/>
      <c r="K345" s="6"/>
      <c r="L345" s="45"/>
      <c r="M345" s="6"/>
    </row>
    <row r="346" spans="1:13" hidden="1" x14ac:dyDescent="0.25">
      <c r="A346" s="59" t="s">
        <v>217</v>
      </c>
      <c r="C346" s="73" t="s">
        <v>43</v>
      </c>
      <c r="D346" s="6" t="s">
        <v>2</v>
      </c>
      <c r="E346" s="7" t="s">
        <v>74</v>
      </c>
      <c r="F346" s="7"/>
      <c r="G346" s="6"/>
      <c r="H346" s="6"/>
      <c r="I346" s="8">
        <v>45997</v>
      </c>
      <c r="J346" s="6"/>
      <c r="K346" s="6"/>
      <c r="L346" s="45"/>
      <c r="M346" s="6"/>
    </row>
    <row r="347" spans="1:13" hidden="1" x14ac:dyDescent="0.25">
      <c r="A347" s="59" t="s">
        <v>218</v>
      </c>
      <c r="C347" s="73" t="s">
        <v>43</v>
      </c>
      <c r="D347" s="6" t="s">
        <v>2</v>
      </c>
      <c r="E347" s="7" t="s">
        <v>74</v>
      </c>
      <c r="F347" s="7"/>
      <c r="G347" s="6"/>
      <c r="H347" s="6"/>
      <c r="I347" s="8">
        <v>45997</v>
      </c>
      <c r="J347" s="6"/>
      <c r="K347" s="6"/>
      <c r="L347" s="45"/>
      <c r="M347" s="6"/>
    </row>
    <row r="348" spans="1:13" hidden="1" x14ac:dyDescent="0.25">
      <c r="A348" s="59" t="s">
        <v>219</v>
      </c>
      <c r="C348" s="73" t="s">
        <v>43</v>
      </c>
      <c r="D348" s="6" t="s">
        <v>2</v>
      </c>
      <c r="E348" s="7" t="s">
        <v>74</v>
      </c>
      <c r="F348" s="7"/>
      <c r="G348" s="6"/>
      <c r="H348" s="6"/>
      <c r="I348" s="8">
        <v>45997</v>
      </c>
      <c r="J348" s="6"/>
      <c r="K348" s="6"/>
      <c r="L348" s="45"/>
      <c r="M348" s="6"/>
    </row>
    <row r="349" spans="1:13" hidden="1" x14ac:dyDescent="0.25">
      <c r="A349" s="59" t="s">
        <v>220</v>
      </c>
      <c r="C349" s="73" t="s">
        <v>43</v>
      </c>
      <c r="D349" s="6" t="s">
        <v>2</v>
      </c>
      <c r="E349" s="7" t="s">
        <v>74</v>
      </c>
      <c r="F349" s="7"/>
      <c r="G349" s="6"/>
      <c r="H349" s="6"/>
      <c r="I349" s="8">
        <v>45997</v>
      </c>
      <c r="J349" s="6"/>
      <c r="K349" s="6"/>
      <c r="L349" s="45"/>
      <c r="M349" s="6"/>
    </row>
    <row r="350" spans="1:13" hidden="1" x14ac:dyDescent="0.25">
      <c r="A350" s="59" t="s">
        <v>221</v>
      </c>
      <c r="C350" s="73" t="s">
        <v>43</v>
      </c>
      <c r="D350" s="6" t="s">
        <v>2</v>
      </c>
      <c r="E350" s="7" t="s">
        <v>74</v>
      </c>
      <c r="F350" s="7"/>
      <c r="G350" s="6"/>
      <c r="H350" s="6"/>
      <c r="I350" s="8">
        <v>45997</v>
      </c>
      <c r="J350" s="6"/>
      <c r="K350" s="6"/>
      <c r="L350" s="45"/>
      <c r="M350" s="6"/>
    </row>
    <row r="351" spans="1:13" hidden="1" x14ac:dyDescent="0.25">
      <c r="A351" s="59" t="s">
        <v>222</v>
      </c>
      <c r="C351" s="73" t="s">
        <v>43</v>
      </c>
      <c r="D351" s="6" t="s">
        <v>2</v>
      </c>
      <c r="E351" s="7" t="s">
        <v>74</v>
      </c>
      <c r="F351" s="7"/>
      <c r="G351" s="6"/>
      <c r="H351" s="6"/>
      <c r="I351" s="8">
        <v>45997</v>
      </c>
      <c r="J351" s="6"/>
      <c r="K351" s="6"/>
      <c r="L351" s="45"/>
      <c r="M351" s="6"/>
    </row>
    <row r="352" spans="1:13" hidden="1" x14ac:dyDescent="0.25">
      <c r="A352" s="59" t="s">
        <v>223</v>
      </c>
      <c r="C352" s="73" t="s">
        <v>43</v>
      </c>
      <c r="D352" s="6" t="s">
        <v>2</v>
      </c>
      <c r="E352" s="7" t="s">
        <v>74</v>
      </c>
      <c r="F352" s="7"/>
      <c r="G352" s="6"/>
      <c r="H352" s="6"/>
      <c r="I352" s="8">
        <v>45997</v>
      </c>
      <c r="J352" s="6"/>
      <c r="K352" s="6"/>
      <c r="L352" s="45"/>
      <c r="M352" s="6"/>
    </row>
    <row r="353" spans="1:13" hidden="1" x14ac:dyDescent="0.25">
      <c r="A353" s="59" t="s">
        <v>224</v>
      </c>
      <c r="C353" s="73" t="s">
        <v>43</v>
      </c>
      <c r="D353" s="6" t="s">
        <v>2</v>
      </c>
      <c r="E353" s="7" t="s">
        <v>74</v>
      </c>
      <c r="F353" s="7"/>
      <c r="G353" s="6"/>
      <c r="H353" s="6"/>
      <c r="I353" s="8">
        <v>45997</v>
      </c>
      <c r="J353" s="6"/>
      <c r="K353" s="6"/>
      <c r="L353" s="45"/>
      <c r="M353" s="6"/>
    </row>
    <row r="354" spans="1:13" hidden="1" x14ac:dyDescent="0.25">
      <c r="A354" s="59" t="s">
        <v>225</v>
      </c>
      <c r="C354" s="73" t="s">
        <v>43</v>
      </c>
      <c r="D354" s="6" t="s">
        <v>2</v>
      </c>
      <c r="E354" s="7" t="s">
        <v>74</v>
      </c>
      <c r="F354" s="7"/>
      <c r="G354" s="6"/>
      <c r="H354" s="6"/>
      <c r="I354" s="8">
        <v>45997</v>
      </c>
      <c r="J354" s="6"/>
      <c r="K354" s="6"/>
      <c r="L354" s="45"/>
      <c r="M354" s="6"/>
    </row>
    <row r="355" spans="1:13" hidden="1" x14ac:dyDescent="0.25">
      <c r="A355" s="59" t="s">
        <v>226</v>
      </c>
      <c r="C355" s="73" t="s">
        <v>43</v>
      </c>
      <c r="D355" s="6" t="s">
        <v>2</v>
      </c>
      <c r="E355" s="7" t="s">
        <v>74</v>
      </c>
      <c r="F355" s="7"/>
      <c r="G355" s="6"/>
      <c r="H355" s="6"/>
      <c r="I355" s="8">
        <v>45997</v>
      </c>
      <c r="J355" s="6"/>
      <c r="K355" s="6"/>
      <c r="L355" s="45"/>
      <c r="M355" s="6"/>
    </row>
    <row r="356" spans="1:13" hidden="1" x14ac:dyDescent="0.25">
      <c r="A356" s="59" t="s">
        <v>227</v>
      </c>
      <c r="C356" s="73" t="s">
        <v>43</v>
      </c>
      <c r="D356" s="6" t="s">
        <v>2</v>
      </c>
      <c r="E356" s="7" t="s">
        <v>74</v>
      </c>
      <c r="F356" s="7"/>
      <c r="G356" s="6"/>
      <c r="H356" s="6"/>
      <c r="I356" s="8">
        <v>45997</v>
      </c>
      <c r="J356" s="6"/>
      <c r="K356" s="6"/>
      <c r="L356" s="45"/>
      <c r="M356" s="6"/>
    </row>
    <row r="357" spans="1:13" hidden="1" x14ac:dyDescent="0.25">
      <c r="A357" s="59" t="s">
        <v>228</v>
      </c>
      <c r="C357" s="73" t="s">
        <v>43</v>
      </c>
      <c r="D357" s="6" t="s">
        <v>2</v>
      </c>
      <c r="E357" s="7" t="s">
        <v>74</v>
      </c>
      <c r="F357" s="7"/>
      <c r="G357" s="6"/>
      <c r="H357" s="6"/>
      <c r="I357" s="8">
        <v>45997</v>
      </c>
      <c r="J357" s="6"/>
      <c r="K357" s="6"/>
      <c r="L357" s="45"/>
      <c r="M357" s="6"/>
    </row>
    <row r="358" spans="1:13" hidden="1" x14ac:dyDescent="0.25">
      <c r="A358" s="59" t="s">
        <v>229</v>
      </c>
      <c r="C358" s="73" t="s">
        <v>43</v>
      </c>
      <c r="D358" s="6" t="s">
        <v>2</v>
      </c>
      <c r="E358" s="7" t="s">
        <v>74</v>
      </c>
      <c r="F358" s="7"/>
      <c r="G358" s="6"/>
      <c r="H358" s="6"/>
      <c r="I358" s="8">
        <v>45997</v>
      </c>
      <c r="J358" s="6"/>
      <c r="K358" s="6"/>
      <c r="L358" s="45"/>
      <c r="M358" s="6"/>
    </row>
    <row r="359" spans="1:13" hidden="1" x14ac:dyDescent="0.25">
      <c r="A359" s="59" t="s">
        <v>230</v>
      </c>
      <c r="C359" s="73" t="s">
        <v>43</v>
      </c>
      <c r="D359" s="6" t="s">
        <v>2</v>
      </c>
      <c r="E359" s="7" t="s">
        <v>74</v>
      </c>
      <c r="F359" s="7"/>
      <c r="G359" s="6"/>
      <c r="H359" s="6"/>
      <c r="I359" s="8">
        <v>45997</v>
      </c>
      <c r="J359" s="6"/>
      <c r="K359" s="6"/>
      <c r="L359" s="45"/>
      <c r="M359" s="6"/>
    </row>
    <row r="360" spans="1:13" hidden="1" x14ac:dyDescent="0.25">
      <c r="A360" s="59" t="s">
        <v>231</v>
      </c>
      <c r="C360" s="73" t="s">
        <v>43</v>
      </c>
      <c r="D360" s="6" t="s">
        <v>2</v>
      </c>
      <c r="E360" s="7" t="s">
        <v>74</v>
      </c>
      <c r="F360" s="7"/>
      <c r="G360" s="6"/>
      <c r="H360" s="6"/>
      <c r="I360" s="8">
        <v>45997</v>
      </c>
      <c r="J360" s="6"/>
      <c r="K360" s="6"/>
      <c r="L360" s="45"/>
      <c r="M360" s="6"/>
    </row>
    <row r="361" spans="1:13" hidden="1" x14ac:dyDescent="0.25">
      <c r="A361" s="59" t="s">
        <v>232</v>
      </c>
      <c r="C361" s="73" t="s">
        <v>43</v>
      </c>
      <c r="D361" s="6" t="s">
        <v>2</v>
      </c>
      <c r="E361" s="7" t="s">
        <v>74</v>
      </c>
      <c r="F361" s="7"/>
      <c r="G361" s="6"/>
      <c r="H361" s="6"/>
      <c r="I361" s="8">
        <v>45997</v>
      </c>
      <c r="J361" s="6"/>
      <c r="K361" s="6"/>
      <c r="L361" s="45"/>
      <c r="M361" s="6"/>
    </row>
    <row r="362" spans="1:13" hidden="1" x14ac:dyDescent="0.25">
      <c r="A362" s="59" t="s">
        <v>233</v>
      </c>
      <c r="C362" s="73" t="s">
        <v>43</v>
      </c>
      <c r="D362" s="6" t="s">
        <v>2</v>
      </c>
      <c r="E362" s="7" t="s">
        <v>74</v>
      </c>
      <c r="F362" s="7"/>
      <c r="G362" s="6"/>
      <c r="H362" s="6"/>
      <c r="I362" s="8">
        <v>45997</v>
      </c>
      <c r="J362" s="6"/>
      <c r="K362" s="6"/>
      <c r="L362" s="45"/>
      <c r="M362" s="6"/>
    </row>
    <row r="363" spans="1:13" hidden="1" x14ac:dyDescent="0.25">
      <c r="A363" s="59" t="s">
        <v>234</v>
      </c>
      <c r="C363" s="73" t="s">
        <v>43</v>
      </c>
      <c r="D363" s="6" t="s">
        <v>2</v>
      </c>
      <c r="E363" s="7" t="s">
        <v>74</v>
      </c>
      <c r="F363" s="7"/>
      <c r="G363" s="6"/>
      <c r="H363" s="6"/>
      <c r="I363" s="8">
        <v>45997</v>
      </c>
      <c r="J363" s="6"/>
      <c r="K363" s="6"/>
      <c r="L363" s="45"/>
      <c r="M363" s="6"/>
    </row>
    <row r="364" spans="1:13" hidden="1" x14ac:dyDescent="0.25">
      <c r="A364" s="59" t="s">
        <v>235</v>
      </c>
      <c r="C364" s="73" t="s">
        <v>43</v>
      </c>
      <c r="D364" s="6" t="s">
        <v>2</v>
      </c>
      <c r="E364" s="7" t="s">
        <v>74</v>
      </c>
      <c r="F364" s="7"/>
      <c r="G364" s="6"/>
      <c r="H364" s="6"/>
      <c r="I364" s="8">
        <v>45997</v>
      </c>
      <c r="J364" s="6"/>
      <c r="K364" s="6"/>
      <c r="L364" s="45"/>
      <c r="M364" s="6"/>
    </row>
    <row r="365" spans="1:13" hidden="1" x14ac:dyDescent="0.25">
      <c r="A365" s="59" t="s">
        <v>236</v>
      </c>
      <c r="C365" s="73" t="s">
        <v>43</v>
      </c>
      <c r="D365" s="6" t="s">
        <v>2</v>
      </c>
      <c r="E365" s="7" t="s">
        <v>74</v>
      </c>
      <c r="F365" s="7"/>
      <c r="G365" s="6"/>
      <c r="H365" s="6"/>
      <c r="I365" s="8">
        <v>45997</v>
      </c>
      <c r="J365" s="6"/>
      <c r="K365" s="6"/>
      <c r="L365" s="45"/>
      <c r="M365" s="6"/>
    </row>
    <row r="366" spans="1:13" hidden="1" x14ac:dyDescent="0.25">
      <c r="A366" s="59" t="s">
        <v>237</v>
      </c>
      <c r="B366" s="10"/>
      <c r="C366" s="73" t="s">
        <v>43</v>
      </c>
      <c r="D366" s="6" t="s">
        <v>2</v>
      </c>
      <c r="E366" s="7" t="s">
        <v>74</v>
      </c>
      <c r="F366" s="7"/>
      <c r="G366" s="6"/>
      <c r="H366" s="6"/>
      <c r="I366" s="8">
        <v>45997</v>
      </c>
      <c r="J366" s="6"/>
      <c r="K366" s="6"/>
      <c r="L366" s="45"/>
      <c r="M366" s="6"/>
    </row>
    <row r="367" spans="1:13" hidden="1" x14ac:dyDescent="0.25">
      <c r="A367" s="59" t="s">
        <v>238</v>
      </c>
      <c r="C367" s="73" t="s">
        <v>43</v>
      </c>
      <c r="D367" s="6" t="s">
        <v>2</v>
      </c>
      <c r="E367" s="7" t="s">
        <v>74</v>
      </c>
      <c r="F367" s="7"/>
      <c r="G367" s="6"/>
      <c r="H367" s="6"/>
      <c r="I367" s="8">
        <v>45997</v>
      </c>
      <c r="J367" s="6"/>
      <c r="K367" s="6"/>
      <c r="L367" s="45"/>
      <c r="M367" s="6"/>
    </row>
    <row r="368" spans="1:13" hidden="1" x14ac:dyDescent="0.25">
      <c r="A368" s="59" t="s">
        <v>239</v>
      </c>
      <c r="C368" s="73" t="s">
        <v>43</v>
      </c>
      <c r="D368" s="6" t="s">
        <v>2</v>
      </c>
      <c r="E368" s="7" t="s">
        <v>74</v>
      </c>
      <c r="F368" s="7"/>
      <c r="G368" s="6"/>
      <c r="H368" s="6"/>
      <c r="I368" s="8">
        <v>45997</v>
      </c>
      <c r="J368" s="6"/>
      <c r="K368" s="6"/>
      <c r="L368" s="45"/>
      <c r="M368" s="6"/>
    </row>
    <row r="369" spans="1:13" hidden="1" x14ac:dyDescent="0.25">
      <c r="A369" s="59" t="s">
        <v>240</v>
      </c>
      <c r="B369" s="53"/>
      <c r="C369" s="73" t="s">
        <v>43</v>
      </c>
      <c r="D369" s="6" t="s">
        <v>2</v>
      </c>
      <c r="E369" s="7" t="s">
        <v>74</v>
      </c>
      <c r="F369" s="7"/>
      <c r="G369" s="6"/>
      <c r="H369" s="6"/>
      <c r="I369" s="8">
        <v>45997</v>
      </c>
      <c r="J369" s="6"/>
      <c r="K369" s="6"/>
      <c r="L369" s="45"/>
      <c r="M369" s="6"/>
    </row>
    <row r="370" spans="1:13" hidden="1" x14ac:dyDescent="0.25">
      <c r="A370" s="59" t="s">
        <v>241</v>
      </c>
      <c r="B370" s="53"/>
      <c r="C370" s="73" t="s">
        <v>43</v>
      </c>
      <c r="D370" s="6" t="s">
        <v>2</v>
      </c>
      <c r="E370" s="7" t="s">
        <v>74</v>
      </c>
      <c r="F370" s="7"/>
      <c r="G370" s="6"/>
      <c r="H370" s="6"/>
      <c r="I370" s="8">
        <v>45997</v>
      </c>
      <c r="J370" s="6"/>
      <c r="K370" s="6"/>
      <c r="L370" s="45"/>
      <c r="M370" s="6"/>
    </row>
    <row r="371" spans="1:13" hidden="1" x14ac:dyDescent="0.25">
      <c r="A371" s="59" t="s">
        <v>242</v>
      </c>
      <c r="B371" s="53"/>
      <c r="C371" s="73" t="s">
        <v>43</v>
      </c>
      <c r="D371" s="6" t="s">
        <v>2</v>
      </c>
      <c r="E371" s="7" t="s">
        <v>74</v>
      </c>
      <c r="F371" s="7"/>
      <c r="G371" s="6"/>
      <c r="H371" s="6"/>
      <c r="I371" s="8">
        <v>45997</v>
      </c>
      <c r="J371" s="6"/>
      <c r="K371" s="6"/>
      <c r="L371" s="45"/>
      <c r="M371" s="6"/>
    </row>
    <row r="372" spans="1:13" hidden="1" x14ac:dyDescent="0.25">
      <c r="A372" s="59" t="s">
        <v>243</v>
      </c>
      <c r="B372" s="53"/>
      <c r="C372" s="73" t="s">
        <v>43</v>
      </c>
      <c r="D372" s="6" t="s">
        <v>2</v>
      </c>
      <c r="E372" s="7" t="s">
        <v>74</v>
      </c>
      <c r="F372" s="7"/>
      <c r="G372" s="6"/>
      <c r="H372" s="6"/>
      <c r="I372" s="8">
        <v>45997</v>
      </c>
      <c r="J372" s="6"/>
      <c r="K372" s="6"/>
      <c r="L372" s="45"/>
      <c r="M372" s="6"/>
    </row>
    <row r="373" spans="1:13" hidden="1" x14ac:dyDescent="0.25">
      <c r="A373" s="59" t="s">
        <v>244</v>
      </c>
      <c r="B373" s="53"/>
      <c r="C373" s="73" t="s">
        <v>43</v>
      </c>
      <c r="D373" s="6" t="s">
        <v>2</v>
      </c>
      <c r="E373" s="7" t="s">
        <v>74</v>
      </c>
      <c r="F373" s="7"/>
      <c r="G373" s="6"/>
      <c r="H373" s="6"/>
      <c r="I373" s="8">
        <v>45997</v>
      </c>
      <c r="J373" s="6"/>
      <c r="K373" s="6"/>
      <c r="L373" s="45"/>
      <c r="M373" s="6"/>
    </row>
    <row r="374" spans="1:13" hidden="1" x14ac:dyDescent="0.25">
      <c r="A374" s="59" t="s">
        <v>245</v>
      </c>
      <c r="B374" s="53"/>
      <c r="C374" s="73" t="s">
        <v>43</v>
      </c>
      <c r="D374" s="6" t="s">
        <v>2</v>
      </c>
      <c r="E374" s="7" t="s">
        <v>74</v>
      </c>
      <c r="F374" s="7"/>
      <c r="G374" s="6"/>
      <c r="H374" s="6"/>
      <c r="I374" s="8">
        <v>45997</v>
      </c>
      <c r="J374" s="6"/>
      <c r="K374" s="6"/>
      <c r="L374" s="45"/>
      <c r="M374" s="6"/>
    </row>
    <row r="375" spans="1:13" hidden="1" x14ac:dyDescent="0.25">
      <c r="A375" s="59" t="s">
        <v>246</v>
      </c>
      <c r="B375" s="53"/>
      <c r="C375" s="73" t="s">
        <v>43</v>
      </c>
      <c r="D375" s="6" t="s">
        <v>2</v>
      </c>
      <c r="E375" s="7" t="s">
        <v>74</v>
      </c>
      <c r="F375" s="7"/>
      <c r="G375" s="6"/>
      <c r="H375" s="6"/>
      <c r="I375" s="8">
        <v>45997</v>
      </c>
      <c r="J375" s="6"/>
      <c r="K375" s="6"/>
      <c r="L375" s="45"/>
      <c r="M375" s="6"/>
    </row>
    <row r="376" spans="1:13" hidden="1" x14ac:dyDescent="0.25">
      <c r="A376" s="59" t="s">
        <v>247</v>
      </c>
      <c r="B376" s="53"/>
      <c r="C376" s="73" t="s">
        <v>43</v>
      </c>
      <c r="D376" s="6" t="s">
        <v>2</v>
      </c>
      <c r="E376" s="7" t="s">
        <v>74</v>
      </c>
      <c r="F376" s="7"/>
      <c r="G376" s="6"/>
      <c r="H376" s="6"/>
      <c r="I376" s="8">
        <v>45997</v>
      </c>
      <c r="J376" s="6"/>
      <c r="K376" s="6"/>
      <c r="L376" s="45"/>
      <c r="M376" s="6"/>
    </row>
    <row r="377" spans="1:13" hidden="1" x14ac:dyDescent="0.25">
      <c r="A377" s="59" t="s">
        <v>248</v>
      </c>
      <c r="B377" s="53"/>
      <c r="C377" s="73" t="s">
        <v>43</v>
      </c>
      <c r="D377" s="6" t="s">
        <v>2</v>
      </c>
      <c r="E377" s="7" t="s">
        <v>74</v>
      </c>
      <c r="F377" s="7"/>
      <c r="G377" s="6"/>
      <c r="H377" s="6"/>
      <c r="I377" s="8">
        <v>45997</v>
      </c>
      <c r="J377" s="6"/>
      <c r="K377" s="6"/>
      <c r="L377" s="45"/>
      <c r="M377" s="6"/>
    </row>
    <row r="378" spans="1:13" hidden="1" x14ac:dyDescent="0.25">
      <c r="A378" s="59" t="s">
        <v>249</v>
      </c>
      <c r="B378" s="53"/>
      <c r="C378" s="73" t="s">
        <v>43</v>
      </c>
      <c r="D378" s="6" t="s">
        <v>2</v>
      </c>
      <c r="E378" s="7" t="s">
        <v>74</v>
      </c>
      <c r="F378" s="7"/>
      <c r="G378" s="6"/>
      <c r="H378" s="6"/>
      <c r="I378" s="8">
        <v>45997</v>
      </c>
      <c r="J378" s="6"/>
      <c r="K378" s="6"/>
      <c r="L378" s="45"/>
      <c r="M378" s="6"/>
    </row>
    <row r="379" spans="1:13" hidden="1" x14ac:dyDescent="0.25">
      <c r="A379" s="59" t="s">
        <v>250</v>
      </c>
      <c r="B379" s="53"/>
      <c r="C379" s="73" t="s">
        <v>43</v>
      </c>
      <c r="D379" s="6" t="s">
        <v>2</v>
      </c>
      <c r="E379" s="7" t="s">
        <v>74</v>
      </c>
      <c r="F379" s="7"/>
      <c r="G379" s="6"/>
      <c r="H379" s="6"/>
      <c r="I379" s="8">
        <v>45997</v>
      </c>
      <c r="J379" s="6"/>
      <c r="K379" s="6"/>
      <c r="L379" s="45"/>
      <c r="M379" s="6"/>
    </row>
    <row r="380" spans="1:13" hidden="1" x14ac:dyDescent="0.25">
      <c r="A380" s="59" t="s">
        <v>251</v>
      </c>
      <c r="B380" s="53"/>
      <c r="C380" s="73" t="s">
        <v>43</v>
      </c>
      <c r="D380" s="6" t="s">
        <v>2</v>
      </c>
      <c r="E380" s="7" t="s">
        <v>74</v>
      </c>
      <c r="F380" s="7"/>
      <c r="G380" s="6"/>
      <c r="H380" s="6"/>
      <c r="I380" s="8">
        <v>45997</v>
      </c>
      <c r="J380" s="6"/>
      <c r="K380" s="6"/>
      <c r="L380" s="45"/>
      <c r="M380" s="6"/>
    </row>
    <row r="381" spans="1:13" hidden="1" x14ac:dyDescent="0.25">
      <c r="A381" s="59" t="s">
        <v>252</v>
      </c>
      <c r="B381" s="53"/>
      <c r="C381" s="73" t="s">
        <v>43</v>
      </c>
      <c r="D381" s="6" t="s">
        <v>2</v>
      </c>
      <c r="E381" s="7" t="s">
        <v>74</v>
      </c>
      <c r="F381" s="7"/>
      <c r="G381" s="6"/>
      <c r="H381" s="6"/>
      <c r="I381" s="8">
        <v>45997</v>
      </c>
      <c r="J381" s="6"/>
      <c r="K381" s="6"/>
      <c r="L381" s="45"/>
      <c r="M381" s="6"/>
    </row>
    <row r="382" spans="1:13" hidden="1" x14ac:dyDescent="0.25">
      <c r="A382" s="59" t="s">
        <v>253</v>
      </c>
      <c r="B382" s="53"/>
      <c r="C382" s="73" t="s">
        <v>43</v>
      </c>
      <c r="D382" s="6" t="s">
        <v>2</v>
      </c>
      <c r="E382" s="7" t="s">
        <v>74</v>
      </c>
      <c r="F382" s="7"/>
      <c r="G382" s="6"/>
      <c r="H382" s="6"/>
      <c r="I382" s="8">
        <v>45997</v>
      </c>
      <c r="J382" s="6"/>
      <c r="K382" s="6"/>
      <c r="L382" s="45"/>
      <c r="M382" s="6"/>
    </row>
    <row r="383" spans="1:13" hidden="1" x14ac:dyDescent="0.25">
      <c r="A383" s="59" t="s">
        <v>254</v>
      </c>
      <c r="B383" s="53"/>
      <c r="C383" s="73" t="s">
        <v>43</v>
      </c>
      <c r="D383" s="6" t="s">
        <v>2</v>
      </c>
      <c r="E383" s="7" t="s">
        <v>74</v>
      </c>
      <c r="F383" s="7"/>
      <c r="G383" s="6"/>
      <c r="H383" s="6"/>
      <c r="I383" s="8">
        <v>45997</v>
      </c>
      <c r="J383" s="6"/>
      <c r="K383" s="6"/>
      <c r="L383" s="45"/>
      <c r="M383" s="6"/>
    </row>
    <row r="384" spans="1:13" hidden="1" x14ac:dyDescent="0.25">
      <c r="A384" s="59" t="s">
        <v>255</v>
      </c>
      <c r="B384" s="53"/>
      <c r="C384" s="73" t="s">
        <v>43</v>
      </c>
      <c r="D384" s="6" t="s">
        <v>2</v>
      </c>
      <c r="E384" s="7" t="s">
        <v>74</v>
      </c>
      <c r="F384" s="7"/>
      <c r="G384" s="6"/>
      <c r="H384" s="6"/>
      <c r="I384" s="8">
        <v>45997</v>
      </c>
      <c r="J384" s="6"/>
      <c r="K384" s="6"/>
      <c r="L384" s="45"/>
      <c r="M384" s="6"/>
    </row>
    <row r="385" spans="1:13" hidden="1" x14ac:dyDescent="0.25">
      <c r="A385" s="59" t="s">
        <v>256</v>
      </c>
      <c r="B385" s="53"/>
      <c r="C385" s="73" t="s">
        <v>43</v>
      </c>
      <c r="D385" s="6" t="s">
        <v>2</v>
      </c>
      <c r="E385" s="7" t="s">
        <v>74</v>
      </c>
      <c r="F385" s="7"/>
      <c r="G385" s="6"/>
      <c r="H385" s="6"/>
      <c r="I385" s="8">
        <v>45997</v>
      </c>
      <c r="J385" s="6"/>
      <c r="K385" s="6"/>
      <c r="L385" s="45"/>
      <c r="M385" s="6"/>
    </row>
    <row r="386" spans="1:13" hidden="1" x14ac:dyDescent="0.25">
      <c r="A386" s="59" t="s">
        <v>257</v>
      </c>
      <c r="B386" s="53"/>
      <c r="C386" s="73" t="s">
        <v>43</v>
      </c>
      <c r="D386" s="6" t="s">
        <v>2</v>
      </c>
      <c r="E386" s="7" t="s">
        <v>74</v>
      </c>
      <c r="F386" s="7"/>
      <c r="G386" s="6"/>
      <c r="H386" s="6"/>
      <c r="I386" s="8">
        <v>45997</v>
      </c>
      <c r="J386" s="6"/>
      <c r="K386" s="6"/>
      <c r="L386" s="45"/>
      <c r="M386" s="6"/>
    </row>
    <row r="387" spans="1:13" hidden="1" x14ac:dyDescent="0.25">
      <c r="A387" s="59" t="s">
        <v>258</v>
      </c>
      <c r="B387" s="53"/>
      <c r="C387" s="73" t="s">
        <v>43</v>
      </c>
      <c r="D387" s="6" t="s">
        <v>2</v>
      </c>
      <c r="E387" s="7" t="s">
        <v>74</v>
      </c>
      <c r="F387" s="7"/>
      <c r="G387" s="6"/>
      <c r="H387" s="6"/>
      <c r="I387" s="8">
        <v>45997</v>
      </c>
      <c r="J387" s="6"/>
      <c r="K387" s="6"/>
      <c r="L387" s="45"/>
      <c r="M387" s="6"/>
    </row>
    <row r="388" spans="1:13" hidden="1" x14ac:dyDescent="0.25">
      <c r="A388" s="59" t="s">
        <v>259</v>
      </c>
      <c r="B388" s="53"/>
      <c r="C388" s="73" t="s">
        <v>43</v>
      </c>
      <c r="D388" s="6" t="s">
        <v>2</v>
      </c>
      <c r="E388" s="7" t="s">
        <v>74</v>
      </c>
      <c r="F388" s="7"/>
      <c r="G388" s="6"/>
      <c r="H388" s="6"/>
      <c r="I388" s="8">
        <v>45997</v>
      </c>
      <c r="J388" s="6"/>
      <c r="K388" s="6"/>
      <c r="L388" s="45"/>
      <c r="M388" s="6"/>
    </row>
    <row r="389" spans="1:13" hidden="1" x14ac:dyDescent="0.25">
      <c r="A389" s="59" t="s">
        <v>260</v>
      </c>
      <c r="B389" s="53"/>
      <c r="C389" s="73" t="s">
        <v>43</v>
      </c>
      <c r="D389" s="6" t="s">
        <v>2</v>
      </c>
      <c r="E389" s="7" t="s">
        <v>74</v>
      </c>
      <c r="F389" s="7"/>
      <c r="G389" s="6"/>
      <c r="H389" s="6"/>
      <c r="I389" s="8">
        <v>45997</v>
      </c>
      <c r="J389" s="6"/>
      <c r="K389" s="6"/>
      <c r="L389" s="45"/>
      <c r="M389" s="6"/>
    </row>
    <row r="390" spans="1:13" hidden="1" x14ac:dyDescent="0.25">
      <c r="A390" s="59" t="s">
        <v>261</v>
      </c>
      <c r="B390" s="53"/>
      <c r="C390" s="73" t="s">
        <v>43</v>
      </c>
      <c r="D390" s="6" t="s">
        <v>2</v>
      </c>
      <c r="E390" s="7" t="s">
        <v>74</v>
      </c>
      <c r="F390" s="7"/>
      <c r="G390" s="6"/>
      <c r="H390" s="6"/>
      <c r="I390" s="8">
        <v>45997</v>
      </c>
      <c r="J390" s="6"/>
      <c r="K390" s="6"/>
      <c r="L390" s="45"/>
      <c r="M390" s="6"/>
    </row>
    <row r="391" spans="1:13" hidden="1" x14ac:dyDescent="0.25">
      <c r="A391" s="59" t="s">
        <v>262</v>
      </c>
      <c r="C391" s="73" t="s">
        <v>43</v>
      </c>
      <c r="D391" s="6" t="s">
        <v>2</v>
      </c>
      <c r="E391" s="7" t="s">
        <v>74</v>
      </c>
      <c r="F391" s="7"/>
      <c r="G391" s="6"/>
      <c r="H391" s="6"/>
      <c r="I391" s="8">
        <v>45997</v>
      </c>
      <c r="J391" s="6"/>
      <c r="K391" s="6"/>
      <c r="L391" s="45">
        <v>45997</v>
      </c>
      <c r="M391" s="6"/>
    </row>
    <row r="392" spans="1:13" hidden="1" x14ac:dyDescent="0.25">
      <c r="A392" s="59" t="s">
        <v>263</v>
      </c>
      <c r="C392" s="73" t="s">
        <v>43</v>
      </c>
      <c r="D392" s="6" t="s">
        <v>2</v>
      </c>
      <c r="E392" s="7" t="s">
        <v>74</v>
      </c>
      <c r="F392" s="7"/>
      <c r="G392" s="6"/>
      <c r="H392" s="6"/>
      <c r="I392" s="8">
        <v>45997</v>
      </c>
      <c r="J392" s="6"/>
      <c r="K392" s="6"/>
      <c r="L392" s="45">
        <v>45997</v>
      </c>
      <c r="M392" s="6"/>
    </row>
    <row r="393" spans="1:13" hidden="1" x14ac:dyDescent="0.25">
      <c r="A393" s="43" t="s">
        <v>264</v>
      </c>
      <c r="B393" s="6"/>
      <c r="C393" s="74" t="s">
        <v>33</v>
      </c>
      <c r="D393" s="6" t="s">
        <v>2</v>
      </c>
      <c r="E393" s="7" t="s">
        <v>74</v>
      </c>
      <c r="F393" s="47"/>
      <c r="I393" s="8">
        <v>45997</v>
      </c>
      <c r="L393" s="45"/>
      <c r="M393" s="6"/>
    </row>
    <row r="394" spans="1:13" hidden="1" x14ac:dyDescent="0.25">
      <c r="A394" s="43" t="s">
        <v>265</v>
      </c>
      <c r="B394" s="6"/>
      <c r="C394" s="74" t="s">
        <v>33</v>
      </c>
      <c r="D394" s="6" t="s">
        <v>2</v>
      </c>
      <c r="E394" s="7" t="s">
        <v>74</v>
      </c>
      <c r="F394" s="47"/>
      <c r="I394" s="8">
        <v>45997</v>
      </c>
      <c r="L394" s="45"/>
      <c r="M394" s="6"/>
    </row>
    <row r="395" spans="1:13" hidden="1" x14ac:dyDescent="0.25">
      <c r="A395" s="43" t="s">
        <v>266</v>
      </c>
      <c r="B395" s="6"/>
      <c r="C395" s="74" t="s">
        <v>33</v>
      </c>
      <c r="D395" s="6" t="s">
        <v>2</v>
      </c>
      <c r="E395" s="7" t="s">
        <v>74</v>
      </c>
      <c r="F395" s="47"/>
      <c r="I395" s="8">
        <v>45997</v>
      </c>
      <c r="L395" s="45"/>
      <c r="M395" s="6"/>
    </row>
    <row r="396" spans="1:13" hidden="1" x14ac:dyDescent="0.25">
      <c r="A396" s="43" t="s">
        <v>267</v>
      </c>
      <c r="B396" s="6"/>
      <c r="C396" s="74" t="s">
        <v>33</v>
      </c>
      <c r="D396" s="6" t="s">
        <v>2</v>
      </c>
      <c r="E396" s="7" t="s">
        <v>74</v>
      </c>
      <c r="F396" s="47"/>
      <c r="I396" s="8">
        <v>45997</v>
      </c>
      <c r="L396" s="45"/>
      <c r="M396" s="6"/>
    </row>
    <row r="397" spans="1:13" hidden="1" x14ac:dyDescent="0.25">
      <c r="A397" s="43" t="s">
        <v>268</v>
      </c>
      <c r="B397" s="6"/>
      <c r="C397" s="74" t="s">
        <v>33</v>
      </c>
      <c r="D397" s="6" t="s">
        <v>2</v>
      </c>
      <c r="E397" s="7" t="s">
        <v>74</v>
      </c>
      <c r="F397" s="47"/>
      <c r="I397" s="8">
        <v>45997</v>
      </c>
      <c r="L397" s="45"/>
      <c r="M397" s="6"/>
    </row>
    <row r="398" spans="1:13" hidden="1" x14ac:dyDescent="0.25">
      <c r="A398" s="43" t="s">
        <v>269</v>
      </c>
      <c r="B398" s="6"/>
      <c r="C398" s="74" t="s">
        <v>33</v>
      </c>
      <c r="D398" s="6" t="s">
        <v>2</v>
      </c>
      <c r="E398" s="7" t="s">
        <v>74</v>
      </c>
      <c r="F398" s="47"/>
      <c r="I398" s="8">
        <v>45997</v>
      </c>
      <c r="L398" s="45">
        <v>45997</v>
      </c>
      <c r="M398" s="6"/>
    </row>
    <row r="399" spans="1:13" hidden="1" x14ac:dyDescent="0.25">
      <c r="A399" s="43" t="s">
        <v>270</v>
      </c>
      <c r="B399" s="6"/>
      <c r="C399" s="74" t="s">
        <v>33</v>
      </c>
      <c r="D399" s="6" t="s">
        <v>2</v>
      </c>
      <c r="E399" s="7" t="s">
        <v>74</v>
      </c>
      <c r="F399" s="47"/>
      <c r="I399" s="8">
        <v>45997</v>
      </c>
      <c r="L399" s="45">
        <v>45997</v>
      </c>
      <c r="M399" s="6"/>
    </row>
    <row r="400" spans="1:13" hidden="1" x14ac:dyDescent="0.25">
      <c r="A400" s="43" t="s">
        <v>271</v>
      </c>
      <c r="B400" s="6"/>
      <c r="C400" s="72" t="s">
        <v>44</v>
      </c>
      <c r="D400" s="59" t="s">
        <v>2</v>
      </c>
      <c r="E400" s="7" t="s">
        <v>74</v>
      </c>
      <c r="F400" s="47"/>
      <c r="I400" s="8">
        <v>45997</v>
      </c>
      <c r="L400" s="45">
        <v>45997</v>
      </c>
      <c r="M400" s="6"/>
    </row>
    <row r="401" spans="1:13" hidden="1" x14ac:dyDescent="0.25">
      <c r="A401" s="43" t="s">
        <v>272</v>
      </c>
      <c r="B401" s="6"/>
      <c r="C401" s="72" t="s">
        <v>44</v>
      </c>
      <c r="D401" s="59" t="s">
        <v>2</v>
      </c>
      <c r="E401" s="7" t="s">
        <v>74</v>
      </c>
      <c r="F401" s="47"/>
      <c r="I401" s="8">
        <v>45997</v>
      </c>
      <c r="L401" s="45">
        <v>45997</v>
      </c>
      <c r="M401" s="6"/>
    </row>
    <row r="402" spans="1:13" hidden="1" x14ac:dyDescent="0.25">
      <c r="A402" s="43" t="s">
        <v>273</v>
      </c>
      <c r="B402" s="6"/>
      <c r="C402" s="72" t="s">
        <v>44</v>
      </c>
      <c r="D402" s="6" t="s">
        <v>2</v>
      </c>
      <c r="E402" s="7" t="s">
        <v>74</v>
      </c>
      <c r="F402" s="47"/>
      <c r="I402" s="8">
        <v>45997</v>
      </c>
      <c r="L402" s="45">
        <v>45997</v>
      </c>
      <c r="M402" s="6"/>
    </row>
    <row r="403" spans="1:13" hidden="1" x14ac:dyDescent="0.25">
      <c r="A403" s="43" t="s">
        <v>274</v>
      </c>
      <c r="B403" s="6"/>
      <c r="C403" s="74" t="s">
        <v>33</v>
      </c>
      <c r="D403" s="6" t="s">
        <v>2</v>
      </c>
      <c r="E403" s="7" t="s">
        <v>74</v>
      </c>
      <c r="F403" s="47"/>
      <c r="I403" s="8">
        <v>45997</v>
      </c>
      <c r="L403" s="45">
        <v>45997</v>
      </c>
      <c r="M403" s="6"/>
    </row>
    <row r="404" spans="1:13" hidden="1" x14ac:dyDescent="0.25">
      <c r="A404" s="43" t="s">
        <v>275</v>
      </c>
      <c r="B404" s="6"/>
      <c r="C404" s="74" t="s">
        <v>33</v>
      </c>
      <c r="D404" s="6" t="s">
        <v>2</v>
      </c>
      <c r="E404" s="7" t="s">
        <v>74</v>
      </c>
      <c r="F404" s="47"/>
      <c r="I404" s="8">
        <v>45997</v>
      </c>
      <c r="L404" s="45">
        <v>45997</v>
      </c>
      <c r="M404" s="6"/>
    </row>
    <row r="405" spans="1:13" hidden="1" x14ac:dyDescent="0.25">
      <c r="A405" s="43" t="s">
        <v>276</v>
      </c>
      <c r="B405" s="6"/>
      <c r="C405" s="74" t="s">
        <v>33</v>
      </c>
      <c r="D405" s="6" t="s">
        <v>2</v>
      </c>
      <c r="E405" s="7" t="s">
        <v>74</v>
      </c>
      <c r="F405" s="47"/>
      <c r="I405" s="8">
        <v>45997</v>
      </c>
      <c r="L405" s="45">
        <v>45997</v>
      </c>
      <c r="M405" s="6"/>
    </row>
    <row r="406" spans="1:13" hidden="1" x14ac:dyDescent="0.25">
      <c r="A406" s="43" t="s">
        <v>277</v>
      </c>
      <c r="B406" s="6"/>
      <c r="C406" s="74" t="s">
        <v>33</v>
      </c>
      <c r="D406" s="6" t="s">
        <v>2</v>
      </c>
      <c r="E406" s="7" t="s">
        <v>74</v>
      </c>
      <c r="F406" s="47"/>
      <c r="I406" s="8">
        <v>45997</v>
      </c>
      <c r="L406" s="45">
        <v>45997</v>
      </c>
      <c r="M406" s="6"/>
    </row>
    <row r="407" spans="1:13" hidden="1" x14ac:dyDescent="0.25">
      <c r="A407" s="43" t="s">
        <v>278</v>
      </c>
      <c r="B407" s="6"/>
      <c r="C407" s="74" t="s">
        <v>33</v>
      </c>
      <c r="D407" s="6" t="s">
        <v>2</v>
      </c>
      <c r="E407" s="7" t="s">
        <v>74</v>
      </c>
      <c r="F407" s="47"/>
      <c r="I407" s="8">
        <v>45997</v>
      </c>
      <c r="L407" s="45">
        <v>45997</v>
      </c>
      <c r="M407" s="6"/>
    </row>
    <row r="408" spans="1:13" hidden="1" x14ac:dyDescent="0.25">
      <c r="A408" s="43" t="s">
        <v>279</v>
      </c>
      <c r="B408" s="6"/>
      <c r="C408" s="74" t="s">
        <v>33</v>
      </c>
      <c r="D408" s="6" t="s">
        <v>2</v>
      </c>
      <c r="E408" s="7" t="s">
        <v>74</v>
      </c>
      <c r="F408" s="47"/>
      <c r="I408" s="8">
        <v>45997</v>
      </c>
      <c r="L408" s="45"/>
      <c r="M408" s="6"/>
    </row>
    <row r="409" spans="1:13" hidden="1" x14ac:dyDescent="0.25">
      <c r="A409" s="43" t="s">
        <v>280</v>
      </c>
      <c r="B409" s="6"/>
      <c r="C409" s="74" t="s">
        <v>33</v>
      </c>
      <c r="D409" s="6" t="s">
        <v>2</v>
      </c>
      <c r="E409" s="7" t="s">
        <v>74</v>
      </c>
      <c r="F409" s="47"/>
      <c r="I409" s="8">
        <v>45997</v>
      </c>
      <c r="L409" s="45">
        <v>45997</v>
      </c>
      <c r="M409" s="6"/>
    </row>
    <row r="410" spans="1:13" hidden="1" x14ac:dyDescent="0.25">
      <c r="A410" s="43" t="s">
        <v>281</v>
      </c>
      <c r="B410" s="6"/>
      <c r="C410" s="74" t="s">
        <v>33</v>
      </c>
      <c r="D410" s="6" t="s">
        <v>2</v>
      </c>
      <c r="E410" s="7" t="s">
        <v>74</v>
      </c>
      <c r="F410" s="47"/>
      <c r="I410" s="8">
        <v>45997</v>
      </c>
      <c r="L410" s="45">
        <v>45997</v>
      </c>
      <c r="M410" s="6"/>
    </row>
    <row r="411" spans="1:13" hidden="1" x14ac:dyDescent="0.25">
      <c r="A411" s="43" t="s">
        <v>282</v>
      </c>
      <c r="B411" s="6"/>
      <c r="C411" s="74" t="s">
        <v>33</v>
      </c>
      <c r="D411" s="6" t="s">
        <v>2</v>
      </c>
      <c r="E411" s="7" t="s">
        <v>74</v>
      </c>
      <c r="F411" s="47"/>
      <c r="I411" s="8">
        <v>45997</v>
      </c>
      <c r="L411" s="45"/>
      <c r="M411" s="6"/>
    </row>
    <row r="412" spans="1:13" hidden="1" x14ac:dyDescent="0.25">
      <c r="A412" s="43" t="s">
        <v>283</v>
      </c>
      <c r="B412" s="6"/>
      <c r="C412" s="74" t="s">
        <v>33</v>
      </c>
      <c r="D412" s="6" t="s">
        <v>2</v>
      </c>
      <c r="E412" s="7" t="s">
        <v>74</v>
      </c>
      <c r="F412" s="47"/>
      <c r="I412" s="8">
        <v>45997</v>
      </c>
      <c r="L412" s="45">
        <v>45997</v>
      </c>
      <c r="M412" s="6"/>
    </row>
    <row r="413" spans="1:13" hidden="1" x14ac:dyDescent="0.25">
      <c r="A413" s="43" t="s">
        <v>284</v>
      </c>
      <c r="B413" s="6"/>
      <c r="C413" s="74" t="s">
        <v>33</v>
      </c>
      <c r="D413" s="6" t="s">
        <v>2</v>
      </c>
      <c r="E413" s="7" t="s">
        <v>74</v>
      </c>
      <c r="F413" s="47"/>
      <c r="I413" s="8">
        <v>45997</v>
      </c>
      <c r="L413" s="45">
        <v>45997</v>
      </c>
      <c r="M413" s="6"/>
    </row>
    <row r="414" spans="1:13" hidden="1" x14ac:dyDescent="0.25">
      <c r="A414" s="43" t="s">
        <v>285</v>
      </c>
      <c r="B414" s="6"/>
      <c r="C414" s="72" t="s">
        <v>44</v>
      </c>
      <c r="D414" s="6" t="s">
        <v>2</v>
      </c>
      <c r="E414" s="7" t="s">
        <v>74</v>
      </c>
      <c r="F414" s="47"/>
      <c r="I414" s="8">
        <v>45997</v>
      </c>
      <c r="L414" s="45">
        <v>45997</v>
      </c>
      <c r="M414" s="6"/>
    </row>
    <row r="415" spans="1:13" hidden="1" x14ac:dyDescent="0.25">
      <c r="A415" s="43" t="s">
        <v>286</v>
      </c>
      <c r="B415" s="6"/>
      <c r="C415" s="74" t="s">
        <v>33</v>
      </c>
      <c r="D415" s="6" t="s">
        <v>2</v>
      </c>
      <c r="E415" s="7" t="s">
        <v>74</v>
      </c>
      <c r="F415" s="47"/>
      <c r="I415" s="8">
        <v>45997</v>
      </c>
      <c r="L415" s="45">
        <v>45997</v>
      </c>
      <c r="M415" s="6"/>
    </row>
    <row r="416" spans="1:13" hidden="1" x14ac:dyDescent="0.25">
      <c r="A416" s="43" t="s">
        <v>287</v>
      </c>
      <c r="B416" s="6"/>
      <c r="C416" s="74" t="s">
        <v>33</v>
      </c>
      <c r="D416" s="6" t="s">
        <v>2</v>
      </c>
      <c r="E416" s="7" t="s">
        <v>74</v>
      </c>
      <c r="F416" s="47"/>
      <c r="I416" s="8">
        <v>45997</v>
      </c>
      <c r="L416" s="45">
        <v>45997</v>
      </c>
      <c r="M416" s="6"/>
    </row>
    <row r="417" spans="1:13" hidden="1" x14ac:dyDescent="0.25">
      <c r="A417" s="43" t="s">
        <v>288</v>
      </c>
      <c r="B417" s="6"/>
      <c r="C417" s="74" t="s">
        <v>33</v>
      </c>
      <c r="D417" s="6" t="s">
        <v>2</v>
      </c>
      <c r="E417" s="7" t="s">
        <v>74</v>
      </c>
      <c r="F417" s="47"/>
      <c r="I417" s="8">
        <v>45997</v>
      </c>
      <c r="L417" s="45">
        <v>45997</v>
      </c>
      <c r="M417" s="6"/>
    </row>
    <row r="418" spans="1:13" hidden="1" x14ac:dyDescent="0.25">
      <c r="A418" s="43" t="s">
        <v>289</v>
      </c>
      <c r="B418" s="6" t="s">
        <v>290</v>
      </c>
      <c r="C418" s="73" t="s">
        <v>31</v>
      </c>
      <c r="D418" s="6" t="s">
        <v>2</v>
      </c>
      <c r="E418" s="7" t="s">
        <v>74</v>
      </c>
      <c r="F418" s="47"/>
      <c r="I418" s="8">
        <v>45997</v>
      </c>
      <c r="L418" s="45" t="s">
        <v>291</v>
      </c>
      <c r="M418" s="6"/>
    </row>
    <row r="419" spans="1:13" hidden="1" x14ac:dyDescent="0.25">
      <c r="A419" s="43" t="s">
        <v>292</v>
      </c>
      <c r="B419" s="6" t="s">
        <v>293</v>
      </c>
      <c r="C419" s="73" t="s">
        <v>31</v>
      </c>
      <c r="D419" s="6" t="s">
        <v>2</v>
      </c>
      <c r="E419" s="7" t="s">
        <v>74</v>
      </c>
      <c r="F419" s="47"/>
      <c r="I419" s="8">
        <v>45997</v>
      </c>
      <c r="L419" s="45"/>
      <c r="M419" s="6"/>
    </row>
    <row r="420" spans="1:13" hidden="1" x14ac:dyDescent="0.25">
      <c r="A420" s="43" t="s">
        <v>294</v>
      </c>
      <c r="B420" s="6" t="s">
        <v>295</v>
      </c>
      <c r="C420" s="73" t="s">
        <v>31</v>
      </c>
      <c r="D420" s="6" t="s">
        <v>2</v>
      </c>
      <c r="E420" s="7" t="s">
        <v>74</v>
      </c>
      <c r="F420" s="47"/>
      <c r="I420" s="8">
        <v>45997</v>
      </c>
      <c r="L420" s="45"/>
      <c r="M420" s="6"/>
    </row>
    <row r="421" spans="1:13" hidden="1" x14ac:dyDescent="0.25">
      <c r="A421" s="43" t="s">
        <v>296</v>
      </c>
      <c r="B421" s="6" t="s">
        <v>297</v>
      </c>
      <c r="C421" s="73" t="s">
        <v>31</v>
      </c>
      <c r="D421" s="6" t="s">
        <v>2</v>
      </c>
      <c r="E421" s="7" t="s">
        <v>74</v>
      </c>
      <c r="F421" s="47"/>
      <c r="I421" s="8">
        <v>45997</v>
      </c>
      <c r="L421" s="45"/>
      <c r="M421" s="6"/>
    </row>
    <row r="422" spans="1:13" hidden="1" x14ac:dyDescent="0.25">
      <c r="A422" s="43" t="s">
        <v>298</v>
      </c>
      <c r="B422" s="6" t="s">
        <v>299</v>
      </c>
      <c r="C422" s="73" t="s">
        <v>31</v>
      </c>
      <c r="D422" s="6" t="s">
        <v>2</v>
      </c>
      <c r="E422" s="7" t="s">
        <v>74</v>
      </c>
      <c r="F422" s="47"/>
      <c r="I422" s="8">
        <v>45997</v>
      </c>
      <c r="L422" s="45"/>
      <c r="M422" s="6"/>
    </row>
    <row r="423" spans="1:13" hidden="1" x14ac:dyDescent="0.25">
      <c r="A423" s="43" t="s">
        <v>300</v>
      </c>
      <c r="B423" s="6" t="s">
        <v>301</v>
      </c>
      <c r="C423" s="73" t="s">
        <v>31</v>
      </c>
      <c r="D423" s="6" t="s">
        <v>2</v>
      </c>
      <c r="E423" s="7" t="s">
        <v>74</v>
      </c>
      <c r="F423" s="47"/>
      <c r="I423" s="8">
        <v>45997</v>
      </c>
      <c r="L423" s="45"/>
      <c r="M423" s="6"/>
    </row>
    <row r="424" spans="1:13" hidden="1" x14ac:dyDescent="0.25">
      <c r="A424" s="43" t="s">
        <v>302</v>
      </c>
      <c r="B424" s="6" t="s">
        <v>303</v>
      </c>
      <c r="C424" s="73" t="s">
        <v>31</v>
      </c>
      <c r="D424" s="6" t="s">
        <v>2</v>
      </c>
      <c r="E424" s="7" t="s">
        <v>74</v>
      </c>
      <c r="F424" s="47"/>
      <c r="I424" s="8">
        <v>45997</v>
      </c>
      <c r="L424" s="45"/>
      <c r="M424" s="6"/>
    </row>
    <row r="425" spans="1:13" hidden="1" x14ac:dyDescent="0.25">
      <c r="A425" s="43" t="s">
        <v>304</v>
      </c>
      <c r="B425" s="6" t="s">
        <v>305</v>
      </c>
      <c r="C425" s="73" t="s">
        <v>31</v>
      </c>
      <c r="D425" s="6" t="s">
        <v>2</v>
      </c>
      <c r="E425" s="7" t="s">
        <v>74</v>
      </c>
      <c r="F425" s="47"/>
      <c r="I425" s="8">
        <v>45997</v>
      </c>
      <c r="L425" s="45"/>
      <c r="M425" s="6"/>
    </row>
    <row r="426" spans="1:13" hidden="1" x14ac:dyDescent="0.25">
      <c r="A426" s="43" t="s">
        <v>306</v>
      </c>
      <c r="B426" s="6" t="s">
        <v>307</v>
      </c>
      <c r="C426" s="73" t="s">
        <v>31</v>
      </c>
      <c r="D426" s="6" t="s">
        <v>2</v>
      </c>
      <c r="E426" s="7" t="s">
        <v>74</v>
      </c>
      <c r="F426" s="47"/>
      <c r="I426" s="8">
        <v>45997</v>
      </c>
      <c r="L426" s="45"/>
      <c r="M426" s="6"/>
    </row>
    <row r="427" spans="1:13" hidden="1" x14ac:dyDescent="0.25">
      <c r="A427" s="43" t="s">
        <v>308</v>
      </c>
      <c r="B427" s="6" t="s">
        <v>309</v>
      </c>
      <c r="C427" s="73" t="s">
        <v>31</v>
      </c>
      <c r="D427" s="6" t="s">
        <v>2</v>
      </c>
      <c r="E427" s="7" t="s">
        <v>74</v>
      </c>
      <c r="F427" s="47"/>
      <c r="I427" s="8">
        <v>45997</v>
      </c>
      <c r="L427" s="45"/>
      <c r="M427" s="6"/>
    </row>
    <row r="428" spans="1:13" hidden="1" x14ac:dyDescent="0.25">
      <c r="A428" s="43" t="s">
        <v>310</v>
      </c>
      <c r="B428" s="6" t="s">
        <v>311</v>
      </c>
      <c r="C428" s="73" t="s">
        <v>31</v>
      </c>
      <c r="D428" s="6" t="s">
        <v>2</v>
      </c>
      <c r="E428" s="7" t="s">
        <v>74</v>
      </c>
      <c r="F428" s="47"/>
      <c r="I428" s="8">
        <v>45997</v>
      </c>
      <c r="L428" s="45"/>
      <c r="M428" s="6"/>
    </row>
    <row r="429" spans="1:13" hidden="1" x14ac:dyDescent="0.25">
      <c r="A429" s="43" t="s">
        <v>312</v>
      </c>
      <c r="B429" s="6" t="s">
        <v>313</v>
      </c>
      <c r="C429" s="73" t="s">
        <v>31</v>
      </c>
      <c r="D429" s="6" t="s">
        <v>2</v>
      </c>
      <c r="E429" s="7" t="s">
        <v>74</v>
      </c>
      <c r="F429" s="47"/>
      <c r="I429" s="8">
        <v>45997</v>
      </c>
      <c r="L429" s="45"/>
      <c r="M429" s="6"/>
    </row>
    <row r="430" spans="1:13" hidden="1" x14ac:dyDescent="0.25">
      <c r="A430" s="43" t="s">
        <v>314</v>
      </c>
      <c r="B430" s="6" t="s">
        <v>315</v>
      </c>
      <c r="C430" s="73" t="s">
        <v>31</v>
      </c>
      <c r="D430" s="6" t="s">
        <v>2</v>
      </c>
      <c r="E430" s="7" t="s">
        <v>74</v>
      </c>
      <c r="F430" s="47"/>
      <c r="I430" s="8">
        <v>45997</v>
      </c>
      <c r="L430" s="45"/>
      <c r="M430" s="6"/>
    </row>
    <row r="431" spans="1:13" hidden="1" x14ac:dyDescent="0.25">
      <c r="A431" s="43" t="s">
        <v>316</v>
      </c>
      <c r="B431" s="6" t="s">
        <v>317</v>
      </c>
      <c r="C431" s="73" t="s">
        <v>31</v>
      </c>
      <c r="D431" s="6" t="s">
        <v>2</v>
      </c>
      <c r="E431" s="7" t="s">
        <v>74</v>
      </c>
      <c r="F431" s="47"/>
      <c r="I431" s="8">
        <v>45997</v>
      </c>
      <c r="L431" s="45"/>
      <c r="M431" s="6"/>
    </row>
    <row r="432" spans="1:13" hidden="1" x14ac:dyDescent="0.25">
      <c r="A432" s="43" t="s">
        <v>318</v>
      </c>
      <c r="B432" s="6"/>
      <c r="C432" s="73" t="s">
        <v>30</v>
      </c>
      <c r="D432" s="6" t="s">
        <v>2</v>
      </c>
      <c r="E432" s="7" t="s">
        <v>76</v>
      </c>
      <c r="F432" s="47" t="s">
        <v>25</v>
      </c>
      <c r="I432" s="61">
        <v>45997</v>
      </c>
      <c r="K432" t="s">
        <v>319</v>
      </c>
      <c r="L432" s="45"/>
      <c r="M432" s="6"/>
    </row>
    <row r="433" spans="1:13" hidden="1" x14ac:dyDescent="0.25">
      <c r="A433" s="43" t="s">
        <v>320</v>
      </c>
      <c r="C433" s="73" t="s">
        <v>47</v>
      </c>
      <c r="D433" s="6" t="s">
        <v>2</v>
      </c>
      <c r="E433" s="7" t="s">
        <v>74</v>
      </c>
      <c r="F433" s="7"/>
      <c r="G433" s="6"/>
      <c r="H433" s="6"/>
      <c r="I433" s="61">
        <v>46007</v>
      </c>
      <c r="J433" s="6"/>
      <c r="L433" s="45"/>
      <c r="M433" s="6"/>
    </row>
    <row r="434" spans="1:13" hidden="1" x14ac:dyDescent="0.25">
      <c r="A434" s="43" t="s">
        <v>321</v>
      </c>
      <c r="B434" s="52"/>
      <c r="C434" s="74" t="s">
        <v>47</v>
      </c>
      <c r="D434" s="6" t="s">
        <v>2</v>
      </c>
      <c r="E434" s="7" t="s">
        <v>74</v>
      </c>
      <c r="F434" s="47"/>
      <c r="I434" s="8">
        <v>45997</v>
      </c>
      <c r="L434" s="45"/>
      <c r="M434" s="6"/>
    </row>
    <row r="435" spans="1:13" hidden="1" x14ac:dyDescent="0.25">
      <c r="A435" s="43" t="s">
        <v>322</v>
      </c>
      <c r="C435" s="73" t="s">
        <v>47</v>
      </c>
      <c r="D435" s="6" t="s">
        <v>2</v>
      </c>
      <c r="E435" s="7" t="s">
        <v>76</v>
      </c>
      <c r="F435" s="7"/>
      <c r="G435" s="6"/>
      <c r="H435" s="6"/>
      <c r="I435" s="8">
        <v>45997</v>
      </c>
      <c r="J435" s="6"/>
      <c r="K435" s="6"/>
      <c r="L435" s="45"/>
      <c r="M435" s="6"/>
    </row>
    <row r="436" spans="1:13" hidden="1" x14ac:dyDescent="0.25">
      <c r="A436" s="43" t="s">
        <v>323</v>
      </c>
      <c r="B436" s="53"/>
      <c r="C436" s="73" t="s">
        <v>48</v>
      </c>
      <c r="D436" s="6" t="s">
        <v>2</v>
      </c>
      <c r="E436" s="7" t="s">
        <v>74</v>
      </c>
      <c r="F436" s="7"/>
      <c r="G436" s="6"/>
      <c r="H436" s="6"/>
      <c r="I436" s="8">
        <v>45997</v>
      </c>
      <c r="J436" s="6"/>
      <c r="K436" s="6"/>
      <c r="L436" s="45"/>
      <c r="M436" s="6"/>
    </row>
    <row r="437" spans="1:13" hidden="1" x14ac:dyDescent="0.25">
      <c r="A437" s="43" t="s">
        <v>324</v>
      </c>
      <c r="B437" s="53"/>
      <c r="C437" s="73" t="s">
        <v>48</v>
      </c>
      <c r="D437" s="6" t="s">
        <v>2</v>
      </c>
      <c r="E437" s="7" t="s">
        <v>74</v>
      </c>
      <c r="F437" s="7"/>
      <c r="G437" s="6"/>
      <c r="H437" s="6"/>
      <c r="I437" s="8">
        <v>45997</v>
      </c>
      <c r="J437" s="6"/>
      <c r="K437" s="6"/>
      <c r="L437" s="45"/>
      <c r="M437" s="6"/>
    </row>
    <row r="438" spans="1:13" hidden="1" x14ac:dyDescent="0.25">
      <c r="A438" s="43" t="s">
        <v>325</v>
      </c>
      <c r="B438" s="53"/>
      <c r="C438" s="73" t="s">
        <v>48</v>
      </c>
      <c r="D438" s="6" t="s">
        <v>2</v>
      </c>
      <c r="E438" s="7" t="s">
        <v>74</v>
      </c>
      <c r="F438" s="7"/>
      <c r="G438" s="6"/>
      <c r="H438" s="6"/>
      <c r="I438" s="8">
        <v>45997</v>
      </c>
      <c r="J438" s="6"/>
      <c r="K438" s="6"/>
      <c r="L438" s="45"/>
      <c r="M438" s="6"/>
    </row>
    <row r="439" spans="1:13" hidden="1" x14ac:dyDescent="0.25">
      <c r="A439" s="43" t="s">
        <v>326</v>
      </c>
      <c r="B439" s="53"/>
      <c r="C439" s="73" t="s">
        <v>48</v>
      </c>
      <c r="D439" s="6" t="s">
        <v>2</v>
      </c>
      <c r="E439" s="7" t="s">
        <v>74</v>
      </c>
      <c r="F439" s="7"/>
      <c r="G439" s="6"/>
      <c r="H439" s="6"/>
      <c r="I439" s="8">
        <v>45997</v>
      </c>
      <c r="J439" s="6"/>
      <c r="K439" s="6"/>
      <c r="L439" s="45"/>
      <c r="M439" s="6"/>
    </row>
    <row r="440" spans="1:13" hidden="1" x14ac:dyDescent="0.25">
      <c r="A440" s="43" t="s">
        <v>327</v>
      </c>
      <c r="B440" s="53"/>
      <c r="C440" s="73" t="s">
        <v>48</v>
      </c>
      <c r="D440" s="6" t="s">
        <v>2</v>
      </c>
      <c r="E440" s="7" t="s">
        <v>74</v>
      </c>
      <c r="F440" s="7"/>
      <c r="G440" s="6"/>
      <c r="H440" s="6"/>
      <c r="I440" s="8">
        <v>45997</v>
      </c>
      <c r="J440" s="6"/>
      <c r="K440" s="6"/>
      <c r="L440" s="45"/>
      <c r="M440" s="6"/>
    </row>
    <row r="441" spans="1:13" hidden="1" x14ac:dyDescent="0.25">
      <c r="A441" s="43" t="s">
        <v>328</v>
      </c>
      <c r="B441" s="53"/>
      <c r="C441" s="73" t="s">
        <v>48</v>
      </c>
      <c r="D441" s="6" t="s">
        <v>2</v>
      </c>
      <c r="E441" s="7" t="s">
        <v>74</v>
      </c>
      <c r="F441" s="7"/>
      <c r="G441" s="6"/>
      <c r="H441" s="6"/>
      <c r="I441" s="8">
        <v>45997</v>
      </c>
      <c r="J441" s="6"/>
      <c r="K441" s="6"/>
      <c r="L441" s="45"/>
      <c r="M441" s="6"/>
    </row>
    <row r="442" spans="1:13" hidden="1" x14ac:dyDescent="0.25">
      <c r="A442" s="43" t="s">
        <v>329</v>
      </c>
      <c r="B442" s="53"/>
      <c r="C442" s="73" t="s">
        <v>48</v>
      </c>
      <c r="D442" s="6" t="s">
        <v>2</v>
      </c>
      <c r="E442" s="7" t="s">
        <v>74</v>
      </c>
      <c r="F442" s="7"/>
      <c r="G442" s="6"/>
      <c r="H442" s="6"/>
      <c r="I442" s="8">
        <v>45997</v>
      </c>
      <c r="J442" s="6"/>
      <c r="K442" s="6"/>
      <c r="L442" s="45"/>
      <c r="M442" s="6"/>
    </row>
    <row r="443" spans="1:13" hidden="1" x14ac:dyDescent="0.25">
      <c r="A443" s="43" t="s">
        <v>330</v>
      </c>
      <c r="B443" s="53"/>
      <c r="C443" s="73" t="s">
        <v>48</v>
      </c>
      <c r="D443" s="6" t="s">
        <v>2</v>
      </c>
      <c r="E443" s="7" t="s">
        <v>74</v>
      </c>
      <c r="F443" s="7"/>
      <c r="G443" s="6"/>
      <c r="H443" s="6"/>
      <c r="I443" s="8">
        <v>45997</v>
      </c>
      <c r="J443" s="6"/>
      <c r="K443" s="6"/>
      <c r="L443" s="45"/>
      <c r="M443" s="6"/>
    </row>
    <row r="444" spans="1:13" hidden="1" x14ac:dyDescent="0.25">
      <c r="A444" s="43" t="s">
        <v>331</v>
      </c>
      <c r="B444" s="53"/>
      <c r="C444" s="73" t="s">
        <v>48</v>
      </c>
      <c r="D444" s="6" t="s">
        <v>2</v>
      </c>
      <c r="E444" s="7" t="s">
        <v>74</v>
      </c>
      <c r="F444" s="7"/>
      <c r="G444" s="6"/>
      <c r="H444" s="6"/>
      <c r="I444" s="8">
        <v>45997</v>
      </c>
      <c r="J444" s="6"/>
      <c r="K444" s="6"/>
      <c r="L444" s="45"/>
      <c r="M444" s="6"/>
    </row>
    <row r="445" spans="1:13" hidden="1" x14ac:dyDescent="0.25">
      <c r="A445" s="43" t="s">
        <v>332</v>
      </c>
      <c r="B445" s="53"/>
      <c r="C445" s="73" t="s">
        <v>48</v>
      </c>
      <c r="D445" s="6" t="s">
        <v>2</v>
      </c>
      <c r="E445" s="7" t="s">
        <v>74</v>
      </c>
      <c r="F445" s="7"/>
      <c r="G445" s="6"/>
      <c r="H445" s="6"/>
      <c r="I445" s="8">
        <v>45997</v>
      </c>
      <c r="J445" s="6"/>
      <c r="K445" s="6"/>
      <c r="L445" s="45"/>
      <c r="M445" s="6"/>
    </row>
    <row r="446" spans="1:13" hidden="1" x14ac:dyDescent="0.25">
      <c r="A446" s="43" t="s">
        <v>333</v>
      </c>
      <c r="B446" s="53"/>
      <c r="C446" s="73" t="s">
        <v>48</v>
      </c>
      <c r="D446" s="6" t="s">
        <v>2</v>
      </c>
      <c r="E446" s="7" t="s">
        <v>74</v>
      </c>
      <c r="F446" s="7"/>
      <c r="G446" s="6"/>
      <c r="H446" s="6"/>
      <c r="I446" s="8">
        <v>45997</v>
      </c>
      <c r="J446" s="6"/>
      <c r="K446" s="6"/>
      <c r="L446" s="45"/>
      <c r="M446" s="6"/>
    </row>
    <row r="447" spans="1:13" hidden="1" x14ac:dyDescent="0.25">
      <c r="A447" s="43" t="s">
        <v>334</v>
      </c>
      <c r="B447" s="53"/>
      <c r="C447" s="73" t="s">
        <v>48</v>
      </c>
      <c r="D447" s="6" t="s">
        <v>2</v>
      </c>
      <c r="E447" s="7" t="s">
        <v>74</v>
      </c>
      <c r="F447" s="7"/>
      <c r="G447" s="6"/>
      <c r="H447" s="6"/>
      <c r="I447" s="8">
        <v>45997</v>
      </c>
      <c r="J447" s="6"/>
      <c r="K447" s="6"/>
      <c r="L447" s="45"/>
      <c r="M447" s="6"/>
    </row>
    <row r="448" spans="1:13" hidden="1" x14ac:dyDescent="0.25">
      <c r="A448" s="43" t="s">
        <v>335</v>
      </c>
      <c r="B448" s="53"/>
      <c r="C448" s="73" t="s">
        <v>48</v>
      </c>
      <c r="D448" s="6" t="s">
        <v>2</v>
      </c>
      <c r="E448" s="7" t="s">
        <v>74</v>
      </c>
      <c r="F448" s="7"/>
      <c r="G448" s="6"/>
      <c r="H448" s="6"/>
      <c r="I448" s="8">
        <v>45997</v>
      </c>
      <c r="J448" s="6"/>
      <c r="K448" s="6"/>
      <c r="L448" s="45"/>
      <c r="M448" s="6"/>
    </row>
    <row r="449" spans="1:13" hidden="1" x14ac:dyDescent="0.25">
      <c r="A449" s="43" t="s">
        <v>336</v>
      </c>
      <c r="B449" s="53"/>
      <c r="C449" s="73" t="s">
        <v>48</v>
      </c>
      <c r="D449" s="6" t="s">
        <v>2</v>
      </c>
      <c r="E449" s="7" t="s">
        <v>74</v>
      </c>
      <c r="F449" s="7"/>
      <c r="G449" s="6"/>
      <c r="H449" s="6"/>
      <c r="I449" s="8">
        <v>45997</v>
      </c>
      <c r="J449" s="6"/>
      <c r="K449" s="6"/>
      <c r="L449" s="45"/>
      <c r="M449" s="6"/>
    </row>
    <row r="450" spans="1:13" hidden="1" x14ac:dyDescent="0.25">
      <c r="A450" s="43" t="s">
        <v>337</v>
      </c>
      <c r="C450" s="73" t="s">
        <v>48</v>
      </c>
      <c r="D450" s="6" t="s">
        <v>2</v>
      </c>
      <c r="E450" s="7" t="s">
        <v>74</v>
      </c>
      <c r="F450" s="7"/>
      <c r="G450" s="6"/>
      <c r="H450" s="6"/>
      <c r="I450" s="8">
        <v>45997</v>
      </c>
      <c r="J450" s="6"/>
      <c r="K450" s="6"/>
      <c r="L450" s="45"/>
      <c r="M450" s="6"/>
    </row>
    <row r="451" spans="1:13" hidden="1" x14ac:dyDescent="0.25">
      <c r="A451" s="43" t="s">
        <v>338</v>
      </c>
      <c r="C451" s="73" t="s">
        <v>48</v>
      </c>
      <c r="D451" s="6" t="s">
        <v>2</v>
      </c>
      <c r="E451" s="7" t="s">
        <v>74</v>
      </c>
      <c r="F451" s="7"/>
      <c r="G451" s="6"/>
      <c r="H451" s="6"/>
      <c r="I451" s="8">
        <v>45997</v>
      </c>
      <c r="J451" s="6"/>
      <c r="K451" s="6"/>
      <c r="L451" s="45"/>
      <c r="M451" s="6"/>
    </row>
    <row r="452" spans="1:13" hidden="1" x14ac:dyDescent="0.25">
      <c r="A452" s="43" t="s">
        <v>339</v>
      </c>
      <c r="C452" s="73" t="s">
        <v>48</v>
      </c>
      <c r="D452" s="6" t="s">
        <v>2</v>
      </c>
      <c r="E452" s="7" t="s">
        <v>74</v>
      </c>
      <c r="F452" s="7"/>
      <c r="G452" s="6"/>
      <c r="H452" s="6"/>
      <c r="I452" s="8">
        <v>45997</v>
      </c>
      <c r="J452" s="6"/>
      <c r="K452" s="6"/>
      <c r="L452" s="45"/>
      <c r="M452" s="6"/>
    </row>
    <row r="453" spans="1:13" hidden="1" x14ac:dyDescent="0.25">
      <c r="A453" s="43" t="s">
        <v>340</v>
      </c>
      <c r="B453" s="10"/>
      <c r="C453" s="73" t="s">
        <v>48</v>
      </c>
      <c r="D453" s="6" t="s">
        <v>2</v>
      </c>
      <c r="E453" s="7" t="s">
        <v>74</v>
      </c>
      <c r="F453" s="7"/>
      <c r="G453" s="6"/>
      <c r="H453" s="6"/>
      <c r="I453" s="8">
        <v>45997</v>
      </c>
      <c r="J453" s="6"/>
      <c r="K453" s="6"/>
      <c r="L453" s="45"/>
      <c r="M453" s="6"/>
    </row>
    <row r="454" spans="1:13" hidden="1" x14ac:dyDescent="0.25">
      <c r="A454" s="43" t="s">
        <v>341</v>
      </c>
      <c r="B454" s="10"/>
      <c r="C454" s="73" t="s">
        <v>48</v>
      </c>
      <c r="D454" s="6" t="s">
        <v>2</v>
      </c>
      <c r="E454" s="7" t="s">
        <v>76</v>
      </c>
      <c r="F454" s="7"/>
      <c r="G454" s="6"/>
      <c r="H454" s="6"/>
      <c r="I454" s="8">
        <v>45997</v>
      </c>
      <c r="J454" s="6"/>
      <c r="K454" s="6"/>
      <c r="L454" s="45"/>
      <c r="M454" s="6"/>
    </row>
    <row r="455" spans="1:13" hidden="1" x14ac:dyDescent="0.25">
      <c r="A455" s="43" t="s">
        <v>342</v>
      </c>
      <c r="B455" s="10"/>
      <c r="C455" s="73" t="s">
        <v>48</v>
      </c>
      <c r="D455" s="6" t="s">
        <v>2</v>
      </c>
      <c r="E455" s="7" t="s">
        <v>74</v>
      </c>
      <c r="F455" s="7"/>
      <c r="G455" s="6"/>
      <c r="H455" s="6"/>
      <c r="I455" s="8">
        <v>45997</v>
      </c>
      <c r="J455" s="6"/>
      <c r="K455" s="6"/>
      <c r="L455" s="45"/>
      <c r="M455" s="6"/>
    </row>
    <row r="456" spans="1:13" hidden="1" x14ac:dyDescent="0.25">
      <c r="A456" s="43" t="s">
        <v>343</v>
      </c>
      <c r="B456" s="10"/>
      <c r="C456" s="73" t="s">
        <v>48</v>
      </c>
      <c r="D456" s="6" t="s">
        <v>2</v>
      </c>
      <c r="E456" s="7" t="s">
        <v>74</v>
      </c>
      <c r="F456" s="7"/>
      <c r="G456" s="6"/>
      <c r="H456" s="6"/>
      <c r="I456" s="8">
        <v>45997</v>
      </c>
      <c r="J456" s="6"/>
      <c r="K456" s="6"/>
      <c r="L456" s="45"/>
      <c r="M456" s="6"/>
    </row>
    <row r="457" spans="1:13" hidden="1" x14ac:dyDescent="0.25">
      <c r="A457" s="43" t="s">
        <v>344</v>
      </c>
      <c r="C457" s="73" t="s">
        <v>48</v>
      </c>
      <c r="D457" s="6" t="s">
        <v>2</v>
      </c>
      <c r="E457" s="7" t="s">
        <v>74</v>
      </c>
      <c r="F457" s="7"/>
      <c r="G457" s="6"/>
      <c r="H457" s="6"/>
      <c r="I457" s="8">
        <v>45997</v>
      </c>
      <c r="J457" s="6"/>
      <c r="K457" s="6"/>
      <c r="L457" s="45"/>
      <c r="M457" s="6"/>
    </row>
    <row r="458" spans="1:13" hidden="1" x14ac:dyDescent="0.25">
      <c r="A458" s="43" t="s">
        <v>345</v>
      </c>
      <c r="C458" s="73" t="s">
        <v>48</v>
      </c>
      <c r="D458" s="6" t="s">
        <v>2</v>
      </c>
      <c r="E458" s="7" t="s">
        <v>74</v>
      </c>
      <c r="F458" s="7"/>
      <c r="G458" s="6"/>
      <c r="H458" s="6"/>
      <c r="I458" s="8">
        <v>45997</v>
      </c>
      <c r="J458" s="6"/>
      <c r="K458" s="6"/>
      <c r="L458" s="45"/>
      <c r="M458" s="6"/>
    </row>
    <row r="459" spans="1:13" hidden="1" x14ac:dyDescent="0.25">
      <c r="A459" s="43" t="s">
        <v>346</v>
      </c>
      <c r="B459" s="10"/>
      <c r="C459" s="73" t="s">
        <v>48</v>
      </c>
      <c r="D459" s="6" t="s">
        <v>2</v>
      </c>
      <c r="E459" s="7" t="s">
        <v>74</v>
      </c>
      <c r="F459" s="7"/>
      <c r="G459" s="6"/>
      <c r="H459" s="6"/>
      <c r="I459" s="8">
        <v>45997</v>
      </c>
      <c r="J459" s="6"/>
      <c r="K459" s="6"/>
      <c r="L459" s="45"/>
      <c r="M459" s="6"/>
    </row>
    <row r="460" spans="1:13" hidden="1" x14ac:dyDescent="0.25">
      <c r="A460" s="43" t="s">
        <v>347</v>
      </c>
      <c r="C460" s="73" t="s">
        <v>48</v>
      </c>
      <c r="D460" s="6" t="s">
        <v>2</v>
      </c>
      <c r="E460" s="7" t="s">
        <v>74</v>
      </c>
      <c r="F460" s="7"/>
      <c r="G460" s="6"/>
      <c r="H460" s="6"/>
      <c r="I460" s="8">
        <v>45997</v>
      </c>
      <c r="J460" s="6"/>
      <c r="K460" s="6"/>
      <c r="L460" s="45"/>
      <c r="M460" s="6"/>
    </row>
    <row r="461" spans="1:13" hidden="1" x14ac:dyDescent="0.25">
      <c r="A461" s="43" t="s">
        <v>348</v>
      </c>
      <c r="B461" s="10"/>
      <c r="C461" s="73" t="s">
        <v>48</v>
      </c>
      <c r="D461" s="6" t="s">
        <v>2</v>
      </c>
      <c r="E461" s="7" t="s">
        <v>74</v>
      </c>
      <c r="F461" s="7"/>
      <c r="G461" s="6"/>
      <c r="H461" s="6"/>
      <c r="I461" s="8">
        <v>45997</v>
      </c>
      <c r="J461" s="6"/>
      <c r="K461" s="6"/>
      <c r="L461" s="45"/>
      <c r="M461" s="6"/>
    </row>
    <row r="462" spans="1:13" hidden="1" x14ac:dyDescent="0.25">
      <c r="A462" s="43" t="s">
        <v>349</v>
      </c>
      <c r="C462" s="73" t="s">
        <v>48</v>
      </c>
      <c r="D462" s="6" t="s">
        <v>2</v>
      </c>
      <c r="E462" s="7" t="s">
        <v>76</v>
      </c>
      <c r="F462" s="7"/>
      <c r="G462" s="6"/>
      <c r="H462" s="6"/>
      <c r="I462" s="8">
        <v>45997</v>
      </c>
      <c r="J462" s="6"/>
      <c r="K462" s="6"/>
      <c r="L462" s="45"/>
      <c r="M462" s="6"/>
    </row>
    <row r="463" spans="1:13" hidden="1" x14ac:dyDescent="0.25">
      <c r="A463" s="43" t="s">
        <v>350</v>
      </c>
      <c r="B463" s="10"/>
      <c r="C463" s="73" t="s">
        <v>48</v>
      </c>
      <c r="D463" s="6" t="s">
        <v>2</v>
      </c>
      <c r="E463" s="7" t="s">
        <v>74</v>
      </c>
      <c r="F463" s="7"/>
      <c r="G463" s="6"/>
      <c r="H463" s="6"/>
      <c r="I463" s="8">
        <v>45997</v>
      </c>
      <c r="J463" s="6"/>
      <c r="K463" s="6"/>
      <c r="L463" s="45"/>
      <c r="M463" s="6"/>
    </row>
    <row r="464" spans="1:13" hidden="1" x14ac:dyDescent="0.25">
      <c r="A464" s="43" t="s">
        <v>351</v>
      </c>
      <c r="C464" s="73" t="s">
        <v>48</v>
      </c>
      <c r="D464" s="6" t="s">
        <v>2</v>
      </c>
      <c r="E464" s="7" t="s">
        <v>74</v>
      </c>
      <c r="F464" s="7"/>
      <c r="G464" s="6"/>
      <c r="H464" s="6"/>
      <c r="I464" s="8">
        <v>45997</v>
      </c>
      <c r="J464" s="6"/>
      <c r="K464" s="6"/>
      <c r="L464" s="45"/>
      <c r="M464" s="6"/>
    </row>
    <row r="465" spans="1:13" hidden="1" x14ac:dyDescent="0.25">
      <c r="A465" s="43" t="s">
        <v>352</v>
      </c>
      <c r="B465" s="10"/>
      <c r="C465" s="73" t="s">
        <v>48</v>
      </c>
      <c r="D465" s="6" t="s">
        <v>2</v>
      </c>
      <c r="E465" s="7" t="s">
        <v>74</v>
      </c>
      <c r="F465" s="7"/>
      <c r="G465" s="6"/>
      <c r="H465" s="6"/>
      <c r="I465" s="8">
        <v>45997</v>
      </c>
      <c r="J465" s="6"/>
      <c r="K465" s="6"/>
      <c r="L465" s="45"/>
      <c r="M465" s="6"/>
    </row>
    <row r="466" spans="1:13" hidden="1" x14ac:dyDescent="0.25">
      <c r="A466" s="43" t="s">
        <v>353</v>
      </c>
      <c r="B466" s="10"/>
      <c r="C466" s="73" t="s">
        <v>48</v>
      </c>
      <c r="D466" s="6" t="s">
        <v>2</v>
      </c>
      <c r="E466" s="7" t="s">
        <v>74</v>
      </c>
      <c r="F466" s="7"/>
      <c r="G466" s="6"/>
      <c r="H466" s="6"/>
      <c r="I466" s="8">
        <v>45997</v>
      </c>
      <c r="J466" s="6"/>
      <c r="K466" s="6"/>
      <c r="L466" s="45"/>
      <c r="M466" s="6"/>
    </row>
    <row r="467" spans="1:13" hidden="1" x14ac:dyDescent="0.25">
      <c r="A467" s="43" t="s">
        <v>354</v>
      </c>
      <c r="C467" s="73" t="s">
        <v>48</v>
      </c>
      <c r="D467" s="6" t="s">
        <v>2</v>
      </c>
      <c r="E467" s="7" t="s">
        <v>74</v>
      </c>
      <c r="F467" s="7"/>
      <c r="G467" s="6"/>
      <c r="H467" s="6"/>
      <c r="I467" s="8">
        <v>45997</v>
      </c>
      <c r="J467" s="6"/>
      <c r="K467" s="6"/>
      <c r="L467" s="45"/>
      <c r="M467" s="6"/>
    </row>
    <row r="468" spans="1:13" hidden="1" x14ac:dyDescent="0.25">
      <c r="A468" s="43" t="s">
        <v>355</v>
      </c>
      <c r="B468" s="10"/>
      <c r="C468" s="73" t="s">
        <v>48</v>
      </c>
      <c r="D468" s="6" t="s">
        <v>2</v>
      </c>
      <c r="E468" s="7" t="s">
        <v>74</v>
      </c>
      <c r="F468" s="7"/>
      <c r="G468" s="6"/>
      <c r="H468" s="6"/>
      <c r="I468" s="8">
        <v>45997</v>
      </c>
      <c r="J468" s="6"/>
      <c r="K468" s="6"/>
      <c r="L468" s="45"/>
      <c r="M468" s="6"/>
    </row>
    <row r="469" spans="1:13" hidden="1" x14ac:dyDescent="0.25">
      <c r="A469" s="43" t="s">
        <v>356</v>
      </c>
      <c r="B469" s="10"/>
      <c r="C469" s="73" t="s">
        <v>48</v>
      </c>
      <c r="D469" s="6" t="s">
        <v>2</v>
      </c>
      <c r="E469" s="7" t="s">
        <v>74</v>
      </c>
      <c r="F469" s="7"/>
      <c r="G469" s="6"/>
      <c r="H469" s="6"/>
      <c r="I469" s="8">
        <v>45997</v>
      </c>
      <c r="J469" s="6"/>
      <c r="K469" s="6"/>
      <c r="L469" s="45"/>
      <c r="M469" s="6"/>
    </row>
    <row r="470" spans="1:13" hidden="1" x14ac:dyDescent="0.25">
      <c r="A470" s="43" t="s">
        <v>357</v>
      </c>
      <c r="B470" s="10"/>
      <c r="C470" s="73" t="s">
        <v>48</v>
      </c>
      <c r="D470" s="6" t="s">
        <v>2</v>
      </c>
      <c r="E470" s="7" t="s">
        <v>74</v>
      </c>
      <c r="F470" s="7"/>
      <c r="G470" s="6"/>
      <c r="H470" s="6"/>
      <c r="I470" s="8">
        <v>45997</v>
      </c>
      <c r="J470" s="6"/>
      <c r="K470" s="6"/>
      <c r="L470" s="45"/>
      <c r="M470" s="6"/>
    </row>
    <row r="471" spans="1:13" hidden="1" x14ac:dyDescent="0.25">
      <c r="A471" s="43" t="s">
        <v>358</v>
      </c>
      <c r="B471" s="10"/>
      <c r="C471" s="73" t="s">
        <v>48</v>
      </c>
      <c r="D471" s="6" t="s">
        <v>2</v>
      </c>
      <c r="E471" s="7" t="s">
        <v>74</v>
      </c>
      <c r="F471" s="7"/>
      <c r="G471" s="6"/>
      <c r="H471" s="6"/>
      <c r="I471" s="8">
        <v>45997</v>
      </c>
      <c r="J471" s="6"/>
      <c r="K471" s="6"/>
      <c r="L471" s="45"/>
      <c r="M471" s="6"/>
    </row>
    <row r="472" spans="1:13" hidden="1" x14ac:dyDescent="0.25">
      <c r="A472" s="43" t="s">
        <v>359</v>
      </c>
      <c r="B472" s="10"/>
      <c r="C472" s="73" t="s">
        <v>48</v>
      </c>
      <c r="D472" s="6" t="s">
        <v>2</v>
      </c>
      <c r="E472" s="7" t="s">
        <v>74</v>
      </c>
      <c r="F472" s="7"/>
      <c r="G472" s="6"/>
      <c r="H472" s="6"/>
      <c r="I472" s="8">
        <v>45997</v>
      </c>
      <c r="J472" s="6"/>
      <c r="K472" s="6"/>
      <c r="L472" s="45"/>
      <c r="M472" s="6"/>
    </row>
    <row r="473" spans="1:13" hidden="1" x14ac:dyDescent="0.25">
      <c r="A473" s="43" t="s">
        <v>360</v>
      </c>
      <c r="C473" s="73" t="s">
        <v>48</v>
      </c>
      <c r="D473" s="6" t="s">
        <v>2</v>
      </c>
      <c r="E473" s="7" t="s">
        <v>74</v>
      </c>
      <c r="F473" s="7"/>
      <c r="G473" s="6"/>
      <c r="H473" s="6"/>
      <c r="I473" s="8">
        <v>45997</v>
      </c>
      <c r="J473" s="6"/>
      <c r="K473" s="6"/>
      <c r="L473" s="45"/>
      <c r="M473" s="6"/>
    </row>
    <row r="474" spans="1:13" hidden="1" x14ac:dyDescent="0.25">
      <c r="A474" s="43" t="s">
        <v>361</v>
      </c>
      <c r="C474" s="73" t="s">
        <v>48</v>
      </c>
      <c r="D474" s="6" t="s">
        <v>2</v>
      </c>
      <c r="E474" s="7" t="s">
        <v>74</v>
      </c>
      <c r="F474" s="7"/>
      <c r="G474" s="6"/>
      <c r="H474" s="6"/>
      <c r="I474" s="8">
        <v>45997</v>
      </c>
      <c r="J474" s="6"/>
      <c r="K474" s="6"/>
      <c r="L474" s="45"/>
      <c r="M474" s="6"/>
    </row>
    <row r="475" spans="1:13" hidden="1" x14ac:dyDescent="0.25">
      <c r="A475" s="43" t="s">
        <v>362</v>
      </c>
      <c r="B475" s="10"/>
      <c r="C475" s="73" t="s">
        <v>48</v>
      </c>
      <c r="D475" s="6" t="s">
        <v>2</v>
      </c>
      <c r="E475" s="7" t="s">
        <v>74</v>
      </c>
      <c r="F475" s="7"/>
      <c r="G475" s="6"/>
      <c r="H475" s="6"/>
      <c r="I475" s="8">
        <v>45997</v>
      </c>
      <c r="J475" s="6"/>
      <c r="K475" s="6"/>
      <c r="L475" s="45"/>
      <c r="M475" s="6"/>
    </row>
    <row r="476" spans="1:13" hidden="1" x14ac:dyDescent="0.25">
      <c r="A476" s="43" t="s">
        <v>363</v>
      </c>
      <c r="C476" s="73" t="s">
        <v>48</v>
      </c>
      <c r="D476" s="6" t="s">
        <v>2</v>
      </c>
      <c r="E476" s="7" t="s">
        <v>74</v>
      </c>
      <c r="F476" s="7"/>
      <c r="G476" s="6"/>
      <c r="H476" s="6"/>
      <c r="I476" s="8">
        <v>45997</v>
      </c>
      <c r="J476" s="6"/>
      <c r="K476" s="6"/>
      <c r="L476" s="45"/>
      <c r="M476" s="6"/>
    </row>
    <row r="477" spans="1:13" hidden="1" x14ac:dyDescent="0.25">
      <c r="A477" s="43" t="s">
        <v>364</v>
      </c>
      <c r="B477" s="10"/>
      <c r="C477" s="73" t="s">
        <v>48</v>
      </c>
      <c r="D477" s="6" t="s">
        <v>2</v>
      </c>
      <c r="E477" s="7" t="s">
        <v>74</v>
      </c>
      <c r="F477" s="7"/>
      <c r="G477" s="6"/>
      <c r="H477" s="6"/>
      <c r="I477" s="8">
        <v>45997</v>
      </c>
      <c r="J477" s="6"/>
      <c r="K477" s="6"/>
      <c r="L477" s="45"/>
      <c r="M477" s="6"/>
    </row>
    <row r="478" spans="1:13" hidden="1" x14ac:dyDescent="0.25">
      <c r="A478" s="43" t="s">
        <v>365</v>
      </c>
      <c r="C478" s="73" t="s">
        <v>48</v>
      </c>
      <c r="D478" s="6" t="s">
        <v>2</v>
      </c>
      <c r="E478" s="7" t="s">
        <v>74</v>
      </c>
      <c r="F478" s="7"/>
      <c r="G478" s="6"/>
      <c r="H478" s="6"/>
      <c r="I478" s="8">
        <v>45997</v>
      </c>
      <c r="J478" s="6"/>
      <c r="K478" s="6"/>
      <c r="L478" s="45"/>
      <c r="M478" s="6"/>
    </row>
    <row r="479" spans="1:13" hidden="1" x14ac:dyDescent="0.25">
      <c r="A479" s="43" t="s">
        <v>366</v>
      </c>
      <c r="C479" s="73" t="s">
        <v>48</v>
      </c>
      <c r="D479" s="6" t="s">
        <v>2</v>
      </c>
      <c r="E479" s="7" t="s">
        <v>74</v>
      </c>
      <c r="F479" s="7"/>
      <c r="G479" s="6"/>
      <c r="H479" s="6"/>
      <c r="I479" s="8">
        <v>45997</v>
      </c>
      <c r="J479" s="6"/>
      <c r="K479" s="6"/>
      <c r="L479" s="45"/>
      <c r="M479" s="6"/>
    </row>
    <row r="480" spans="1:13" hidden="1" x14ac:dyDescent="0.25">
      <c r="A480" s="43" t="s">
        <v>367</v>
      </c>
      <c r="C480" s="73" t="s">
        <v>48</v>
      </c>
      <c r="D480" s="6" t="s">
        <v>2</v>
      </c>
      <c r="E480" s="7" t="s">
        <v>76</v>
      </c>
      <c r="F480" s="7"/>
      <c r="G480" s="6"/>
      <c r="H480" s="6"/>
      <c r="I480" s="8">
        <v>45997</v>
      </c>
      <c r="J480" s="6"/>
      <c r="K480" s="6"/>
      <c r="L480" s="45"/>
      <c r="M480" s="6"/>
    </row>
    <row r="481" spans="1:13" hidden="1" x14ac:dyDescent="0.25">
      <c r="A481" s="43" t="s">
        <v>368</v>
      </c>
      <c r="B481" s="10"/>
      <c r="C481" s="73" t="s">
        <v>48</v>
      </c>
      <c r="D481" s="6" t="s">
        <v>2</v>
      </c>
      <c r="E481" s="7" t="s">
        <v>74</v>
      </c>
      <c r="F481" s="7"/>
      <c r="G481" s="6"/>
      <c r="H481" s="6"/>
      <c r="I481" s="8">
        <v>45997</v>
      </c>
      <c r="J481" s="6"/>
      <c r="K481" s="6"/>
      <c r="L481" s="45"/>
      <c r="M481" s="6"/>
    </row>
    <row r="482" spans="1:13" hidden="1" x14ac:dyDescent="0.25">
      <c r="A482" s="43" t="s">
        <v>369</v>
      </c>
      <c r="C482" s="73" t="s">
        <v>48</v>
      </c>
      <c r="D482" s="6" t="s">
        <v>2</v>
      </c>
      <c r="E482" s="7" t="s">
        <v>74</v>
      </c>
      <c r="F482" s="7"/>
      <c r="G482" s="6"/>
      <c r="H482" s="6"/>
      <c r="I482" s="8">
        <v>45997</v>
      </c>
      <c r="J482" s="6"/>
      <c r="K482" s="6"/>
      <c r="L482" s="45"/>
      <c r="M482" s="6"/>
    </row>
    <row r="483" spans="1:13" hidden="1" x14ac:dyDescent="0.25">
      <c r="A483" s="43" t="s">
        <v>370</v>
      </c>
      <c r="B483" s="10"/>
      <c r="C483" s="73" t="s">
        <v>48</v>
      </c>
      <c r="D483" s="6" t="s">
        <v>2</v>
      </c>
      <c r="E483" s="7" t="s">
        <v>74</v>
      </c>
      <c r="F483" s="7"/>
      <c r="G483" s="6"/>
      <c r="H483" s="6"/>
      <c r="I483" s="8">
        <v>45997</v>
      </c>
      <c r="J483" s="6"/>
      <c r="K483" s="6"/>
      <c r="L483" s="45"/>
      <c r="M483" s="6"/>
    </row>
    <row r="484" spans="1:13" hidden="1" x14ac:dyDescent="0.25">
      <c r="A484" s="43" t="s">
        <v>371</v>
      </c>
      <c r="C484" s="73" t="s">
        <v>48</v>
      </c>
      <c r="D484" s="6" t="s">
        <v>2</v>
      </c>
      <c r="E484" s="7" t="s">
        <v>74</v>
      </c>
      <c r="F484" s="7"/>
      <c r="G484" s="6"/>
      <c r="H484" s="6"/>
      <c r="I484" s="8">
        <v>45997</v>
      </c>
      <c r="J484" s="6"/>
      <c r="K484" s="6"/>
      <c r="L484" s="45"/>
      <c r="M484" s="6"/>
    </row>
    <row r="485" spans="1:13" hidden="1" x14ac:dyDescent="0.25">
      <c r="A485" s="43" t="s">
        <v>372</v>
      </c>
      <c r="C485" s="73" t="s">
        <v>48</v>
      </c>
      <c r="D485" s="6" t="s">
        <v>2</v>
      </c>
      <c r="E485" s="7" t="s">
        <v>74</v>
      </c>
      <c r="F485" s="7"/>
      <c r="G485" s="6"/>
      <c r="H485" s="6"/>
      <c r="I485" s="8">
        <v>45997</v>
      </c>
      <c r="J485" s="6"/>
      <c r="K485" s="6"/>
      <c r="L485" s="45"/>
      <c r="M485" s="6"/>
    </row>
    <row r="486" spans="1:13" hidden="1" x14ac:dyDescent="0.25">
      <c r="A486" s="43" t="s">
        <v>373</v>
      </c>
      <c r="C486" s="73" t="s">
        <v>48</v>
      </c>
      <c r="D486" s="6" t="s">
        <v>2</v>
      </c>
      <c r="E486" s="7" t="s">
        <v>74</v>
      </c>
      <c r="F486" s="7"/>
      <c r="G486" s="6"/>
      <c r="H486" s="6"/>
      <c r="I486" s="8">
        <v>45997</v>
      </c>
      <c r="J486" s="6"/>
      <c r="K486" s="6"/>
      <c r="L486" s="45"/>
      <c r="M486" s="6"/>
    </row>
    <row r="487" spans="1:13" hidden="1" x14ac:dyDescent="0.25">
      <c r="A487" s="43" t="s">
        <v>374</v>
      </c>
      <c r="C487" s="73" t="s">
        <v>48</v>
      </c>
      <c r="D487" s="6" t="s">
        <v>2</v>
      </c>
      <c r="E487" s="7" t="s">
        <v>74</v>
      </c>
      <c r="F487" s="7"/>
      <c r="G487" s="6"/>
      <c r="H487" s="6"/>
      <c r="I487" s="8">
        <v>45997</v>
      </c>
      <c r="J487" s="6"/>
      <c r="K487" s="6"/>
      <c r="L487" s="45"/>
      <c r="M487" s="6"/>
    </row>
    <row r="488" spans="1:13" hidden="1" x14ac:dyDescent="0.25">
      <c r="A488" s="43" t="s">
        <v>375</v>
      </c>
      <c r="C488" s="73" t="s">
        <v>48</v>
      </c>
      <c r="D488" s="6" t="s">
        <v>2</v>
      </c>
      <c r="E488" s="7" t="s">
        <v>74</v>
      </c>
      <c r="F488" s="7"/>
      <c r="G488" s="6"/>
      <c r="H488" s="6"/>
      <c r="I488" s="8">
        <v>45997</v>
      </c>
      <c r="J488" s="6"/>
      <c r="K488" s="6"/>
      <c r="L488" s="45"/>
      <c r="M488" s="6"/>
    </row>
    <row r="489" spans="1:13" hidden="1" x14ac:dyDescent="0.25">
      <c r="A489" s="43" t="s">
        <v>376</v>
      </c>
      <c r="C489" s="73" t="s">
        <v>48</v>
      </c>
      <c r="D489" s="6" t="s">
        <v>2</v>
      </c>
      <c r="E489" s="7" t="s">
        <v>74</v>
      </c>
      <c r="F489" s="7"/>
      <c r="G489" s="6"/>
      <c r="H489" s="6"/>
      <c r="I489" s="8">
        <v>45997</v>
      </c>
      <c r="J489" s="6"/>
      <c r="K489" s="6"/>
      <c r="L489" s="45"/>
      <c r="M489" s="6"/>
    </row>
    <row r="490" spans="1:13" hidden="1" x14ac:dyDescent="0.25">
      <c r="A490" s="43" t="s">
        <v>377</v>
      </c>
      <c r="B490" s="10"/>
      <c r="C490" s="73" t="s">
        <v>48</v>
      </c>
      <c r="D490" s="6" t="s">
        <v>2</v>
      </c>
      <c r="E490" s="7" t="s">
        <v>74</v>
      </c>
      <c r="F490" s="7"/>
      <c r="G490" s="6"/>
      <c r="H490" s="6"/>
      <c r="I490" s="8">
        <v>45997</v>
      </c>
      <c r="J490" s="6"/>
      <c r="K490" s="6"/>
      <c r="L490" s="45"/>
      <c r="M490" s="6"/>
    </row>
    <row r="491" spans="1:13" hidden="1" x14ac:dyDescent="0.25">
      <c r="A491" s="43" t="s">
        <v>378</v>
      </c>
      <c r="C491" s="73" t="s">
        <v>48</v>
      </c>
      <c r="D491" s="6" t="s">
        <v>2</v>
      </c>
      <c r="E491" s="7" t="s">
        <v>74</v>
      </c>
      <c r="F491" s="7"/>
      <c r="G491" s="6"/>
      <c r="H491" s="6"/>
      <c r="I491" s="8">
        <v>45997</v>
      </c>
      <c r="J491" s="6"/>
      <c r="K491" s="6"/>
      <c r="L491" s="45"/>
      <c r="M491" s="6"/>
    </row>
    <row r="492" spans="1:13" hidden="1" x14ac:dyDescent="0.25">
      <c r="A492" s="43" t="s">
        <v>379</v>
      </c>
      <c r="C492" s="73" t="s">
        <v>48</v>
      </c>
      <c r="D492" s="6" t="s">
        <v>2</v>
      </c>
      <c r="E492" s="7" t="s">
        <v>74</v>
      </c>
      <c r="F492" s="7"/>
      <c r="G492" s="6"/>
      <c r="H492" s="6"/>
      <c r="I492" s="8">
        <v>45997</v>
      </c>
      <c r="J492" s="6"/>
      <c r="K492" s="6"/>
      <c r="L492" s="45"/>
      <c r="M492" s="6"/>
    </row>
    <row r="493" spans="1:13" hidden="1" x14ac:dyDescent="0.25">
      <c r="A493" s="43" t="s">
        <v>380</v>
      </c>
      <c r="C493" s="73" t="s">
        <v>48</v>
      </c>
      <c r="D493" s="6" t="s">
        <v>2</v>
      </c>
      <c r="E493" s="7" t="s">
        <v>74</v>
      </c>
      <c r="F493" s="7"/>
      <c r="G493" s="6"/>
      <c r="H493" s="6"/>
      <c r="I493" s="8">
        <v>45997</v>
      </c>
      <c r="J493" s="6"/>
      <c r="K493" s="6"/>
      <c r="L493" s="45"/>
      <c r="M493" s="6"/>
    </row>
    <row r="494" spans="1:13" hidden="1" x14ac:dyDescent="0.25">
      <c r="A494" s="43" t="s">
        <v>381</v>
      </c>
      <c r="C494" s="73" t="s">
        <v>48</v>
      </c>
      <c r="D494" s="6" t="s">
        <v>2</v>
      </c>
      <c r="E494" s="7" t="s">
        <v>74</v>
      </c>
      <c r="F494" s="7"/>
      <c r="G494" s="6"/>
      <c r="H494" s="6"/>
      <c r="I494" s="8">
        <v>45997</v>
      </c>
      <c r="J494" s="6"/>
      <c r="K494" s="6"/>
      <c r="L494" s="45"/>
      <c r="M494" s="6"/>
    </row>
    <row r="495" spans="1:13" hidden="1" x14ac:dyDescent="0.25">
      <c r="A495" s="43" t="s">
        <v>382</v>
      </c>
      <c r="C495" s="73" t="s">
        <v>48</v>
      </c>
      <c r="D495" s="6" t="s">
        <v>2</v>
      </c>
      <c r="E495" s="7" t="s">
        <v>74</v>
      </c>
      <c r="F495" s="7"/>
      <c r="G495" s="6"/>
      <c r="H495" s="6"/>
      <c r="I495" s="8">
        <v>45997</v>
      </c>
      <c r="J495" s="6"/>
      <c r="K495" s="6"/>
      <c r="L495" s="45"/>
      <c r="M495" s="6"/>
    </row>
    <row r="496" spans="1:13" hidden="1" x14ac:dyDescent="0.25">
      <c r="A496" s="43" t="s">
        <v>383</v>
      </c>
      <c r="C496" s="73" t="s">
        <v>48</v>
      </c>
      <c r="D496" s="6" t="s">
        <v>2</v>
      </c>
      <c r="E496" s="7" t="s">
        <v>74</v>
      </c>
      <c r="F496" s="7"/>
      <c r="G496" s="6"/>
      <c r="H496" s="6"/>
      <c r="I496" s="8">
        <v>45997</v>
      </c>
      <c r="J496" s="6"/>
      <c r="K496" s="6"/>
      <c r="L496" s="45"/>
      <c r="M496" s="6"/>
    </row>
    <row r="497" spans="1:13" hidden="1" x14ac:dyDescent="0.25">
      <c r="A497" s="43" t="s">
        <v>384</v>
      </c>
      <c r="B497" s="10"/>
      <c r="C497" s="73" t="s">
        <v>48</v>
      </c>
      <c r="D497" s="6" t="s">
        <v>2</v>
      </c>
      <c r="E497" s="7" t="s">
        <v>74</v>
      </c>
      <c r="F497" s="7"/>
      <c r="G497" s="6"/>
      <c r="H497" s="6"/>
      <c r="I497" s="8">
        <v>45997</v>
      </c>
      <c r="J497" s="6"/>
      <c r="K497" s="6"/>
      <c r="L497" s="45"/>
      <c r="M497" s="6"/>
    </row>
    <row r="498" spans="1:13" hidden="1" x14ac:dyDescent="0.25">
      <c r="A498" s="43" t="s">
        <v>385</v>
      </c>
      <c r="C498" s="73" t="s">
        <v>48</v>
      </c>
      <c r="D498" s="6" t="s">
        <v>2</v>
      </c>
      <c r="E498" s="7" t="s">
        <v>74</v>
      </c>
      <c r="F498" s="7"/>
      <c r="G498" s="6"/>
      <c r="H498" s="6"/>
      <c r="I498" s="8">
        <v>45997</v>
      </c>
      <c r="J498" s="6"/>
      <c r="K498" s="6"/>
      <c r="L498" s="45"/>
      <c r="M498" s="6"/>
    </row>
    <row r="499" spans="1:13" hidden="1" x14ac:dyDescent="0.25">
      <c r="A499" s="43" t="s">
        <v>386</v>
      </c>
      <c r="C499" s="73" t="s">
        <v>48</v>
      </c>
      <c r="D499" s="6" t="s">
        <v>2</v>
      </c>
      <c r="E499" s="7" t="s">
        <v>74</v>
      </c>
      <c r="F499" s="7"/>
      <c r="G499" s="6"/>
      <c r="H499" s="6"/>
      <c r="I499" s="8">
        <v>45997</v>
      </c>
      <c r="J499" s="6"/>
      <c r="K499" s="6"/>
      <c r="L499" s="45"/>
      <c r="M499" s="6"/>
    </row>
    <row r="500" spans="1:13" hidden="1" x14ac:dyDescent="0.25">
      <c r="A500" s="43" t="s">
        <v>387</v>
      </c>
      <c r="C500" s="73" t="s">
        <v>48</v>
      </c>
      <c r="D500" s="6" t="s">
        <v>2</v>
      </c>
      <c r="E500" s="7" t="s">
        <v>74</v>
      </c>
      <c r="F500" s="7"/>
      <c r="G500" s="6"/>
      <c r="H500" s="6"/>
      <c r="I500" s="8">
        <v>45997</v>
      </c>
      <c r="J500" s="6"/>
      <c r="K500" s="6"/>
      <c r="L500" s="45"/>
      <c r="M500" s="6"/>
    </row>
    <row r="501" spans="1:13" hidden="1" x14ac:dyDescent="0.25">
      <c r="A501" s="43" t="s">
        <v>388</v>
      </c>
      <c r="B501" s="10"/>
      <c r="C501" s="73" t="s">
        <v>48</v>
      </c>
      <c r="D501" s="6" t="s">
        <v>2</v>
      </c>
      <c r="E501" s="7" t="s">
        <v>74</v>
      </c>
      <c r="F501" s="7"/>
      <c r="G501" s="6"/>
      <c r="H501" s="6"/>
      <c r="I501" s="8">
        <v>45997</v>
      </c>
      <c r="J501" s="6"/>
      <c r="K501" s="6"/>
      <c r="L501" s="45"/>
      <c r="M501" s="6"/>
    </row>
    <row r="502" spans="1:13" hidden="1" x14ac:dyDescent="0.25">
      <c r="A502" s="43" t="s">
        <v>389</v>
      </c>
      <c r="C502" s="73" t="s">
        <v>48</v>
      </c>
      <c r="D502" s="6" t="s">
        <v>2</v>
      </c>
      <c r="E502" s="7" t="s">
        <v>74</v>
      </c>
      <c r="F502" s="7"/>
      <c r="G502" s="6"/>
      <c r="H502" s="6"/>
      <c r="I502" s="8">
        <v>45997</v>
      </c>
      <c r="J502" s="6"/>
      <c r="K502" s="6"/>
      <c r="L502" s="45"/>
      <c r="M502" s="6"/>
    </row>
    <row r="503" spans="1:13" hidden="1" x14ac:dyDescent="0.25">
      <c r="A503" s="43" t="s">
        <v>390</v>
      </c>
      <c r="B503" s="10"/>
      <c r="C503" s="73" t="s">
        <v>48</v>
      </c>
      <c r="D503" s="6" t="s">
        <v>2</v>
      </c>
      <c r="E503" s="7" t="s">
        <v>74</v>
      </c>
      <c r="F503" s="7"/>
      <c r="G503" s="6"/>
      <c r="H503" s="6"/>
      <c r="I503" s="8">
        <v>45997</v>
      </c>
      <c r="J503" s="6"/>
      <c r="K503" s="6"/>
      <c r="L503" s="45"/>
      <c r="M503" s="6"/>
    </row>
    <row r="504" spans="1:13" hidden="1" x14ac:dyDescent="0.25">
      <c r="A504" s="43" t="s">
        <v>391</v>
      </c>
      <c r="C504" s="73" t="s">
        <v>48</v>
      </c>
      <c r="D504" s="6" t="s">
        <v>2</v>
      </c>
      <c r="E504" s="7" t="s">
        <v>74</v>
      </c>
      <c r="F504" s="7"/>
      <c r="G504" s="6"/>
      <c r="H504" s="6"/>
      <c r="I504" s="8">
        <v>45997</v>
      </c>
      <c r="J504" s="6"/>
      <c r="K504" s="6"/>
      <c r="L504" s="45"/>
      <c r="M504" s="6"/>
    </row>
    <row r="505" spans="1:13" hidden="1" x14ac:dyDescent="0.25">
      <c r="A505" s="43" t="s">
        <v>392</v>
      </c>
      <c r="C505" s="73" t="s">
        <v>48</v>
      </c>
      <c r="D505" s="6" t="s">
        <v>2</v>
      </c>
      <c r="E505" s="7" t="s">
        <v>74</v>
      </c>
      <c r="F505" s="7"/>
      <c r="G505" s="6"/>
      <c r="H505" s="6"/>
      <c r="I505" s="8">
        <v>45997</v>
      </c>
      <c r="J505" s="6"/>
      <c r="K505" s="6"/>
      <c r="L505" s="45"/>
      <c r="M505" s="6"/>
    </row>
    <row r="506" spans="1:13" hidden="1" x14ac:dyDescent="0.25">
      <c r="A506" s="43" t="s">
        <v>393</v>
      </c>
      <c r="B506" s="6"/>
      <c r="C506" s="73" t="s">
        <v>48</v>
      </c>
      <c r="D506" s="6" t="s">
        <v>2</v>
      </c>
      <c r="E506" s="7" t="s">
        <v>74</v>
      </c>
      <c r="F506" s="7"/>
      <c r="G506" s="6"/>
      <c r="H506" s="6"/>
      <c r="I506" s="8">
        <v>45997</v>
      </c>
      <c r="J506" s="6"/>
      <c r="K506" s="6"/>
      <c r="L506" s="45"/>
      <c r="M506" s="6"/>
    </row>
    <row r="507" spans="1:13" hidden="1" x14ac:dyDescent="0.25">
      <c r="A507" s="43" t="s">
        <v>394</v>
      </c>
      <c r="B507" s="6"/>
      <c r="C507" s="73" t="s">
        <v>48</v>
      </c>
      <c r="D507" s="6" t="s">
        <v>2</v>
      </c>
      <c r="E507" s="7" t="s">
        <v>74</v>
      </c>
      <c r="F507" s="7"/>
      <c r="G507" s="6"/>
      <c r="H507" s="6"/>
      <c r="I507" s="8">
        <v>45997</v>
      </c>
      <c r="J507" s="6"/>
      <c r="K507" s="6"/>
      <c r="L507" s="45"/>
      <c r="M507" s="6"/>
    </row>
    <row r="508" spans="1:13" hidden="1" x14ac:dyDescent="0.25">
      <c r="A508" s="43" t="s">
        <v>395</v>
      </c>
      <c r="B508" s="6"/>
      <c r="C508" s="73" t="s">
        <v>48</v>
      </c>
      <c r="D508" s="6" t="s">
        <v>2</v>
      </c>
      <c r="E508" s="7" t="s">
        <v>74</v>
      </c>
      <c r="F508" s="7"/>
      <c r="G508" s="6"/>
      <c r="H508" s="6"/>
      <c r="I508" s="8">
        <v>45997</v>
      </c>
      <c r="J508" s="6"/>
      <c r="K508" s="6"/>
      <c r="L508" s="45"/>
      <c r="M508" s="6"/>
    </row>
    <row r="509" spans="1:13" hidden="1" x14ac:dyDescent="0.25">
      <c r="A509" s="43" t="s">
        <v>396</v>
      </c>
      <c r="B509" s="6"/>
      <c r="C509" s="73" t="s">
        <v>48</v>
      </c>
      <c r="D509" s="6" t="s">
        <v>2</v>
      </c>
      <c r="E509" s="7" t="s">
        <v>74</v>
      </c>
      <c r="F509" s="7"/>
      <c r="G509" s="6"/>
      <c r="H509" s="6"/>
      <c r="I509" s="8">
        <v>45997</v>
      </c>
      <c r="J509" s="6"/>
      <c r="K509" s="6"/>
      <c r="L509" s="45"/>
      <c r="M509" s="6"/>
    </row>
    <row r="510" spans="1:13" hidden="1" x14ac:dyDescent="0.25">
      <c r="A510" s="43" t="s">
        <v>397</v>
      </c>
      <c r="B510" s="6"/>
      <c r="C510" s="73" t="s">
        <v>48</v>
      </c>
      <c r="D510" s="6" t="s">
        <v>2</v>
      </c>
      <c r="E510" s="7" t="s">
        <v>74</v>
      </c>
      <c r="F510" s="7"/>
      <c r="G510" s="6"/>
      <c r="H510" s="6"/>
      <c r="I510" s="8">
        <v>45997</v>
      </c>
      <c r="J510" s="6"/>
      <c r="K510" s="6"/>
      <c r="L510" s="45"/>
      <c r="M510" s="6"/>
    </row>
    <row r="511" spans="1:13" hidden="1" x14ac:dyDescent="0.25">
      <c r="A511" s="43" t="s">
        <v>398</v>
      </c>
      <c r="B511" s="6"/>
      <c r="C511" s="73" t="s">
        <v>48</v>
      </c>
      <c r="D511" s="6" t="s">
        <v>2</v>
      </c>
      <c r="E511" s="7" t="s">
        <v>74</v>
      </c>
      <c r="F511" s="7"/>
      <c r="G511" s="6"/>
      <c r="H511" s="6"/>
      <c r="I511" s="8">
        <v>45997</v>
      </c>
      <c r="J511" s="6"/>
      <c r="K511" s="6"/>
      <c r="L511" s="45"/>
      <c r="M511" s="6"/>
    </row>
    <row r="512" spans="1:13" hidden="1" x14ac:dyDescent="0.25">
      <c r="A512" s="43" t="s">
        <v>399</v>
      </c>
      <c r="B512" s="6"/>
      <c r="C512" s="73" t="s">
        <v>48</v>
      </c>
      <c r="D512" s="6" t="s">
        <v>2</v>
      </c>
      <c r="E512" s="7" t="s">
        <v>74</v>
      </c>
      <c r="F512" s="7"/>
      <c r="G512" s="6"/>
      <c r="H512" s="6"/>
      <c r="I512" s="8">
        <v>45997</v>
      </c>
      <c r="J512" s="6"/>
      <c r="K512" s="6"/>
      <c r="L512" s="45"/>
      <c r="M512" s="6"/>
    </row>
    <row r="513" spans="1:13" hidden="1" x14ac:dyDescent="0.25">
      <c r="A513" s="43" t="s">
        <v>400</v>
      </c>
      <c r="B513" s="6"/>
      <c r="C513" s="73" t="s">
        <v>48</v>
      </c>
      <c r="D513" s="6" t="s">
        <v>2</v>
      </c>
      <c r="E513" s="7" t="s">
        <v>74</v>
      </c>
      <c r="F513" s="7"/>
      <c r="G513" s="6"/>
      <c r="H513" s="6"/>
      <c r="I513" s="8">
        <v>45997</v>
      </c>
      <c r="J513" s="6"/>
      <c r="K513" s="6"/>
      <c r="L513" s="45"/>
      <c r="M513" s="6"/>
    </row>
    <row r="514" spans="1:13" hidden="1" x14ac:dyDescent="0.25">
      <c r="A514" s="43" t="s">
        <v>401</v>
      </c>
      <c r="B514" s="6"/>
      <c r="C514" s="73" t="s">
        <v>48</v>
      </c>
      <c r="D514" s="6" t="s">
        <v>2</v>
      </c>
      <c r="E514" s="7" t="s">
        <v>74</v>
      </c>
      <c r="F514" s="7"/>
      <c r="G514" s="6"/>
      <c r="H514" s="6"/>
      <c r="I514" s="8">
        <v>45997</v>
      </c>
      <c r="J514" s="6"/>
      <c r="K514" s="6"/>
      <c r="L514" s="45"/>
      <c r="M514" s="6"/>
    </row>
    <row r="515" spans="1:13" hidden="1" x14ac:dyDescent="0.25">
      <c r="A515" s="43" t="s">
        <v>402</v>
      </c>
      <c r="B515" s="6"/>
      <c r="C515" s="73" t="s">
        <v>48</v>
      </c>
      <c r="D515" s="6" t="s">
        <v>2</v>
      </c>
      <c r="E515" s="7" t="s">
        <v>74</v>
      </c>
      <c r="F515" s="7"/>
      <c r="G515" s="6"/>
      <c r="H515" s="6"/>
      <c r="I515" s="8">
        <v>45997</v>
      </c>
      <c r="J515" s="6"/>
      <c r="K515" s="6"/>
      <c r="L515" s="45"/>
      <c r="M515" s="6"/>
    </row>
    <row r="516" spans="1:13" hidden="1" x14ac:dyDescent="0.25">
      <c r="A516" s="43" t="s">
        <v>403</v>
      </c>
      <c r="B516" s="6"/>
      <c r="C516" s="73" t="s">
        <v>48</v>
      </c>
      <c r="D516" s="6" t="s">
        <v>2</v>
      </c>
      <c r="E516" s="7" t="s">
        <v>74</v>
      </c>
      <c r="F516" s="7"/>
      <c r="G516" s="6"/>
      <c r="H516" s="6"/>
      <c r="I516" s="8">
        <v>45997</v>
      </c>
      <c r="J516" s="6"/>
      <c r="K516" s="6"/>
      <c r="L516" s="45"/>
      <c r="M516" s="6"/>
    </row>
    <row r="517" spans="1:13" hidden="1" x14ac:dyDescent="0.25">
      <c r="A517" s="43" t="s">
        <v>404</v>
      </c>
      <c r="B517" s="6"/>
      <c r="C517" s="73" t="s">
        <v>48</v>
      </c>
      <c r="D517" s="6" t="s">
        <v>2</v>
      </c>
      <c r="E517" s="7" t="s">
        <v>74</v>
      </c>
      <c r="F517" s="7"/>
      <c r="G517" s="6"/>
      <c r="H517" s="6"/>
      <c r="I517" s="8">
        <v>45997</v>
      </c>
      <c r="J517" s="6"/>
      <c r="K517" s="6"/>
      <c r="L517" s="45"/>
      <c r="M517" s="6"/>
    </row>
    <row r="518" spans="1:13" hidden="1" x14ac:dyDescent="0.25">
      <c r="A518" s="43" t="s">
        <v>405</v>
      </c>
      <c r="B518" s="6"/>
      <c r="C518" s="73" t="s">
        <v>48</v>
      </c>
      <c r="D518" s="6" t="s">
        <v>2</v>
      </c>
      <c r="E518" s="7" t="s">
        <v>74</v>
      </c>
      <c r="F518" s="7"/>
      <c r="G518" s="6"/>
      <c r="H518" s="6"/>
      <c r="I518" s="8">
        <v>45997</v>
      </c>
      <c r="J518" s="6"/>
      <c r="K518" s="6"/>
      <c r="L518" s="45"/>
      <c r="M518" s="6"/>
    </row>
    <row r="519" spans="1:13" hidden="1" x14ac:dyDescent="0.25">
      <c r="A519" s="43" t="s">
        <v>406</v>
      </c>
      <c r="B519" s="6"/>
      <c r="C519" s="73" t="s">
        <v>48</v>
      </c>
      <c r="D519" s="6" t="s">
        <v>2</v>
      </c>
      <c r="E519" s="7" t="s">
        <v>74</v>
      </c>
      <c r="F519" s="7"/>
      <c r="G519" s="6"/>
      <c r="H519" s="6"/>
      <c r="I519" s="8">
        <v>45997</v>
      </c>
      <c r="J519" s="6"/>
      <c r="K519" s="6"/>
      <c r="L519" s="45"/>
      <c r="M519" s="6"/>
    </row>
    <row r="520" spans="1:13" hidden="1" x14ac:dyDescent="0.25">
      <c r="A520" s="43" t="s">
        <v>407</v>
      </c>
      <c r="B520" s="6"/>
      <c r="C520" s="73" t="s">
        <v>48</v>
      </c>
      <c r="D520" s="6" t="s">
        <v>2</v>
      </c>
      <c r="E520" s="7" t="s">
        <v>74</v>
      </c>
      <c r="F520" s="7"/>
      <c r="G520" s="6"/>
      <c r="H520" s="6"/>
      <c r="I520" s="8">
        <v>45997</v>
      </c>
      <c r="J520" s="6"/>
      <c r="K520" s="6"/>
      <c r="L520" s="45"/>
      <c r="M520" s="6"/>
    </row>
    <row r="521" spans="1:13" hidden="1" x14ac:dyDescent="0.25">
      <c r="A521" s="43" t="s">
        <v>408</v>
      </c>
      <c r="B521" s="6"/>
      <c r="C521" s="73" t="s">
        <v>48</v>
      </c>
      <c r="D521" s="6" t="s">
        <v>2</v>
      </c>
      <c r="E521" s="7" t="s">
        <v>74</v>
      </c>
      <c r="F521" s="7"/>
      <c r="G521" s="6"/>
      <c r="H521" s="6"/>
      <c r="I521" s="8">
        <v>45997</v>
      </c>
      <c r="J521" s="6"/>
      <c r="K521" s="6"/>
      <c r="L521" s="45"/>
      <c r="M521" s="6"/>
    </row>
    <row r="522" spans="1:13" hidden="1" x14ac:dyDescent="0.25">
      <c r="A522" s="43" t="s">
        <v>409</v>
      </c>
      <c r="B522" s="6"/>
      <c r="C522" s="73" t="s">
        <v>48</v>
      </c>
      <c r="D522" s="6" t="s">
        <v>2</v>
      </c>
      <c r="E522" s="7" t="s">
        <v>74</v>
      </c>
      <c r="F522" s="7"/>
      <c r="G522" s="6"/>
      <c r="H522" s="6"/>
      <c r="I522" s="8">
        <v>45997</v>
      </c>
      <c r="J522" s="6"/>
      <c r="K522" s="6"/>
      <c r="L522" s="45"/>
      <c r="M522" s="6"/>
    </row>
    <row r="523" spans="1:13" hidden="1" x14ac:dyDescent="0.25">
      <c r="A523" s="43" t="s">
        <v>410</v>
      </c>
      <c r="B523" s="6"/>
      <c r="C523" s="73" t="s">
        <v>48</v>
      </c>
      <c r="D523" s="6" t="s">
        <v>2</v>
      </c>
      <c r="E523" s="7" t="s">
        <v>74</v>
      </c>
      <c r="F523" s="7"/>
      <c r="G523" s="6"/>
      <c r="H523" s="6"/>
      <c r="I523" s="8">
        <v>45997</v>
      </c>
      <c r="J523" s="6"/>
      <c r="K523" s="6"/>
      <c r="L523" s="45"/>
      <c r="M523" s="6"/>
    </row>
    <row r="524" spans="1:13" hidden="1" x14ac:dyDescent="0.25">
      <c r="A524" s="43" t="s">
        <v>411</v>
      </c>
      <c r="B524" s="6"/>
      <c r="C524" s="73" t="s">
        <v>48</v>
      </c>
      <c r="D524" s="6" t="s">
        <v>2</v>
      </c>
      <c r="E524" s="7" t="s">
        <v>74</v>
      </c>
      <c r="F524" s="7"/>
      <c r="G524" s="6"/>
      <c r="H524" s="6"/>
      <c r="I524" s="8">
        <v>45997</v>
      </c>
      <c r="J524" s="6"/>
      <c r="K524" s="6"/>
      <c r="L524" s="45"/>
      <c r="M524" s="6"/>
    </row>
    <row r="525" spans="1:13" hidden="1" x14ac:dyDescent="0.25">
      <c r="A525" s="43" t="s">
        <v>412</v>
      </c>
      <c r="B525" s="6"/>
      <c r="C525" s="73" t="s">
        <v>48</v>
      </c>
      <c r="D525" s="6" t="s">
        <v>2</v>
      </c>
      <c r="E525" s="7" t="s">
        <v>74</v>
      </c>
      <c r="F525" s="7"/>
      <c r="G525" s="6"/>
      <c r="H525" s="6"/>
      <c r="I525" s="8">
        <v>45997</v>
      </c>
      <c r="J525" s="6"/>
      <c r="K525" s="6"/>
      <c r="L525" s="45"/>
      <c r="M525" s="6"/>
    </row>
    <row r="526" spans="1:13" hidden="1" x14ac:dyDescent="0.25">
      <c r="A526" s="43" t="s">
        <v>413</v>
      </c>
      <c r="B526" s="6"/>
      <c r="C526" s="73" t="s">
        <v>48</v>
      </c>
      <c r="D526" s="6" t="s">
        <v>2</v>
      </c>
      <c r="E526" s="7" t="s">
        <v>74</v>
      </c>
      <c r="F526" s="7"/>
      <c r="G526" s="6"/>
      <c r="H526" s="6"/>
      <c r="I526" s="8">
        <v>45997</v>
      </c>
      <c r="J526" s="6"/>
      <c r="K526" s="6"/>
      <c r="L526" s="45"/>
      <c r="M526" s="6"/>
    </row>
    <row r="527" spans="1:13" hidden="1" x14ac:dyDescent="0.25">
      <c r="A527" s="43" t="s">
        <v>414</v>
      </c>
      <c r="B527" s="6"/>
      <c r="C527" s="73" t="s">
        <v>48</v>
      </c>
      <c r="D527" s="6" t="s">
        <v>2</v>
      </c>
      <c r="E527" s="7" t="s">
        <v>74</v>
      </c>
      <c r="F527" s="7"/>
      <c r="G527" s="6"/>
      <c r="H527" s="6"/>
      <c r="I527" s="8">
        <v>45997</v>
      </c>
      <c r="J527" s="6"/>
      <c r="K527" s="6"/>
      <c r="L527" s="45"/>
      <c r="M527" s="6"/>
    </row>
    <row r="528" spans="1:13" hidden="1" x14ac:dyDescent="0.25">
      <c r="A528" s="43" t="s">
        <v>415</v>
      </c>
      <c r="B528" s="6"/>
      <c r="C528" s="73" t="s">
        <v>48</v>
      </c>
      <c r="D528" s="6" t="s">
        <v>2</v>
      </c>
      <c r="E528" s="7" t="s">
        <v>74</v>
      </c>
      <c r="F528" s="7"/>
      <c r="G528" s="6"/>
      <c r="H528" s="6"/>
      <c r="I528" s="8">
        <v>45997</v>
      </c>
      <c r="J528" s="6"/>
      <c r="K528" s="6"/>
      <c r="L528" s="45"/>
      <c r="M528" s="6"/>
    </row>
    <row r="529" spans="1:13" hidden="1" x14ac:dyDescent="0.25">
      <c r="A529" s="43" t="s">
        <v>416</v>
      </c>
      <c r="B529" s="6"/>
      <c r="C529" s="73" t="s">
        <v>48</v>
      </c>
      <c r="D529" s="6" t="s">
        <v>2</v>
      </c>
      <c r="E529" s="7" t="s">
        <v>74</v>
      </c>
      <c r="F529" s="7"/>
      <c r="G529" s="6"/>
      <c r="H529" s="6"/>
      <c r="I529" s="8">
        <v>45997</v>
      </c>
      <c r="J529" s="6"/>
      <c r="K529" s="6"/>
      <c r="L529" s="45"/>
      <c r="M529" s="6"/>
    </row>
    <row r="530" spans="1:13" hidden="1" x14ac:dyDescent="0.25">
      <c r="A530" s="43" t="s">
        <v>417</v>
      </c>
      <c r="B530" s="6"/>
      <c r="C530" s="73" t="s">
        <v>48</v>
      </c>
      <c r="D530" s="6" t="s">
        <v>2</v>
      </c>
      <c r="E530" s="7" t="s">
        <v>74</v>
      </c>
      <c r="F530" s="7"/>
      <c r="G530" s="6"/>
      <c r="H530" s="6"/>
      <c r="I530" s="8">
        <v>45997</v>
      </c>
      <c r="J530" s="6"/>
      <c r="K530" s="6"/>
      <c r="L530" s="45"/>
      <c r="M530" s="6"/>
    </row>
    <row r="531" spans="1:13" hidden="1" x14ac:dyDescent="0.25">
      <c r="A531" s="43" t="s">
        <v>418</v>
      </c>
      <c r="B531" s="6"/>
      <c r="C531" s="73" t="s">
        <v>48</v>
      </c>
      <c r="D531" s="6" t="s">
        <v>2</v>
      </c>
      <c r="E531" s="7" t="s">
        <v>74</v>
      </c>
      <c r="F531" s="7"/>
      <c r="G531" s="6"/>
      <c r="H531" s="6"/>
      <c r="I531" s="8">
        <v>45997</v>
      </c>
      <c r="J531" s="6"/>
      <c r="K531" s="6"/>
      <c r="L531" s="45"/>
      <c r="M531" s="6"/>
    </row>
    <row r="532" spans="1:13" hidden="1" x14ac:dyDescent="0.25">
      <c r="A532" s="43" t="s">
        <v>419</v>
      </c>
      <c r="B532" s="6"/>
      <c r="C532" s="73" t="s">
        <v>48</v>
      </c>
      <c r="D532" s="6" t="s">
        <v>2</v>
      </c>
      <c r="E532" s="7" t="s">
        <v>74</v>
      </c>
      <c r="F532" s="7"/>
      <c r="G532" s="6"/>
      <c r="H532" s="6"/>
      <c r="I532" s="8">
        <v>45997</v>
      </c>
      <c r="J532" s="6"/>
      <c r="K532" s="6"/>
      <c r="L532" s="45"/>
      <c r="M532" s="6"/>
    </row>
    <row r="533" spans="1:13" hidden="1" x14ac:dyDescent="0.25">
      <c r="A533" s="43" t="s">
        <v>420</v>
      </c>
      <c r="B533" s="6"/>
      <c r="C533" s="73" t="s">
        <v>48</v>
      </c>
      <c r="D533" s="6" t="s">
        <v>2</v>
      </c>
      <c r="E533" s="7" t="s">
        <v>74</v>
      </c>
      <c r="F533" s="7"/>
      <c r="G533" s="6"/>
      <c r="H533" s="6"/>
      <c r="I533" s="8">
        <v>45997</v>
      </c>
      <c r="J533" s="6"/>
      <c r="K533" s="6"/>
      <c r="L533" s="45"/>
      <c r="M533" s="6"/>
    </row>
    <row r="534" spans="1:13" hidden="1" x14ac:dyDescent="0.25">
      <c r="A534" s="43" t="s">
        <v>421</v>
      </c>
      <c r="B534" s="6"/>
      <c r="C534" s="73" t="s">
        <v>48</v>
      </c>
      <c r="D534" s="6" t="s">
        <v>2</v>
      </c>
      <c r="E534" s="7" t="s">
        <v>74</v>
      </c>
      <c r="F534" s="7"/>
      <c r="G534" s="6"/>
      <c r="H534" s="6"/>
      <c r="I534" s="8">
        <v>45997</v>
      </c>
      <c r="J534" s="6"/>
      <c r="K534" s="6"/>
      <c r="L534" s="45"/>
      <c r="M534" s="6"/>
    </row>
    <row r="535" spans="1:13" hidden="1" x14ac:dyDescent="0.25">
      <c r="A535" s="43" t="s">
        <v>422</v>
      </c>
      <c r="B535" s="6"/>
      <c r="C535" s="73" t="s">
        <v>48</v>
      </c>
      <c r="D535" s="6" t="s">
        <v>2</v>
      </c>
      <c r="E535" s="7" t="s">
        <v>74</v>
      </c>
      <c r="F535" s="7"/>
      <c r="G535" s="6"/>
      <c r="H535" s="6"/>
      <c r="I535" s="8">
        <v>45997</v>
      </c>
      <c r="J535" s="6"/>
      <c r="K535" s="6"/>
      <c r="L535" s="45"/>
      <c r="M535" s="6"/>
    </row>
    <row r="536" spans="1:13" hidden="1" x14ac:dyDescent="0.25">
      <c r="A536" s="43" t="s">
        <v>423</v>
      </c>
      <c r="B536" s="6"/>
      <c r="C536" s="73" t="s">
        <v>48</v>
      </c>
      <c r="D536" s="6" t="s">
        <v>2</v>
      </c>
      <c r="E536" s="7" t="s">
        <v>74</v>
      </c>
      <c r="F536" s="7"/>
      <c r="G536" s="6"/>
      <c r="H536" s="6"/>
      <c r="I536" s="8">
        <v>45997</v>
      </c>
      <c r="J536" s="6"/>
      <c r="K536" s="6"/>
      <c r="L536" s="45"/>
      <c r="M536" s="6"/>
    </row>
    <row r="537" spans="1:13" hidden="1" x14ac:dyDescent="0.25">
      <c r="A537" s="43" t="s">
        <v>424</v>
      </c>
      <c r="B537" s="6"/>
      <c r="C537" s="73" t="s">
        <v>48</v>
      </c>
      <c r="D537" s="6" t="s">
        <v>2</v>
      </c>
      <c r="E537" s="7" t="s">
        <v>74</v>
      </c>
      <c r="F537" s="7"/>
      <c r="G537" s="6"/>
      <c r="H537" s="6"/>
      <c r="I537" s="8">
        <v>45997</v>
      </c>
      <c r="J537" s="6"/>
      <c r="K537" s="6"/>
      <c r="L537" s="45"/>
      <c r="M537" s="6"/>
    </row>
    <row r="538" spans="1:13" hidden="1" x14ac:dyDescent="0.25">
      <c r="A538" s="43" t="s">
        <v>425</v>
      </c>
      <c r="B538" s="6"/>
      <c r="C538" s="73" t="s">
        <v>48</v>
      </c>
      <c r="D538" s="6" t="s">
        <v>2</v>
      </c>
      <c r="E538" s="7" t="s">
        <v>74</v>
      </c>
      <c r="F538" s="7"/>
      <c r="G538" s="6"/>
      <c r="H538" s="6"/>
      <c r="I538" s="8">
        <v>45997</v>
      </c>
      <c r="J538" s="6"/>
      <c r="K538" s="6"/>
      <c r="L538" s="45"/>
      <c r="M538" s="6"/>
    </row>
    <row r="539" spans="1:13" hidden="1" x14ac:dyDescent="0.25">
      <c r="A539" s="43" t="s">
        <v>426</v>
      </c>
      <c r="B539" s="6"/>
      <c r="C539" s="73" t="s">
        <v>48</v>
      </c>
      <c r="D539" s="6" t="s">
        <v>2</v>
      </c>
      <c r="E539" s="7" t="s">
        <v>74</v>
      </c>
      <c r="F539" s="7"/>
      <c r="G539" s="6"/>
      <c r="H539" s="6"/>
      <c r="I539" s="8">
        <v>45997</v>
      </c>
      <c r="J539" s="6"/>
      <c r="K539" s="6"/>
      <c r="L539" s="45"/>
      <c r="M539" s="6"/>
    </row>
    <row r="540" spans="1:13" hidden="1" x14ac:dyDescent="0.25">
      <c r="A540" s="43" t="s">
        <v>427</v>
      </c>
      <c r="B540" s="6"/>
      <c r="C540" s="73" t="s">
        <v>48</v>
      </c>
      <c r="D540" s="6" t="s">
        <v>2</v>
      </c>
      <c r="E540" s="7" t="s">
        <v>74</v>
      </c>
      <c r="F540" s="7"/>
      <c r="G540" s="6"/>
      <c r="H540" s="6"/>
      <c r="I540" s="8">
        <v>45997</v>
      </c>
      <c r="J540" s="6"/>
      <c r="K540" s="6"/>
      <c r="L540" s="45"/>
      <c r="M540" s="6"/>
    </row>
    <row r="541" spans="1:13" hidden="1" x14ac:dyDescent="0.25">
      <c r="A541" s="43" t="s">
        <v>428</v>
      </c>
      <c r="B541" s="6"/>
      <c r="C541" s="73" t="s">
        <v>48</v>
      </c>
      <c r="D541" s="6" t="s">
        <v>2</v>
      </c>
      <c r="E541" s="7" t="s">
        <v>74</v>
      </c>
      <c r="F541" s="7"/>
      <c r="G541" s="6"/>
      <c r="H541" s="6"/>
      <c r="I541" s="8">
        <v>45997</v>
      </c>
      <c r="J541" s="6"/>
      <c r="K541" s="6"/>
      <c r="L541" s="45"/>
      <c r="M541" s="6"/>
    </row>
    <row r="542" spans="1:13" hidden="1" x14ac:dyDescent="0.25">
      <c r="A542" s="43" t="s">
        <v>429</v>
      </c>
      <c r="B542" s="6"/>
      <c r="C542" s="73" t="s">
        <v>48</v>
      </c>
      <c r="D542" s="6" t="s">
        <v>2</v>
      </c>
      <c r="E542" s="7" t="s">
        <v>74</v>
      </c>
      <c r="F542" s="7"/>
      <c r="G542" s="6"/>
      <c r="H542" s="6"/>
      <c r="I542" s="8">
        <v>45997</v>
      </c>
      <c r="J542" s="6"/>
      <c r="K542" s="6"/>
      <c r="L542" s="45"/>
      <c r="M542" s="6"/>
    </row>
    <row r="543" spans="1:13" hidden="1" x14ac:dyDescent="0.25">
      <c r="A543" s="43" t="s">
        <v>430</v>
      </c>
      <c r="B543" s="6"/>
      <c r="C543" s="73" t="s">
        <v>48</v>
      </c>
      <c r="D543" s="6" t="s">
        <v>2</v>
      </c>
      <c r="E543" s="7" t="s">
        <v>74</v>
      </c>
      <c r="F543" s="7"/>
      <c r="G543" s="6"/>
      <c r="H543" s="6"/>
      <c r="I543" s="8">
        <v>45997</v>
      </c>
      <c r="J543" s="6"/>
      <c r="K543" s="6"/>
      <c r="L543" s="45"/>
      <c r="M543" s="6"/>
    </row>
    <row r="544" spans="1:13" hidden="1" x14ac:dyDescent="0.25">
      <c r="A544" s="43" t="s">
        <v>431</v>
      </c>
      <c r="B544" s="6"/>
      <c r="C544" s="73" t="s">
        <v>48</v>
      </c>
      <c r="D544" s="6" t="s">
        <v>2</v>
      </c>
      <c r="E544" s="7" t="s">
        <v>74</v>
      </c>
      <c r="F544" s="7"/>
      <c r="G544" s="6"/>
      <c r="H544" s="6"/>
      <c r="I544" s="8">
        <v>45997</v>
      </c>
      <c r="J544" s="6"/>
      <c r="K544" s="6"/>
      <c r="L544" s="45"/>
      <c r="M544" s="6"/>
    </row>
    <row r="545" spans="1:13" hidden="1" x14ac:dyDescent="0.25">
      <c r="A545" s="43" t="s">
        <v>432</v>
      </c>
      <c r="B545" s="6"/>
      <c r="C545" s="73" t="s">
        <v>48</v>
      </c>
      <c r="D545" s="6" t="s">
        <v>2</v>
      </c>
      <c r="E545" s="7" t="s">
        <v>74</v>
      </c>
      <c r="F545" s="7"/>
      <c r="G545" s="6"/>
      <c r="H545" s="6"/>
      <c r="I545" s="8">
        <v>45997</v>
      </c>
      <c r="J545" s="6"/>
      <c r="K545" s="6"/>
      <c r="L545" s="45"/>
      <c r="M545" s="6"/>
    </row>
    <row r="546" spans="1:13" hidden="1" x14ac:dyDescent="0.25">
      <c r="A546" s="43" t="s">
        <v>433</v>
      </c>
      <c r="B546" s="6"/>
      <c r="C546" s="73" t="s">
        <v>48</v>
      </c>
      <c r="D546" s="6" t="s">
        <v>2</v>
      </c>
      <c r="E546" s="7" t="s">
        <v>76</v>
      </c>
      <c r="F546" s="7"/>
      <c r="G546" s="6"/>
      <c r="H546" s="6"/>
      <c r="I546" s="8">
        <v>45997</v>
      </c>
      <c r="J546" s="6"/>
      <c r="K546" s="6"/>
      <c r="L546" s="45"/>
      <c r="M546" s="6"/>
    </row>
    <row r="547" spans="1:13" hidden="1" x14ac:dyDescent="0.25">
      <c r="A547" s="43" t="s">
        <v>434</v>
      </c>
      <c r="B547" s="6"/>
      <c r="C547" s="73" t="s">
        <v>48</v>
      </c>
      <c r="D547" s="6" t="s">
        <v>2</v>
      </c>
      <c r="E547" s="7" t="s">
        <v>74</v>
      </c>
      <c r="F547" s="7"/>
      <c r="G547" s="6"/>
      <c r="H547" s="6"/>
      <c r="I547" s="8">
        <v>45997</v>
      </c>
      <c r="J547" s="6"/>
      <c r="K547" s="6"/>
      <c r="L547" s="45"/>
      <c r="M547" s="6"/>
    </row>
    <row r="548" spans="1:13" hidden="1" x14ac:dyDescent="0.25">
      <c r="A548" s="43" t="s">
        <v>435</v>
      </c>
      <c r="B548" s="6"/>
      <c r="C548" s="73" t="s">
        <v>48</v>
      </c>
      <c r="D548" s="6" t="s">
        <v>2</v>
      </c>
      <c r="E548" s="7" t="s">
        <v>74</v>
      </c>
      <c r="F548" s="7"/>
      <c r="G548" s="6"/>
      <c r="H548" s="6"/>
      <c r="I548" s="8">
        <v>45997</v>
      </c>
      <c r="J548" s="6"/>
      <c r="K548" s="6"/>
      <c r="L548" s="45"/>
      <c r="M548" s="6"/>
    </row>
    <row r="549" spans="1:13" hidden="1" x14ac:dyDescent="0.25">
      <c r="A549" s="43" t="s">
        <v>436</v>
      </c>
      <c r="B549" s="6"/>
      <c r="C549" s="73" t="s">
        <v>48</v>
      </c>
      <c r="D549" s="6" t="s">
        <v>2</v>
      </c>
      <c r="E549" s="7" t="s">
        <v>74</v>
      </c>
      <c r="F549" s="7"/>
      <c r="G549" s="6"/>
      <c r="H549" s="6"/>
      <c r="I549" s="8">
        <v>45997</v>
      </c>
      <c r="J549" s="6"/>
      <c r="K549" s="6"/>
      <c r="L549" s="45"/>
      <c r="M549" s="6"/>
    </row>
    <row r="550" spans="1:13" hidden="1" x14ac:dyDescent="0.25">
      <c r="A550" s="43" t="s">
        <v>437</v>
      </c>
      <c r="B550" s="6"/>
      <c r="C550" s="73" t="s">
        <v>48</v>
      </c>
      <c r="D550" s="6" t="s">
        <v>2</v>
      </c>
      <c r="E550" s="7" t="s">
        <v>74</v>
      </c>
      <c r="F550" s="7"/>
      <c r="G550" s="6"/>
      <c r="H550" s="6"/>
      <c r="I550" s="8">
        <v>45997</v>
      </c>
      <c r="J550" s="6"/>
      <c r="K550" s="6"/>
      <c r="L550" s="45"/>
      <c r="M550" s="6"/>
    </row>
    <row r="551" spans="1:13" hidden="1" x14ac:dyDescent="0.25">
      <c r="A551" s="43" t="s">
        <v>438</v>
      </c>
      <c r="B551" s="6"/>
      <c r="C551" s="73" t="s">
        <v>48</v>
      </c>
      <c r="D551" s="6" t="s">
        <v>2</v>
      </c>
      <c r="E551" s="7" t="s">
        <v>74</v>
      </c>
      <c r="F551" s="7"/>
      <c r="G551" s="6"/>
      <c r="H551" s="6"/>
      <c r="I551" s="8">
        <v>45997</v>
      </c>
      <c r="J551" s="6"/>
      <c r="K551" s="6"/>
      <c r="L551" s="45"/>
      <c r="M551" s="6"/>
    </row>
    <row r="552" spans="1:13" hidden="1" x14ac:dyDescent="0.25">
      <c r="A552" s="43" t="s">
        <v>439</v>
      </c>
      <c r="B552" s="6"/>
      <c r="C552" s="73" t="s">
        <v>48</v>
      </c>
      <c r="D552" s="6" t="s">
        <v>2</v>
      </c>
      <c r="E552" s="7" t="s">
        <v>74</v>
      </c>
      <c r="F552" s="7"/>
      <c r="G552" s="6"/>
      <c r="H552" s="6"/>
      <c r="I552" s="8">
        <v>45997</v>
      </c>
      <c r="J552" s="6"/>
      <c r="K552" s="6"/>
      <c r="L552" s="45"/>
      <c r="M552" s="6"/>
    </row>
    <row r="553" spans="1:13" hidden="1" x14ac:dyDescent="0.25">
      <c r="A553" s="43" t="s">
        <v>440</v>
      </c>
      <c r="B553" s="6"/>
      <c r="C553" s="73" t="s">
        <v>48</v>
      </c>
      <c r="D553" s="6" t="s">
        <v>2</v>
      </c>
      <c r="E553" s="7" t="s">
        <v>74</v>
      </c>
      <c r="F553" s="7"/>
      <c r="G553" s="6"/>
      <c r="H553" s="6"/>
      <c r="I553" s="8">
        <v>45997</v>
      </c>
      <c r="J553" s="6"/>
      <c r="K553" s="6"/>
      <c r="L553" s="45"/>
      <c r="M553" s="6"/>
    </row>
    <row r="554" spans="1:13" hidden="1" x14ac:dyDescent="0.25">
      <c r="A554" s="43" t="s">
        <v>441</v>
      </c>
      <c r="B554" s="6"/>
      <c r="C554" s="73" t="s">
        <v>48</v>
      </c>
      <c r="D554" s="6" t="s">
        <v>2</v>
      </c>
      <c r="E554" s="7" t="s">
        <v>74</v>
      </c>
      <c r="F554" s="7"/>
      <c r="G554" s="6"/>
      <c r="H554" s="6"/>
      <c r="I554" s="8">
        <v>45997</v>
      </c>
      <c r="J554" s="6"/>
      <c r="K554" s="6"/>
      <c r="L554" s="45"/>
      <c r="M554" s="6"/>
    </row>
    <row r="555" spans="1:13" hidden="1" x14ac:dyDescent="0.25">
      <c r="A555" s="43" t="s">
        <v>442</v>
      </c>
      <c r="B555" s="6"/>
      <c r="C555" s="73" t="s">
        <v>48</v>
      </c>
      <c r="D555" s="6" t="s">
        <v>2</v>
      </c>
      <c r="E555" s="7" t="s">
        <v>74</v>
      </c>
      <c r="F555" s="7"/>
      <c r="G555" s="6"/>
      <c r="H555" s="6"/>
      <c r="I555" s="8">
        <v>45997</v>
      </c>
      <c r="J555" s="6"/>
      <c r="K555" s="6"/>
      <c r="L555" s="45"/>
      <c r="M555" s="6"/>
    </row>
    <row r="556" spans="1:13" hidden="1" x14ac:dyDescent="0.25">
      <c r="A556" s="43" t="s">
        <v>443</v>
      </c>
      <c r="B556" s="6"/>
      <c r="C556" s="73" t="s">
        <v>48</v>
      </c>
      <c r="D556" s="6" t="s">
        <v>2</v>
      </c>
      <c r="E556" s="7" t="s">
        <v>74</v>
      </c>
      <c r="F556" s="7"/>
      <c r="G556" s="6"/>
      <c r="H556" s="6"/>
      <c r="I556" s="8">
        <v>45997</v>
      </c>
      <c r="J556" s="6"/>
      <c r="K556" s="6"/>
      <c r="L556" s="45"/>
      <c r="M556" s="6"/>
    </row>
    <row r="557" spans="1:13" hidden="1" x14ac:dyDescent="0.25">
      <c r="A557" s="43" t="s">
        <v>444</v>
      </c>
      <c r="B557" s="6"/>
      <c r="C557" s="73" t="s">
        <v>48</v>
      </c>
      <c r="D557" s="6" t="s">
        <v>2</v>
      </c>
      <c r="E557" s="7" t="s">
        <v>74</v>
      </c>
      <c r="F557" s="7"/>
      <c r="G557" s="6"/>
      <c r="H557" s="6"/>
      <c r="I557" s="8">
        <v>45997</v>
      </c>
      <c r="J557" s="6"/>
      <c r="K557" s="6"/>
      <c r="L557" s="45"/>
      <c r="M557" s="6"/>
    </row>
    <row r="558" spans="1:13" hidden="1" x14ac:dyDescent="0.25">
      <c r="A558" s="43" t="s">
        <v>445</v>
      </c>
      <c r="B558" s="6"/>
      <c r="C558" s="73" t="s">
        <v>48</v>
      </c>
      <c r="D558" s="6" t="s">
        <v>2</v>
      </c>
      <c r="E558" s="7" t="s">
        <v>74</v>
      </c>
      <c r="F558" s="7"/>
      <c r="G558" s="6"/>
      <c r="H558" s="6"/>
      <c r="I558" s="8">
        <v>45997</v>
      </c>
      <c r="J558" s="6"/>
      <c r="L558" s="45"/>
      <c r="M558" s="6"/>
    </row>
    <row r="559" spans="1:13" hidden="1" x14ac:dyDescent="0.25">
      <c r="A559" s="43" t="s">
        <v>446</v>
      </c>
      <c r="B559" s="6"/>
      <c r="C559" s="73" t="s">
        <v>48</v>
      </c>
      <c r="D559" s="6" t="s">
        <v>2</v>
      </c>
      <c r="E559" s="7" t="s">
        <v>74</v>
      </c>
      <c r="F559" s="7"/>
      <c r="G559" s="6"/>
      <c r="H559" s="6"/>
      <c r="I559" s="8">
        <v>45997</v>
      </c>
      <c r="J559" s="6"/>
      <c r="K559" s="6"/>
      <c r="L559" s="45"/>
      <c r="M559" s="6"/>
    </row>
    <row r="560" spans="1:13" hidden="1" x14ac:dyDescent="0.25">
      <c r="A560" s="43" t="s">
        <v>447</v>
      </c>
      <c r="B560" s="6"/>
      <c r="C560" s="73" t="s">
        <v>48</v>
      </c>
      <c r="D560" s="6" t="s">
        <v>2</v>
      </c>
      <c r="E560" s="7" t="s">
        <v>74</v>
      </c>
      <c r="F560" s="7"/>
      <c r="G560" s="6"/>
      <c r="H560" s="6"/>
      <c r="I560" s="8">
        <v>45997</v>
      </c>
      <c r="J560" s="6"/>
      <c r="K560" s="6"/>
      <c r="L560" s="45"/>
      <c r="M560" s="6"/>
    </row>
    <row r="561" spans="1:13" hidden="1" x14ac:dyDescent="0.25">
      <c r="A561" s="43" t="s">
        <v>448</v>
      </c>
      <c r="B561" s="6"/>
      <c r="C561" s="73" t="s">
        <v>48</v>
      </c>
      <c r="D561" s="6" t="s">
        <v>2</v>
      </c>
      <c r="E561" s="7" t="s">
        <v>74</v>
      </c>
      <c r="F561" s="7"/>
      <c r="G561" s="6"/>
      <c r="H561" s="6"/>
      <c r="I561" s="8">
        <v>45997</v>
      </c>
      <c r="J561" s="6"/>
      <c r="K561" s="6"/>
      <c r="L561" s="45"/>
      <c r="M561" s="6"/>
    </row>
    <row r="562" spans="1:13" hidden="1" x14ac:dyDescent="0.25">
      <c r="A562" s="43" t="s">
        <v>449</v>
      </c>
      <c r="B562" s="6"/>
      <c r="C562" s="73" t="s">
        <v>48</v>
      </c>
      <c r="D562" s="6" t="s">
        <v>2</v>
      </c>
      <c r="E562" s="7" t="s">
        <v>74</v>
      </c>
      <c r="F562" s="7"/>
      <c r="G562" s="6"/>
      <c r="H562" s="6"/>
      <c r="I562" s="8">
        <v>45997</v>
      </c>
      <c r="J562" s="6"/>
      <c r="K562" s="6"/>
      <c r="L562" s="45"/>
      <c r="M562" s="6"/>
    </row>
    <row r="563" spans="1:13" hidden="1" x14ac:dyDescent="0.25">
      <c r="A563" s="43" t="s">
        <v>450</v>
      </c>
      <c r="B563" s="6"/>
      <c r="C563" s="73" t="s">
        <v>48</v>
      </c>
      <c r="D563" s="6" t="s">
        <v>2</v>
      </c>
      <c r="E563" s="7" t="s">
        <v>74</v>
      </c>
      <c r="F563" s="7"/>
      <c r="G563" s="6"/>
      <c r="H563" s="6"/>
      <c r="I563" s="8">
        <v>45997</v>
      </c>
      <c r="J563" s="6"/>
      <c r="K563" s="6"/>
      <c r="L563" s="45"/>
      <c r="M563" s="6"/>
    </row>
    <row r="564" spans="1:13" hidden="1" x14ac:dyDescent="0.25">
      <c r="A564" s="43" t="s">
        <v>451</v>
      </c>
      <c r="B564" s="6"/>
      <c r="C564" s="73" t="s">
        <v>48</v>
      </c>
      <c r="D564" s="6" t="s">
        <v>2</v>
      </c>
      <c r="E564" s="7" t="s">
        <v>74</v>
      </c>
      <c r="F564" s="7"/>
      <c r="G564" s="6"/>
      <c r="H564" s="6"/>
      <c r="I564" s="8">
        <v>45997</v>
      </c>
      <c r="J564" s="6"/>
      <c r="K564" s="6"/>
      <c r="L564" s="45"/>
      <c r="M564" s="6"/>
    </row>
    <row r="565" spans="1:13" hidden="1" x14ac:dyDescent="0.25">
      <c r="A565" s="43" t="s">
        <v>452</v>
      </c>
      <c r="B565" s="6"/>
      <c r="C565" s="73" t="s">
        <v>48</v>
      </c>
      <c r="D565" s="6" t="s">
        <v>2</v>
      </c>
      <c r="E565" s="7" t="s">
        <v>74</v>
      </c>
      <c r="F565" s="7"/>
      <c r="G565" s="6"/>
      <c r="H565" s="6"/>
      <c r="I565" s="8">
        <v>45997</v>
      </c>
      <c r="J565" s="6"/>
      <c r="K565" s="6"/>
      <c r="L565" s="45"/>
      <c r="M565" s="6"/>
    </row>
    <row r="566" spans="1:13" hidden="1" x14ac:dyDescent="0.25">
      <c r="A566" s="43" t="s">
        <v>453</v>
      </c>
      <c r="B566" s="6"/>
      <c r="C566" s="73" t="s">
        <v>48</v>
      </c>
      <c r="D566" s="6" t="s">
        <v>2</v>
      </c>
      <c r="E566" s="7" t="s">
        <v>74</v>
      </c>
      <c r="F566" s="7"/>
      <c r="G566" s="6"/>
      <c r="H566" s="6"/>
      <c r="I566" s="8">
        <v>45997</v>
      </c>
      <c r="J566" s="6"/>
      <c r="K566" s="6"/>
      <c r="L566" s="45"/>
      <c r="M566" s="6"/>
    </row>
    <row r="567" spans="1:13" hidden="1" x14ac:dyDescent="0.25">
      <c r="A567" s="43" t="s">
        <v>454</v>
      </c>
      <c r="B567" s="6"/>
      <c r="C567" s="73" t="s">
        <v>48</v>
      </c>
      <c r="D567" s="6" t="s">
        <v>2</v>
      </c>
      <c r="E567" s="7" t="s">
        <v>74</v>
      </c>
      <c r="F567" s="7"/>
      <c r="G567" s="6"/>
      <c r="H567" s="6"/>
      <c r="I567" s="8">
        <v>45997</v>
      </c>
      <c r="J567" s="6"/>
      <c r="K567" s="6"/>
      <c r="L567" s="45"/>
      <c r="M567" s="6"/>
    </row>
    <row r="568" spans="1:13" hidden="1" x14ac:dyDescent="0.25">
      <c r="A568" s="43" t="s">
        <v>455</v>
      </c>
      <c r="B568" s="6"/>
      <c r="C568" s="73" t="s">
        <v>48</v>
      </c>
      <c r="D568" s="6" t="s">
        <v>2</v>
      </c>
      <c r="E568" s="7" t="s">
        <v>74</v>
      </c>
      <c r="F568" s="7"/>
      <c r="G568" s="6"/>
      <c r="H568" s="6"/>
      <c r="I568" s="8">
        <v>45997</v>
      </c>
      <c r="J568" s="6"/>
      <c r="K568" s="6"/>
      <c r="L568" s="45"/>
      <c r="M568" s="6"/>
    </row>
    <row r="569" spans="1:13" hidden="1" x14ac:dyDescent="0.25">
      <c r="A569" s="43" t="s">
        <v>456</v>
      </c>
      <c r="B569" s="6"/>
      <c r="C569" s="73" t="s">
        <v>48</v>
      </c>
      <c r="D569" s="6" t="s">
        <v>2</v>
      </c>
      <c r="E569" s="7" t="s">
        <v>74</v>
      </c>
      <c r="F569" s="7"/>
      <c r="G569" s="6"/>
      <c r="H569" s="6"/>
      <c r="I569" s="8">
        <v>45997</v>
      </c>
      <c r="J569" s="6"/>
      <c r="K569" s="6"/>
      <c r="L569" s="45"/>
      <c r="M569" s="6"/>
    </row>
    <row r="570" spans="1:13" hidden="1" x14ac:dyDescent="0.25">
      <c r="A570" s="43" t="s">
        <v>457</v>
      </c>
      <c r="B570" s="6"/>
      <c r="C570" s="73" t="s">
        <v>48</v>
      </c>
      <c r="D570" s="6" t="s">
        <v>2</v>
      </c>
      <c r="E570" s="7" t="s">
        <v>74</v>
      </c>
      <c r="F570" s="7"/>
      <c r="G570" s="6"/>
      <c r="H570" s="6"/>
      <c r="I570" s="8">
        <v>45997</v>
      </c>
      <c r="J570" s="6"/>
      <c r="K570" s="6"/>
      <c r="L570" s="45"/>
      <c r="M570" s="6"/>
    </row>
    <row r="571" spans="1:13" hidden="1" x14ac:dyDescent="0.25">
      <c r="A571" s="43" t="s">
        <v>458</v>
      </c>
      <c r="B571" s="6"/>
      <c r="C571" s="73" t="s">
        <v>48</v>
      </c>
      <c r="D571" s="6" t="s">
        <v>2</v>
      </c>
      <c r="E571" s="7" t="s">
        <v>74</v>
      </c>
      <c r="F571" s="7"/>
      <c r="G571" s="6"/>
      <c r="H571" s="6"/>
      <c r="I571" s="8">
        <v>45997</v>
      </c>
      <c r="J571" s="6"/>
      <c r="K571" s="6"/>
      <c r="L571" s="45"/>
      <c r="M571" s="6"/>
    </row>
    <row r="572" spans="1:13" hidden="1" x14ac:dyDescent="0.25">
      <c r="A572" s="43" t="s">
        <v>459</v>
      </c>
      <c r="B572" s="6"/>
      <c r="C572" s="73" t="s">
        <v>48</v>
      </c>
      <c r="D572" s="6" t="s">
        <v>2</v>
      </c>
      <c r="E572" s="7" t="s">
        <v>74</v>
      </c>
      <c r="F572" s="7"/>
      <c r="G572" s="6"/>
      <c r="H572" s="6"/>
      <c r="I572" s="8">
        <v>45997</v>
      </c>
      <c r="J572" s="6"/>
      <c r="K572" s="6"/>
      <c r="L572" s="45"/>
      <c r="M572" s="6"/>
    </row>
    <row r="573" spans="1:13" hidden="1" x14ac:dyDescent="0.25">
      <c r="A573" s="43" t="s">
        <v>460</v>
      </c>
      <c r="B573" s="6"/>
      <c r="C573" s="73" t="s">
        <v>48</v>
      </c>
      <c r="D573" s="6" t="s">
        <v>2</v>
      </c>
      <c r="E573" s="7" t="s">
        <v>74</v>
      </c>
      <c r="F573" s="7"/>
      <c r="G573" s="6"/>
      <c r="H573" s="6"/>
      <c r="I573" s="8">
        <v>45997</v>
      </c>
      <c r="J573" s="6"/>
      <c r="K573" s="6"/>
      <c r="L573" s="45"/>
      <c r="M573" s="6"/>
    </row>
    <row r="574" spans="1:13" hidden="1" x14ac:dyDescent="0.25">
      <c r="A574" s="43" t="s">
        <v>461</v>
      </c>
      <c r="B574" s="6"/>
      <c r="C574" s="73" t="s">
        <v>48</v>
      </c>
      <c r="D574" s="6" t="s">
        <v>2</v>
      </c>
      <c r="E574" s="7" t="s">
        <v>74</v>
      </c>
      <c r="F574" s="7"/>
      <c r="G574" s="6"/>
      <c r="H574" s="6"/>
      <c r="I574" s="8">
        <v>45997</v>
      </c>
      <c r="J574" s="6"/>
      <c r="K574" s="6"/>
      <c r="L574" s="45"/>
      <c r="M574" s="6"/>
    </row>
    <row r="575" spans="1:13" hidden="1" x14ac:dyDescent="0.25">
      <c r="A575" s="43" t="s">
        <v>462</v>
      </c>
      <c r="B575" s="6"/>
      <c r="C575" s="73" t="s">
        <v>48</v>
      </c>
      <c r="D575" s="6" t="s">
        <v>2</v>
      </c>
      <c r="E575" s="7" t="s">
        <v>74</v>
      </c>
      <c r="F575" s="7"/>
      <c r="G575" s="6"/>
      <c r="H575" s="6"/>
      <c r="I575" s="8">
        <v>45997</v>
      </c>
      <c r="J575" s="6"/>
      <c r="K575" s="6"/>
      <c r="L575" s="45"/>
      <c r="M575" s="6"/>
    </row>
    <row r="576" spans="1:13" hidden="1" x14ac:dyDescent="0.25">
      <c r="A576" s="43" t="s">
        <v>463</v>
      </c>
      <c r="B576" s="42"/>
      <c r="C576" s="74" t="s">
        <v>49</v>
      </c>
      <c r="D576" s="6" t="s">
        <v>2</v>
      </c>
      <c r="E576" s="7" t="s">
        <v>74</v>
      </c>
      <c r="F576" s="47"/>
      <c r="I576" s="8">
        <v>45997</v>
      </c>
      <c r="K576" s="145" t="s">
        <v>75</v>
      </c>
      <c r="L576" s="45"/>
      <c r="M576" s="6"/>
    </row>
    <row r="577" spans="1:13" hidden="1" x14ac:dyDescent="0.25">
      <c r="A577" s="43" t="s">
        <v>464</v>
      </c>
      <c r="B577" s="42"/>
      <c r="C577" s="74" t="s">
        <v>49</v>
      </c>
      <c r="D577" s="6" t="s">
        <v>2</v>
      </c>
      <c r="E577" s="7" t="s">
        <v>74</v>
      </c>
      <c r="F577" s="47"/>
      <c r="I577" s="8">
        <v>45997</v>
      </c>
      <c r="K577" s="145" t="s">
        <v>75</v>
      </c>
      <c r="L577" s="45"/>
      <c r="M577" s="6"/>
    </row>
    <row r="578" spans="1:13" hidden="1" x14ac:dyDescent="0.25">
      <c r="A578" s="43" t="s">
        <v>465</v>
      </c>
      <c r="B578" s="42"/>
      <c r="C578" s="74" t="s">
        <v>49</v>
      </c>
      <c r="D578" s="6" t="s">
        <v>2</v>
      </c>
      <c r="E578" s="7" t="s">
        <v>74</v>
      </c>
      <c r="F578" s="47"/>
      <c r="I578" s="8">
        <v>45997</v>
      </c>
      <c r="K578" s="145" t="s">
        <v>75</v>
      </c>
      <c r="L578" s="45"/>
      <c r="M578" s="6"/>
    </row>
    <row r="579" spans="1:13" hidden="1" x14ac:dyDescent="0.25">
      <c r="A579" s="43" t="s">
        <v>466</v>
      </c>
      <c r="B579" s="42"/>
      <c r="C579" s="74" t="s">
        <v>49</v>
      </c>
      <c r="D579" s="6" t="s">
        <v>2</v>
      </c>
      <c r="E579" s="7" t="s">
        <v>74</v>
      </c>
      <c r="F579" s="47"/>
      <c r="I579" s="8">
        <v>45997</v>
      </c>
      <c r="K579" s="145" t="s">
        <v>75</v>
      </c>
      <c r="L579" s="45"/>
      <c r="M579" s="6"/>
    </row>
    <row r="580" spans="1:13" hidden="1" x14ac:dyDescent="0.25">
      <c r="A580" s="43" t="s">
        <v>467</v>
      </c>
      <c r="B580" s="42"/>
      <c r="C580" s="74" t="s">
        <v>49</v>
      </c>
      <c r="D580" s="6" t="s">
        <v>2</v>
      </c>
      <c r="E580" s="7" t="s">
        <v>74</v>
      </c>
      <c r="F580" s="47"/>
      <c r="I580" s="8">
        <v>45997</v>
      </c>
      <c r="K580" s="145" t="s">
        <v>75</v>
      </c>
      <c r="L580" s="45"/>
      <c r="M580" s="6"/>
    </row>
    <row r="581" spans="1:13" hidden="1" x14ac:dyDescent="0.25">
      <c r="A581" s="43" t="s">
        <v>468</v>
      </c>
      <c r="B581" s="42"/>
      <c r="C581" s="74" t="s">
        <v>49</v>
      </c>
      <c r="D581" s="6" t="s">
        <v>2</v>
      </c>
      <c r="E581" s="7" t="s">
        <v>74</v>
      </c>
      <c r="F581" s="47"/>
      <c r="I581" s="8">
        <v>45997</v>
      </c>
      <c r="K581" s="145" t="s">
        <v>75</v>
      </c>
      <c r="L581" s="45"/>
      <c r="M581" s="6"/>
    </row>
    <row r="582" spans="1:13" hidden="1" x14ac:dyDescent="0.25">
      <c r="A582" s="43" t="s">
        <v>469</v>
      </c>
      <c r="B582" s="42"/>
      <c r="C582" s="74" t="s">
        <v>49</v>
      </c>
      <c r="D582" s="6" t="s">
        <v>2</v>
      </c>
      <c r="E582" s="7" t="s">
        <v>74</v>
      </c>
      <c r="F582" s="47"/>
      <c r="I582" s="8">
        <v>45997</v>
      </c>
      <c r="K582" s="145" t="s">
        <v>75</v>
      </c>
      <c r="L582" s="45"/>
      <c r="M582" s="6"/>
    </row>
    <row r="583" spans="1:13" hidden="1" x14ac:dyDescent="0.25">
      <c r="A583" s="43" t="s">
        <v>470</v>
      </c>
      <c r="B583" s="42"/>
      <c r="C583" s="74" t="s">
        <v>49</v>
      </c>
      <c r="D583" s="6" t="s">
        <v>2</v>
      </c>
      <c r="E583" s="7" t="s">
        <v>74</v>
      </c>
      <c r="F583" s="47"/>
      <c r="I583" s="8">
        <v>45997</v>
      </c>
      <c r="K583" s="145" t="s">
        <v>75</v>
      </c>
      <c r="L583" s="45"/>
      <c r="M583" s="6"/>
    </row>
    <row r="584" spans="1:13" hidden="1" x14ac:dyDescent="0.25">
      <c r="A584" s="43" t="s">
        <v>471</v>
      </c>
      <c r="B584" s="42"/>
      <c r="C584" s="74" t="s">
        <v>49</v>
      </c>
      <c r="D584" s="6" t="s">
        <v>2</v>
      </c>
      <c r="E584" s="7" t="s">
        <v>74</v>
      </c>
      <c r="F584" s="47"/>
      <c r="I584" s="8">
        <v>45997</v>
      </c>
      <c r="K584" s="145" t="s">
        <v>75</v>
      </c>
      <c r="L584" s="45"/>
      <c r="M584" s="6"/>
    </row>
    <row r="585" spans="1:13" hidden="1" x14ac:dyDescent="0.25">
      <c r="A585" s="43" t="s">
        <v>472</v>
      </c>
      <c r="B585" s="6"/>
      <c r="C585" s="73" t="s">
        <v>165</v>
      </c>
      <c r="D585" s="6" t="s">
        <v>2</v>
      </c>
      <c r="E585" s="7" t="s">
        <v>74</v>
      </c>
      <c r="F585" s="7"/>
      <c r="G585" s="6"/>
      <c r="H585" s="6"/>
      <c r="I585" s="8">
        <v>45997</v>
      </c>
      <c r="J585" s="6"/>
      <c r="K585" s="6"/>
      <c r="L585" s="45"/>
      <c r="M585" s="6"/>
    </row>
    <row r="586" spans="1:13" hidden="1" x14ac:dyDescent="0.25">
      <c r="A586" s="43" t="s">
        <v>473</v>
      </c>
      <c r="B586" s="6"/>
      <c r="C586" s="73" t="s">
        <v>165</v>
      </c>
      <c r="D586" s="6" t="s">
        <v>2</v>
      </c>
      <c r="E586" s="7" t="s">
        <v>74</v>
      </c>
      <c r="F586" s="7"/>
      <c r="G586" s="6"/>
      <c r="H586" s="6"/>
      <c r="I586" s="8">
        <v>45997</v>
      </c>
      <c r="J586" s="6"/>
      <c r="K586" s="6"/>
      <c r="L586" s="45"/>
      <c r="M586" s="6"/>
    </row>
    <row r="587" spans="1:13" hidden="1" x14ac:dyDescent="0.25">
      <c r="A587" s="43" t="s">
        <v>474</v>
      </c>
      <c r="B587" s="6"/>
      <c r="C587" s="73" t="s">
        <v>165</v>
      </c>
      <c r="D587" s="6" t="s">
        <v>2</v>
      </c>
      <c r="E587" s="7" t="s">
        <v>74</v>
      </c>
      <c r="F587" s="7"/>
      <c r="G587" s="6"/>
      <c r="H587" s="6"/>
      <c r="I587" s="8">
        <v>45997</v>
      </c>
      <c r="J587" s="6"/>
      <c r="K587" s="6"/>
      <c r="L587" s="45"/>
      <c r="M587" s="6"/>
    </row>
    <row r="588" spans="1:13" hidden="1" x14ac:dyDescent="0.25">
      <c r="A588" s="43" t="s">
        <v>475</v>
      </c>
      <c r="B588" s="6"/>
      <c r="C588" s="73" t="s">
        <v>165</v>
      </c>
      <c r="D588" s="6" t="s">
        <v>2</v>
      </c>
      <c r="E588" s="7" t="s">
        <v>74</v>
      </c>
      <c r="F588" s="7"/>
      <c r="G588" s="6"/>
      <c r="H588" s="6"/>
      <c r="I588" s="8">
        <v>45997</v>
      </c>
      <c r="J588" s="6"/>
      <c r="K588" s="6"/>
      <c r="L588" s="45"/>
      <c r="M588" s="6"/>
    </row>
    <row r="589" spans="1:13" hidden="1" x14ac:dyDescent="0.25">
      <c r="A589" s="43" t="s">
        <v>476</v>
      </c>
      <c r="B589" s="6"/>
      <c r="C589" s="73" t="s">
        <v>165</v>
      </c>
      <c r="D589" s="6" t="s">
        <v>2</v>
      </c>
      <c r="E589" s="7" t="s">
        <v>74</v>
      </c>
      <c r="F589" s="7"/>
      <c r="G589" s="6"/>
      <c r="H589" s="6"/>
      <c r="I589" s="8">
        <v>45997</v>
      </c>
      <c r="J589" s="6"/>
      <c r="K589" s="6"/>
      <c r="L589" s="45"/>
      <c r="M589" s="6"/>
    </row>
    <row r="590" spans="1:13" hidden="1" x14ac:dyDescent="0.25">
      <c r="A590" s="43" t="s">
        <v>477</v>
      </c>
      <c r="B590" s="6"/>
      <c r="C590" s="73" t="s">
        <v>165</v>
      </c>
      <c r="D590" s="6" t="s">
        <v>2</v>
      </c>
      <c r="E590" s="7" t="s">
        <v>74</v>
      </c>
      <c r="F590" s="7"/>
      <c r="G590" s="6"/>
      <c r="H590" s="6"/>
      <c r="I590" s="8">
        <v>45997</v>
      </c>
      <c r="J590" s="6"/>
      <c r="K590" s="6"/>
      <c r="L590" s="45"/>
      <c r="M590" s="6"/>
    </row>
    <row r="591" spans="1:13" hidden="1" x14ac:dyDescent="0.25">
      <c r="A591" s="43" t="s">
        <v>478</v>
      </c>
      <c r="B591" s="6"/>
      <c r="C591" s="73" t="s">
        <v>165</v>
      </c>
      <c r="D591" s="6" t="s">
        <v>2</v>
      </c>
      <c r="E591" s="7" t="s">
        <v>74</v>
      </c>
      <c r="F591" s="7"/>
      <c r="G591" s="6"/>
      <c r="H591" s="6"/>
      <c r="I591" s="8">
        <v>45997</v>
      </c>
      <c r="J591" s="6"/>
      <c r="K591" s="6"/>
      <c r="L591" s="45"/>
      <c r="M591" s="6"/>
    </row>
    <row r="592" spans="1:13" hidden="1" x14ac:dyDescent="0.25">
      <c r="A592" s="43" t="s">
        <v>479</v>
      </c>
      <c r="B592" s="6"/>
      <c r="C592" s="73" t="s">
        <v>165</v>
      </c>
      <c r="D592" s="6" t="s">
        <v>2</v>
      </c>
      <c r="E592" s="7" t="s">
        <v>74</v>
      </c>
      <c r="F592" s="7"/>
      <c r="G592" s="6"/>
      <c r="H592" s="6"/>
      <c r="I592" s="8">
        <v>45997</v>
      </c>
      <c r="J592" s="6"/>
      <c r="K592" s="6"/>
      <c r="L592" s="45"/>
      <c r="M592" s="6"/>
    </row>
    <row r="593" spans="1:13" hidden="1" x14ac:dyDescent="0.25">
      <c r="A593" s="43" t="s">
        <v>480</v>
      </c>
      <c r="B593" s="6"/>
      <c r="C593" s="73" t="s">
        <v>165</v>
      </c>
      <c r="D593" s="6" t="s">
        <v>2</v>
      </c>
      <c r="E593" s="7" t="s">
        <v>74</v>
      </c>
      <c r="F593" s="7"/>
      <c r="G593" s="6"/>
      <c r="H593" s="6"/>
      <c r="I593" s="8">
        <v>45997</v>
      </c>
      <c r="J593" s="6"/>
      <c r="K593" s="6"/>
      <c r="L593" s="45"/>
      <c r="M593" s="6"/>
    </row>
    <row r="594" spans="1:13" hidden="1" x14ac:dyDescent="0.25">
      <c r="A594" s="43" t="s">
        <v>481</v>
      </c>
      <c r="B594" s="6"/>
      <c r="C594" s="73" t="s">
        <v>165</v>
      </c>
      <c r="D594" s="6" t="s">
        <v>2</v>
      </c>
      <c r="E594" s="7" t="s">
        <v>74</v>
      </c>
      <c r="F594" s="7"/>
      <c r="G594" s="6"/>
      <c r="H594" s="6"/>
      <c r="I594" s="8">
        <v>45997</v>
      </c>
      <c r="J594" s="6"/>
      <c r="K594" s="6"/>
      <c r="L594" s="45"/>
      <c r="M594" s="6"/>
    </row>
    <row r="595" spans="1:13" hidden="1" x14ac:dyDescent="0.25">
      <c r="A595" s="67" t="s">
        <v>482</v>
      </c>
      <c r="B595" s="6"/>
      <c r="C595" s="73" t="s">
        <v>165</v>
      </c>
      <c r="D595" s="6" t="s">
        <v>2</v>
      </c>
      <c r="E595" s="7" t="s">
        <v>74</v>
      </c>
      <c r="F595" s="7"/>
      <c r="G595" s="6"/>
      <c r="H595" s="6"/>
      <c r="I595" s="8">
        <v>45997</v>
      </c>
      <c r="J595" s="6"/>
      <c r="K595" s="6"/>
      <c r="L595" s="45"/>
      <c r="M595" s="6"/>
    </row>
    <row r="596" spans="1:13" hidden="1" x14ac:dyDescent="0.25">
      <c r="A596" s="43" t="s">
        <v>483</v>
      </c>
      <c r="B596" s="6"/>
      <c r="C596" s="73" t="s">
        <v>165</v>
      </c>
      <c r="D596" s="6" t="s">
        <v>2</v>
      </c>
      <c r="E596" s="7" t="s">
        <v>74</v>
      </c>
      <c r="F596" s="7"/>
      <c r="G596" s="6"/>
      <c r="H596" s="6"/>
      <c r="I596" s="8">
        <v>45997</v>
      </c>
      <c r="J596" s="6"/>
      <c r="K596" s="6"/>
      <c r="L596" s="45"/>
      <c r="M596" s="6"/>
    </row>
    <row r="597" spans="1:13" hidden="1" x14ac:dyDescent="0.25">
      <c r="A597" s="43" t="s">
        <v>484</v>
      </c>
      <c r="B597" s="6"/>
      <c r="C597" s="73" t="s">
        <v>165</v>
      </c>
      <c r="D597" s="6" t="s">
        <v>2</v>
      </c>
      <c r="E597" s="7" t="s">
        <v>74</v>
      </c>
      <c r="F597" s="7"/>
      <c r="G597" s="6"/>
      <c r="H597" s="6"/>
      <c r="I597" s="8">
        <v>45997</v>
      </c>
      <c r="J597" s="6"/>
      <c r="K597" s="6"/>
      <c r="L597" s="45"/>
      <c r="M597" s="6"/>
    </row>
    <row r="598" spans="1:13" hidden="1" x14ac:dyDescent="0.25">
      <c r="A598" s="43" t="s">
        <v>485</v>
      </c>
      <c r="B598" s="6"/>
      <c r="C598" s="73" t="s">
        <v>165</v>
      </c>
      <c r="D598" s="6" t="s">
        <v>2</v>
      </c>
      <c r="E598" s="7" t="s">
        <v>74</v>
      </c>
      <c r="F598" s="7"/>
      <c r="G598" s="6"/>
      <c r="H598" s="6"/>
      <c r="I598" s="8">
        <v>45997</v>
      </c>
      <c r="J598" s="6"/>
      <c r="K598" s="6"/>
      <c r="L598" s="45"/>
      <c r="M598" s="6"/>
    </row>
    <row r="599" spans="1:13" hidden="1" x14ac:dyDescent="0.25">
      <c r="A599" s="43" t="s">
        <v>486</v>
      </c>
      <c r="B599" s="6"/>
      <c r="C599" s="73" t="s">
        <v>165</v>
      </c>
      <c r="D599" s="6" t="s">
        <v>2</v>
      </c>
      <c r="E599" s="7" t="s">
        <v>74</v>
      </c>
      <c r="F599" s="7"/>
      <c r="G599" s="6"/>
      <c r="H599" s="6"/>
      <c r="I599" s="8">
        <v>45997</v>
      </c>
      <c r="J599" s="6"/>
      <c r="K599" s="6"/>
      <c r="L599" s="45"/>
      <c r="M599" s="6"/>
    </row>
    <row r="600" spans="1:13" hidden="1" x14ac:dyDescent="0.25">
      <c r="A600" s="67" t="s">
        <v>487</v>
      </c>
      <c r="B600" s="6"/>
      <c r="C600" s="73" t="s">
        <v>165</v>
      </c>
      <c r="D600" s="6" t="s">
        <v>2</v>
      </c>
      <c r="E600" s="7" t="s">
        <v>74</v>
      </c>
      <c r="F600" s="7"/>
      <c r="G600" s="6"/>
      <c r="H600" s="6"/>
      <c r="I600" s="8">
        <v>45997</v>
      </c>
      <c r="J600" s="6"/>
      <c r="K600" s="6"/>
      <c r="L600" s="45"/>
      <c r="M600" s="6"/>
    </row>
    <row r="601" spans="1:13" hidden="1" x14ac:dyDescent="0.25">
      <c r="A601" s="43" t="s">
        <v>488</v>
      </c>
      <c r="B601" s="6"/>
      <c r="C601" s="73" t="s">
        <v>165</v>
      </c>
      <c r="D601" s="6" t="s">
        <v>2</v>
      </c>
      <c r="E601" s="7" t="s">
        <v>74</v>
      </c>
      <c r="F601" s="7"/>
      <c r="G601" s="6"/>
      <c r="H601" s="6"/>
      <c r="I601" s="8">
        <v>45997</v>
      </c>
      <c r="J601" s="6"/>
      <c r="K601" s="6"/>
      <c r="L601" s="45"/>
      <c r="M601" s="6"/>
    </row>
    <row r="602" spans="1:13" hidden="1" x14ac:dyDescent="0.25">
      <c r="A602" s="43" t="s">
        <v>489</v>
      </c>
      <c r="B602" s="6"/>
      <c r="C602" s="73" t="s">
        <v>165</v>
      </c>
      <c r="D602" s="6" t="s">
        <v>2</v>
      </c>
      <c r="E602" s="7" t="s">
        <v>74</v>
      </c>
      <c r="F602" s="7"/>
      <c r="G602" s="6"/>
      <c r="H602" s="6"/>
      <c r="I602" s="8">
        <v>45997</v>
      </c>
      <c r="J602" s="6"/>
      <c r="K602" s="6"/>
      <c r="L602" s="45"/>
      <c r="M602" s="6"/>
    </row>
    <row r="603" spans="1:13" hidden="1" x14ac:dyDescent="0.25">
      <c r="A603" s="43" t="s">
        <v>490</v>
      </c>
      <c r="B603" s="6"/>
      <c r="C603" s="73" t="s">
        <v>165</v>
      </c>
      <c r="D603" s="6" t="s">
        <v>2</v>
      </c>
      <c r="E603" s="7" t="s">
        <v>74</v>
      </c>
      <c r="F603" s="7"/>
      <c r="G603" s="6"/>
      <c r="H603" s="6"/>
      <c r="I603" s="8">
        <v>45997</v>
      </c>
      <c r="J603" s="6"/>
      <c r="K603" s="6"/>
      <c r="L603" s="45"/>
      <c r="M603" s="6"/>
    </row>
    <row r="604" spans="1:13" hidden="1" x14ac:dyDescent="0.25">
      <c r="A604" s="67" t="s">
        <v>491</v>
      </c>
      <c r="B604" s="6"/>
      <c r="C604" s="73" t="s">
        <v>165</v>
      </c>
      <c r="D604" s="6" t="s">
        <v>2</v>
      </c>
      <c r="E604" s="7" t="s">
        <v>74</v>
      </c>
      <c r="F604" s="7"/>
      <c r="G604" s="6"/>
      <c r="H604" s="6"/>
      <c r="I604" s="8">
        <v>45997</v>
      </c>
      <c r="J604" s="6"/>
      <c r="K604" s="6"/>
      <c r="L604" s="45"/>
      <c r="M604" s="6"/>
    </row>
    <row r="605" spans="1:13" hidden="1" x14ac:dyDescent="0.25">
      <c r="A605" s="43" t="s">
        <v>492</v>
      </c>
      <c r="B605" s="6"/>
      <c r="C605" s="73" t="s">
        <v>165</v>
      </c>
      <c r="D605" s="6" t="s">
        <v>2</v>
      </c>
      <c r="E605" s="7" t="s">
        <v>74</v>
      </c>
      <c r="F605" s="7"/>
      <c r="G605" s="6"/>
      <c r="H605" s="6"/>
      <c r="I605" s="8">
        <v>45997</v>
      </c>
      <c r="J605" s="6"/>
      <c r="K605" s="6"/>
      <c r="L605" s="45"/>
      <c r="M605" s="6"/>
    </row>
    <row r="606" spans="1:13" hidden="1" x14ac:dyDescent="0.25">
      <c r="A606" s="43" t="s">
        <v>493</v>
      </c>
      <c r="B606" s="6"/>
      <c r="C606" s="73" t="s">
        <v>165</v>
      </c>
      <c r="D606" s="6" t="s">
        <v>2</v>
      </c>
      <c r="E606" s="7" t="s">
        <v>74</v>
      </c>
      <c r="F606" s="7"/>
      <c r="G606" s="6"/>
      <c r="H606" s="6"/>
      <c r="I606" s="8">
        <v>45997</v>
      </c>
      <c r="J606" s="6"/>
      <c r="K606" s="6"/>
      <c r="L606" s="45"/>
      <c r="M606" s="6"/>
    </row>
    <row r="607" spans="1:13" hidden="1" x14ac:dyDescent="0.25">
      <c r="A607" s="43" t="s">
        <v>494</v>
      </c>
      <c r="B607" s="6"/>
      <c r="C607" s="73" t="s">
        <v>165</v>
      </c>
      <c r="D607" s="6" t="s">
        <v>2</v>
      </c>
      <c r="E607" s="7" t="s">
        <v>74</v>
      </c>
      <c r="F607" s="7"/>
      <c r="G607" s="6"/>
      <c r="H607" s="6"/>
      <c r="I607" s="8">
        <v>45997</v>
      </c>
      <c r="J607" s="6"/>
      <c r="K607" s="6"/>
      <c r="L607" s="45"/>
      <c r="M607" s="6"/>
    </row>
    <row r="608" spans="1:13" hidden="1" x14ac:dyDescent="0.25">
      <c r="A608" s="43" t="s">
        <v>495</v>
      </c>
      <c r="B608" s="6"/>
      <c r="C608" s="73" t="s">
        <v>165</v>
      </c>
      <c r="D608" s="6" t="s">
        <v>2</v>
      </c>
      <c r="E608" s="7" t="s">
        <v>74</v>
      </c>
      <c r="F608" s="7"/>
      <c r="G608" s="6"/>
      <c r="H608" s="6"/>
      <c r="I608" s="8">
        <v>45997</v>
      </c>
      <c r="J608" s="6"/>
      <c r="K608" s="6"/>
      <c r="L608" s="45"/>
      <c r="M608" s="6"/>
    </row>
    <row r="609" spans="1:13" hidden="1" x14ac:dyDescent="0.25">
      <c r="A609" s="43" t="s">
        <v>496</v>
      </c>
      <c r="B609" s="6"/>
      <c r="C609" s="73" t="s">
        <v>165</v>
      </c>
      <c r="D609" s="6" t="s">
        <v>2</v>
      </c>
      <c r="E609" s="7" t="s">
        <v>74</v>
      </c>
      <c r="F609" s="7"/>
      <c r="G609" s="6"/>
      <c r="H609" s="6"/>
      <c r="I609" s="8">
        <v>45997</v>
      </c>
      <c r="J609" s="6"/>
      <c r="K609" s="6"/>
      <c r="L609" s="45"/>
      <c r="M609" s="6"/>
    </row>
    <row r="610" spans="1:13" hidden="1" x14ac:dyDescent="0.25">
      <c r="A610" s="43" t="s">
        <v>497</v>
      </c>
      <c r="B610" s="6"/>
      <c r="C610" s="73" t="s">
        <v>165</v>
      </c>
      <c r="D610" s="6" t="s">
        <v>2</v>
      </c>
      <c r="E610" s="7" t="s">
        <v>74</v>
      </c>
      <c r="F610" s="7"/>
      <c r="G610" s="6"/>
      <c r="H610" s="6"/>
      <c r="I610" s="8">
        <v>45997</v>
      </c>
      <c r="J610" s="6"/>
      <c r="K610" s="6"/>
      <c r="L610" s="45"/>
      <c r="M610" s="6"/>
    </row>
    <row r="611" spans="1:13" hidden="1" x14ac:dyDescent="0.25">
      <c r="A611" s="43" t="s">
        <v>498</v>
      </c>
      <c r="B611" s="6"/>
      <c r="C611" s="73" t="s">
        <v>165</v>
      </c>
      <c r="D611" s="6" t="s">
        <v>2</v>
      </c>
      <c r="E611" s="7" t="s">
        <v>74</v>
      </c>
      <c r="F611" s="7"/>
      <c r="G611" s="6"/>
      <c r="H611" s="6"/>
      <c r="I611" s="8">
        <v>45997</v>
      </c>
      <c r="J611" s="6"/>
      <c r="K611" s="6"/>
      <c r="L611" s="45"/>
      <c r="M611" s="6"/>
    </row>
    <row r="612" spans="1:13" hidden="1" x14ac:dyDescent="0.25">
      <c r="A612" s="43" t="s">
        <v>499</v>
      </c>
      <c r="B612" s="42"/>
      <c r="C612" s="74" t="s">
        <v>49</v>
      </c>
      <c r="D612" s="6" t="s">
        <v>2</v>
      </c>
      <c r="E612" s="7" t="s">
        <v>74</v>
      </c>
      <c r="F612" s="47"/>
      <c r="I612" s="8">
        <v>45997</v>
      </c>
      <c r="K612" s="145" t="s">
        <v>75</v>
      </c>
      <c r="L612" s="45"/>
      <c r="M612" s="6"/>
    </row>
    <row r="613" spans="1:13" hidden="1" x14ac:dyDescent="0.25">
      <c r="A613" s="43" t="s">
        <v>500</v>
      </c>
      <c r="B613" s="42"/>
      <c r="C613" s="74" t="s">
        <v>49</v>
      </c>
      <c r="D613" s="6" t="s">
        <v>2</v>
      </c>
      <c r="E613" s="7" t="s">
        <v>74</v>
      </c>
      <c r="F613" s="47"/>
      <c r="I613" s="8">
        <v>45997</v>
      </c>
      <c r="K613" s="145" t="s">
        <v>75</v>
      </c>
      <c r="L613" s="45"/>
      <c r="M613" s="6"/>
    </row>
    <row r="614" spans="1:13" hidden="1" x14ac:dyDescent="0.25">
      <c r="A614" s="43" t="s">
        <v>501</v>
      </c>
      <c r="B614" s="42"/>
      <c r="C614" s="74" t="s">
        <v>49</v>
      </c>
      <c r="D614" s="6" t="s">
        <v>2</v>
      </c>
      <c r="E614" s="7" t="s">
        <v>74</v>
      </c>
      <c r="F614" s="47"/>
      <c r="I614" s="8">
        <v>45997</v>
      </c>
      <c r="K614" s="145" t="s">
        <v>75</v>
      </c>
      <c r="L614" s="45"/>
      <c r="M614" s="6"/>
    </row>
    <row r="615" spans="1:13" hidden="1" x14ac:dyDescent="0.25">
      <c r="A615" s="43" t="s">
        <v>502</v>
      </c>
      <c r="B615" s="42"/>
      <c r="C615" s="74" t="s">
        <v>49</v>
      </c>
      <c r="D615" s="6" t="s">
        <v>2</v>
      </c>
      <c r="E615" s="7" t="s">
        <v>76</v>
      </c>
      <c r="F615" s="47"/>
      <c r="I615" s="8">
        <v>45997</v>
      </c>
      <c r="K615" s="145" t="s">
        <v>75</v>
      </c>
      <c r="L615" s="45"/>
      <c r="M615" s="6"/>
    </row>
    <row r="616" spans="1:13" hidden="1" x14ac:dyDescent="0.25">
      <c r="A616" s="43" t="s">
        <v>503</v>
      </c>
      <c r="B616" s="42"/>
      <c r="C616" s="74" t="s">
        <v>49</v>
      </c>
      <c r="D616" s="6" t="s">
        <v>2</v>
      </c>
      <c r="E616" s="7" t="s">
        <v>74</v>
      </c>
      <c r="F616" s="47"/>
      <c r="I616" s="8">
        <v>45997</v>
      </c>
      <c r="K616" s="145" t="s">
        <v>75</v>
      </c>
      <c r="L616" s="45"/>
      <c r="M616" s="6"/>
    </row>
    <row r="617" spans="1:13" hidden="1" x14ac:dyDescent="0.25">
      <c r="A617" s="43" t="s">
        <v>504</v>
      </c>
      <c r="B617" s="42"/>
      <c r="C617" s="74" t="s">
        <v>49</v>
      </c>
      <c r="D617" s="6" t="s">
        <v>2</v>
      </c>
      <c r="E617" s="7" t="s">
        <v>74</v>
      </c>
      <c r="F617" s="47"/>
      <c r="I617" s="8">
        <v>45997</v>
      </c>
      <c r="K617" s="145" t="s">
        <v>75</v>
      </c>
      <c r="L617" s="45"/>
      <c r="M617" s="6"/>
    </row>
    <row r="618" spans="1:13" hidden="1" x14ac:dyDescent="0.25">
      <c r="A618" s="43" t="s">
        <v>505</v>
      </c>
      <c r="B618" s="42"/>
      <c r="C618" s="74" t="s">
        <v>49</v>
      </c>
      <c r="D618" s="6" t="s">
        <v>2</v>
      </c>
      <c r="E618" s="7" t="s">
        <v>74</v>
      </c>
      <c r="F618" s="47"/>
      <c r="I618" s="8">
        <v>45997</v>
      </c>
      <c r="K618" s="145" t="s">
        <v>75</v>
      </c>
      <c r="L618" s="45"/>
      <c r="M618" s="6"/>
    </row>
    <row r="619" spans="1:13" hidden="1" x14ac:dyDescent="0.25">
      <c r="A619" s="43" t="s">
        <v>506</v>
      </c>
      <c r="B619" s="42"/>
      <c r="C619" s="74" t="s">
        <v>49</v>
      </c>
      <c r="D619" s="6" t="s">
        <v>2</v>
      </c>
      <c r="E619" s="7" t="s">
        <v>74</v>
      </c>
      <c r="F619" s="47"/>
      <c r="I619" s="8">
        <v>45997</v>
      </c>
      <c r="K619" s="145" t="s">
        <v>75</v>
      </c>
      <c r="L619" s="45"/>
      <c r="M619" s="6"/>
    </row>
    <row r="620" spans="1:13" hidden="1" x14ac:dyDescent="0.25">
      <c r="A620" s="43" t="s">
        <v>507</v>
      </c>
      <c r="B620" s="42"/>
      <c r="C620" s="74" t="s">
        <v>49</v>
      </c>
      <c r="D620" s="6" t="s">
        <v>2</v>
      </c>
      <c r="E620" s="7" t="s">
        <v>74</v>
      </c>
      <c r="F620" s="47"/>
      <c r="I620" s="8">
        <v>45997</v>
      </c>
      <c r="K620" s="145" t="s">
        <v>75</v>
      </c>
      <c r="L620" s="45"/>
      <c r="M620" s="6"/>
    </row>
    <row r="621" spans="1:13" hidden="1" x14ac:dyDescent="0.25">
      <c r="A621" s="43" t="s">
        <v>508</v>
      </c>
      <c r="B621" s="42"/>
      <c r="C621" s="74" t="s">
        <v>49</v>
      </c>
      <c r="D621" s="6" t="s">
        <v>2</v>
      </c>
      <c r="E621" s="7" t="s">
        <v>74</v>
      </c>
      <c r="F621" s="47"/>
      <c r="I621" s="8">
        <v>45997</v>
      </c>
      <c r="K621" s="145" t="s">
        <v>75</v>
      </c>
      <c r="L621" s="45"/>
      <c r="M621" s="6"/>
    </row>
    <row r="622" spans="1:13" hidden="1" x14ac:dyDescent="0.25">
      <c r="A622" s="43" t="s">
        <v>509</v>
      </c>
      <c r="B622" s="42"/>
      <c r="C622" s="74" t="s">
        <v>49</v>
      </c>
      <c r="D622" s="6" t="s">
        <v>2</v>
      </c>
      <c r="E622" s="7" t="s">
        <v>74</v>
      </c>
      <c r="F622" s="47"/>
      <c r="I622" s="8">
        <v>45997</v>
      </c>
      <c r="K622" s="145" t="s">
        <v>75</v>
      </c>
      <c r="L622" s="45"/>
      <c r="M622" s="6"/>
    </row>
    <row r="623" spans="1:13" hidden="1" x14ac:dyDescent="0.25">
      <c r="A623" s="43" t="s">
        <v>510</v>
      </c>
      <c r="B623" s="42"/>
      <c r="C623" s="74" t="s">
        <v>49</v>
      </c>
      <c r="D623" s="6" t="s">
        <v>2</v>
      </c>
      <c r="E623" s="7" t="s">
        <v>74</v>
      </c>
      <c r="F623" s="47"/>
      <c r="I623" s="8">
        <v>45997</v>
      </c>
      <c r="K623" s="145" t="s">
        <v>75</v>
      </c>
      <c r="L623" s="45"/>
      <c r="M623" s="6"/>
    </row>
    <row r="624" spans="1:13" hidden="1" x14ac:dyDescent="0.25">
      <c r="A624" s="43" t="s">
        <v>511</v>
      </c>
      <c r="B624" s="42"/>
      <c r="C624" s="74" t="s">
        <v>49</v>
      </c>
      <c r="D624" s="6" t="s">
        <v>2</v>
      </c>
      <c r="E624" s="7" t="s">
        <v>76</v>
      </c>
      <c r="F624" s="47"/>
      <c r="I624" s="8">
        <v>45997</v>
      </c>
      <c r="K624" s="145" t="s">
        <v>75</v>
      </c>
      <c r="L624" s="45"/>
      <c r="M624" s="6"/>
    </row>
    <row r="625" spans="1:13" hidden="1" x14ac:dyDescent="0.25">
      <c r="A625" s="43" t="s">
        <v>512</v>
      </c>
      <c r="B625" s="42"/>
      <c r="C625" s="74" t="s">
        <v>49</v>
      </c>
      <c r="D625" s="6" t="s">
        <v>2</v>
      </c>
      <c r="E625" s="7" t="s">
        <v>74</v>
      </c>
      <c r="F625" s="47"/>
      <c r="I625" s="8">
        <v>45997</v>
      </c>
      <c r="K625" s="145" t="s">
        <v>75</v>
      </c>
      <c r="L625" s="45"/>
      <c r="M625" s="6"/>
    </row>
    <row r="626" spans="1:13" hidden="1" x14ac:dyDescent="0.25">
      <c r="A626" s="43" t="s">
        <v>513</v>
      </c>
      <c r="B626" s="42"/>
      <c r="C626" s="74" t="s">
        <v>49</v>
      </c>
      <c r="D626" s="6" t="s">
        <v>2</v>
      </c>
      <c r="E626" s="7" t="s">
        <v>76</v>
      </c>
      <c r="F626" s="47"/>
      <c r="I626" s="8">
        <v>45997</v>
      </c>
      <c r="K626" s="145" t="s">
        <v>75</v>
      </c>
      <c r="L626" s="45"/>
      <c r="M626" s="6"/>
    </row>
    <row r="627" spans="1:13" hidden="1" x14ac:dyDescent="0.25">
      <c r="A627" s="43" t="s">
        <v>514</v>
      </c>
      <c r="B627" s="53"/>
      <c r="C627" s="73" t="s">
        <v>46</v>
      </c>
      <c r="D627" s="6" t="s">
        <v>2</v>
      </c>
      <c r="E627" s="7" t="s">
        <v>74</v>
      </c>
      <c r="F627" s="7"/>
      <c r="G627" s="6"/>
      <c r="H627" s="6"/>
      <c r="I627" s="8">
        <v>45997</v>
      </c>
      <c r="J627" s="6"/>
      <c r="K627" s="6"/>
      <c r="L627" s="45"/>
      <c r="M627" s="6"/>
    </row>
    <row r="628" spans="1:13" hidden="1" x14ac:dyDescent="0.25">
      <c r="A628" s="43" t="s">
        <v>515</v>
      </c>
      <c r="B628" s="53"/>
      <c r="C628" s="73" t="s">
        <v>46</v>
      </c>
      <c r="D628" s="6" t="s">
        <v>2</v>
      </c>
      <c r="E628" s="7" t="s">
        <v>74</v>
      </c>
      <c r="F628" s="7"/>
      <c r="G628" s="6"/>
      <c r="H628" s="6"/>
      <c r="I628" s="8">
        <v>45997</v>
      </c>
      <c r="J628" s="6"/>
      <c r="K628" s="6"/>
      <c r="L628" s="45"/>
      <c r="M628" s="6"/>
    </row>
    <row r="629" spans="1:13" hidden="1" x14ac:dyDescent="0.25">
      <c r="A629" s="43" t="s">
        <v>516</v>
      </c>
      <c r="B629" s="53"/>
      <c r="C629" s="73" t="s">
        <v>46</v>
      </c>
      <c r="D629" s="6" t="s">
        <v>2</v>
      </c>
      <c r="E629" s="7" t="s">
        <v>74</v>
      </c>
      <c r="F629" s="7"/>
      <c r="G629" s="6"/>
      <c r="H629" s="6"/>
      <c r="I629" s="8">
        <v>45997</v>
      </c>
      <c r="J629" s="6"/>
      <c r="K629" s="6"/>
      <c r="L629" s="45"/>
      <c r="M629" s="6"/>
    </row>
    <row r="630" spans="1:13" hidden="1" x14ac:dyDescent="0.25">
      <c r="A630" s="43" t="s">
        <v>517</v>
      </c>
      <c r="C630" s="73" t="s">
        <v>46</v>
      </c>
      <c r="D630" s="6" t="s">
        <v>2</v>
      </c>
      <c r="E630" s="7" t="s">
        <v>74</v>
      </c>
      <c r="F630" s="7"/>
      <c r="G630" s="6"/>
      <c r="H630" s="6"/>
      <c r="I630" s="8">
        <v>45997</v>
      </c>
      <c r="J630" s="6"/>
      <c r="K630" s="6"/>
      <c r="L630" s="45"/>
      <c r="M630" s="6"/>
    </row>
    <row r="631" spans="1:13" hidden="1" x14ac:dyDescent="0.25">
      <c r="A631" s="43" t="s">
        <v>518</v>
      </c>
      <c r="B631" s="6"/>
      <c r="C631" s="74" t="s">
        <v>46</v>
      </c>
      <c r="D631" s="6" t="s">
        <v>2</v>
      </c>
      <c r="E631" s="7" t="s">
        <v>74</v>
      </c>
      <c r="F631" s="47"/>
      <c r="I631" s="8">
        <v>45997</v>
      </c>
      <c r="L631" s="45"/>
      <c r="M631" s="6"/>
    </row>
    <row r="632" spans="1:13" hidden="1" x14ac:dyDescent="0.25">
      <c r="A632" s="43" t="s">
        <v>519</v>
      </c>
      <c r="B632" s="53"/>
      <c r="C632" s="73" t="s">
        <v>46</v>
      </c>
      <c r="D632" s="6" t="s">
        <v>2</v>
      </c>
      <c r="E632" s="7" t="s">
        <v>74</v>
      </c>
      <c r="F632" s="7"/>
      <c r="G632" s="6"/>
      <c r="H632" s="6"/>
      <c r="I632" s="8">
        <v>45997</v>
      </c>
      <c r="J632" s="6"/>
      <c r="K632" s="6"/>
      <c r="L632" s="45"/>
      <c r="M632" s="6"/>
    </row>
    <row r="633" spans="1:13" hidden="1" x14ac:dyDescent="0.25">
      <c r="A633" s="43" t="s">
        <v>520</v>
      </c>
      <c r="B633" s="53"/>
      <c r="C633" s="73" t="s">
        <v>46</v>
      </c>
      <c r="D633" s="6" t="s">
        <v>2</v>
      </c>
      <c r="E633" s="7" t="s">
        <v>74</v>
      </c>
      <c r="F633" s="7"/>
      <c r="G633" s="6"/>
      <c r="H633" s="6"/>
      <c r="I633" s="8">
        <v>45997</v>
      </c>
      <c r="J633" s="6"/>
      <c r="K633" s="6"/>
      <c r="L633" s="45"/>
      <c r="M633" s="6"/>
    </row>
    <row r="634" spans="1:13" hidden="1" x14ac:dyDescent="0.25">
      <c r="A634" s="43" t="s">
        <v>521</v>
      </c>
      <c r="B634" s="53"/>
      <c r="C634" s="73" t="s">
        <v>46</v>
      </c>
      <c r="D634" s="6" t="s">
        <v>2</v>
      </c>
      <c r="E634" s="7" t="s">
        <v>74</v>
      </c>
      <c r="F634" s="7"/>
      <c r="G634" s="6"/>
      <c r="H634" s="6"/>
      <c r="I634" s="8">
        <v>45997</v>
      </c>
      <c r="J634" s="6"/>
      <c r="K634" s="6"/>
      <c r="L634" s="45"/>
      <c r="M634" s="6"/>
    </row>
    <row r="635" spans="1:13" hidden="1" x14ac:dyDescent="0.25">
      <c r="A635" s="43" t="s">
        <v>522</v>
      </c>
      <c r="B635" s="53"/>
      <c r="C635" s="73" t="s">
        <v>46</v>
      </c>
      <c r="D635" s="6" t="s">
        <v>2</v>
      </c>
      <c r="E635" s="7" t="s">
        <v>74</v>
      </c>
      <c r="F635" s="7"/>
      <c r="G635" s="6"/>
      <c r="H635" s="6"/>
      <c r="I635" s="8">
        <v>45997</v>
      </c>
      <c r="J635" s="6"/>
      <c r="K635" s="6"/>
      <c r="L635" s="45"/>
      <c r="M635" s="6"/>
    </row>
    <row r="636" spans="1:13" hidden="1" x14ac:dyDescent="0.25">
      <c r="A636" s="43" t="s">
        <v>523</v>
      </c>
      <c r="B636" s="53"/>
      <c r="C636" s="73" t="s">
        <v>46</v>
      </c>
      <c r="D636" s="6" t="s">
        <v>2</v>
      </c>
      <c r="E636" s="7" t="s">
        <v>74</v>
      </c>
      <c r="F636" s="7"/>
      <c r="G636" s="6"/>
      <c r="H636" s="6"/>
      <c r="I636" s="8">
        <v>45997</v>
      </c>
      <c r="J636" s="6"/>
      <c r="K636" s="6"/>
      <c r="L636" s="45"/>
      <c r="M636" s="6"/>
    </row>
    <row r="637" spans="1:13" hidden="1" x14ac:dyDescent="0.25">
      <c r="A637" s="43" t="s">
        <v>524</v>
      </c>
      <c r="C637" s="73" t="s">
        <v>46</v>
      </c>
      <c r="D637" s="6" t="s">
        <v>2</v>
      </c>
      <c r="E637" s="7" t="s">
        <v>74</v>
      </c>
      <c r="F637" s="7"/>
      <c r="G637" s="6"/>
      <c r="H637" s="6"/>
      <c r="I637" s="8">
        <v>45997</v>
      </c>
      <c r="J637" s="6"/>
      <c r="K637" s="6"/>
      <c r="L637" s="45"/>
      <c r="M637" s="6"/>
    </row>
    <row r="638" spans="1:13" hidden="1" x14ac:dyDescent="0.25">
      <c r="A638" s="43" t="s">
        <v>525</v>
      </c>
      <c r="C638" s="73" t="s">
        <v>46</v>
      </c>
      <c r="D638" s="6" t="s">
        <v>2</v>
      </c>
      <c r="E638" s="7" t="s">
        <v>74</v>
      </c>
      <c r="F638" s="7"/>
      <c r="G638" s="6"/>
      <c r="H638" s="6"/>
      <c r="I638" s="8">
        <v>45997</v>
      </c>
      <c r="J638" s="6"/>
      <c r="K638" s="6"/>
      <c r="L638" s="45"/>
      <c r="M638" s="6"/>
    </row>
    <row r="639" spans="1:13" hidden="1" x14ac:dyDescent="0.25">
      <c r="A639" s="43" t="s">
        <v>526</v>
      </c>
      <c r="C639" s="73" t="s">
        <v>46</v>
      </c>
      <c r="D639" s="6" t="s">
        <v>2</v>
      </c>
      <c r="E639" s="7" t="s">
        <v>74</v>
      </c>
      <c r="F639" s="7"/>
      <c r="G639" s="6"/>
      <c r="H639" s="6"/>
      <c r="I639" s="8">
        <v>45997</v>
      </c>
      <c r="J639" s="6"/>
      <c r="K639" s="6"/>
      <c r="L639" s="45"/>
      <c r="M639" s="6"/>
    </row>
    <row r="640" spans="1:13" hidden="1" x14ac:dyDescent="0.25">
      <c r="A640" s="43" t="s">
        <v>527</v>
      </c>
      <c r="C640" s="73" t="s">
        <v>46</v>
      </c>
      <c r="D640" s="6" t="s">
        <v>2</v>
      </c>
      <c r="E640" s="7" t="s">
        <v>74</v>
      </c>
      <c r="F640" s="7"/>
      <c r="G640" s="6"/>
      <c r="H640" s="6"/>
      <c r="I640" s="8">
        <v>45997</v>
      </c>
      <c r="J640" s="6"/>
      <c r="K640" s="6"/>
      <c r="L640" s="45"/>
      <c r="M640" s="6"/>
    </row>
    <row r="641" spans="1:13" hidden="1" x14ac:dyDescent="0.25">
      <c r="A641" s="43" t="s">
        <v>528</v>
      </c>
      <c r="C641" s="73" t="s">
        <v>46</v>
      </c>
      <c r="D641" s="6" t="s">
        <v>2</v>
      </c>
      <c r="E641" s="7" t="s">
        <v>74</v>
      </c>
      <c r="F641" s="7"/>
      <c r="G641" s="6"/>
      <c r="H641" s="6"/>
      <c r="I641" s="8">
        <v>45997</v>
      </c>
      <c r="J641" s="6"/>
      <c r="K641" s="6"/>
      <c r="L641" s="45"/>
      <c r="M641" s="6"/>
    </row>
    <row r="642" spans="1:13" hidden="1" x14ac:dyDescent="0.25">
      <c r="A642" s="43" t="s">
        <v>529</v>
      </c>
      <c r="C642" s="73" t="s">
        <v>46</v>
      </c>
      <c r="D642" s="6" t="s">
        <v>2</v>
      </c>
      <c r="E642" s="7" t="s">
        <v>74</v>
      </c>
      <c r="F642" s="7"/>
      <c r="G642" s="6"/>
      <c r="H642" s="6"/>
      <c r="I642" s="8">
        <v>45997</v>
      </c>
      <c r="J642" s="6"/>
      <c r="K642" s="6"/>
      <c r="L642" s="45"/>
      <c r="M642" s="6"/>
    </row>
    <row r="643" spans="1:13" hidden="1" x14ac:dyDescent="0.25">
      <c r="A643" s="43" t="s">
        <v>530</v>
      </c>
      <c r="C643" s="73" t="s">
        <v>46</v>
      </c>
      <c r="D643" s="6" t="s">
        <v>2</v>
      </c>
      <c r="E643" s="7" t="s">
        <v>74</v>
      </c>
      <c r="F643" s="7"/>
      <c r="G643" s="6"/>
      <c r="H643" s="6"/>
      <c r="I643" s="8">
        <v>45997</v>
      </c>
      <c r="J643" s="6"/>
      <c r="K643" s="6"/>
      <c r="L643" s="45"/>
      <c r="M643" s="6"/>
    </row>
    <row r="644" spans="1:13" hidden="1" x14ac:dyDescent="0.25">
      <c r="A644" s="43" t="s">
        <v>531</v>
      </c>
      <c r="C644" s="73" t="s">
        <v>46</v>
      </c>
      <c r="D644" s="6" t="s">
        <v>2</v>
      </c>
      <c r="E644" s="7" t="s">
        <v>76</v>
      </c>
      <c r="F644" s="7"/>
      <c r="G644" s="6"/>
      <c r="H644" s="6"/>
      <c r="I644" s="8">
        <v>45997</v>
      </c>
      <c r="J644" s="6"/>
      <c r="K644" s="6"/>
      <c r="L644" s="45"/>
      <c r="M644" s="6"/>
    </row>
    <row r="645" spans="1:13" hidden="1" x14ac:dyDescent="0.25">
      <c r="A645" s="43" t="s">
        <v>532</v>
      </c>
      <c r="C645" s="73" t="s">
        <v>46</v>
      </c>
      <c r="D645" s="6" t="s">
        <v>2</v>
      </c>
      <c r="E645" s="7" t="s">
        <v>74</v>
      </c>
      <c r="F645" s="7"/>
      <c r="G645" s="6"/>
      <c r="H645" s="6"/>
      <c r="I645" s="8">
        <v>45997</v>
      </c>
      <c r="J645" s="6"/>
      <c r="K645" s="6"/>
      <c r="L645" s="45"/>
      <c r="M645" s="6"/>
    </row>
    <row r="646" spans="1:13" hidden="1" x14ac:dyDescent="0.25">
      <c r="A646" s="43" t="s">
        <v>533</v>
      </c>
      <c r="C646" s="73" t="s">
        <v>46</v>
      </c>
      <c r="D646" s="6" t="s">
        <v>2</v>
      </c>
      <c r="E646" s="7" t="s">
        <v>74</v>
      </c>
      <c r="F646" s="7"/>
      <c r="G646" s="6"/>
      <c r="H646" s="6"/>
      <c r="I646" s="8">
        <v>45997</v>
      </c>
      <c r="J646" s="6"/>
      <c r="K646" s="6"/>
      <c r="L646" s="45"/>
      <c r="M646" s="6"/>
    </row>
    <row r="647" spans="1:13" hidden="1" x14ac:dyDescent="0.25">
      <c r="A647" s="43" t="s">
        <v>534</v>
      </c>
      <c r="C647" s="73" t="s">
        <v>46</v>
      </c>
      <c r="D647" s="6" t="s">
        <v>2</v>
      </c>
      <c r="E647" s="7" t="s">
        <v>74</v>
      </c>
      <c r="F647" s="7"/>
      <c r="G647" s="6"/>
      <c r="H647" s="6"/>
      <c r="I647" s="8">
        <v>45997</v>
      </c>
      <c r="J647" s="6"/>
      <c r="K647" s="6"/>
      <c r="L647" s="45"/>
      <c r="M647" s="6"/>
    </row>
    <row r="648" spans="1:13" hidden="1" x14ac:dyDescent="0.25">
      <c r="A648" s="43" t="s">
        <v>535</v>
      </c>
      <c r="C648" s="73" t="s">
        <v>46</v>
      </c>
      <c r="D648" s="6" t="s">
        <v>2</v>
      </c>
      <c r="E648" s="7" t="s">
        <v>74</v>
      </c>
      <c r="F648" s="7"/>
      <c r="G648" s="6"/>
      <c r="H648" s="6"/>
      <c r="I648" s="8">
        <v>45997</v>
      </c>
      <c r="J648" s="6"/>
      <c r="K648" s="6"/>
      <c r="L648" s="45"/>
      <c r="M648" s="6"/>
    </row>
    <row r="649" spans="1:13" hidden="1" x14ac:dyDescent="0.25">
      <c r="A649" s="43" t="s">
        <v>536</v>
      </c>
      <c r="C649" s="73" t="s">
        <v>46</v>
      </c>
      <c r="D649" s="6" t="s">
        <v>2</v>
      </c>
      <c r="E649" s="7" t="s">
        <v>74</v>
      </c>
      <c r="F649" s="7"/>
      <c r="G649" s="6"/>
      <c r="H649" s="6"/>
      <c r="I649" s="8">
        <v>45997</v>
      </c>
      <c r="J649" s="6"/>
      <c r="K649" s="6"/>
      <c r="L649" s="45"/>
      <c r="M649" s="6"/>
    </row>
    <row r="650" spans="1:13" hidden="1" x14ac:dyDescent="0.25">
      <c r="A650" s="43" t="s">
        <v>537</v>
      </c>
      <c r="C650" s="73" t="s">
        <v>46</v>
      </c>
      <c r="D650" s="6" t="s">
        <v>2</v>
      </c>
      <c r="E650" s="7" t="s">
        <v>74</v>
      </c>
      <c r="F650" s="7"/>
      <c r="G650" s="6"/>
      <c r="H650" s="6"/>
      <c r="I650" s="8">
        <v>45997</v>
      </c>
      <c r="J650" s="6"/>
      <c r="K650" s="6"/>
      <c r="L650" s="45"/>
      <c r="M650" s="6"/>
    </row>
    <row r="651" spans="1:13" hidden="1" x14ac:dyDescent="0.25">
      <c r="A651" s="43" t="s">
        <v>538</v>
      </c>
      <c r="C651" s="73" t="s">
        <v>46</v>
      </c>
      <c r="D651" s="6" t="s">
        <v>2</v>
      </c>
      <c r="E651" s="7" t="s">
        <v>74</v>
      </c>
      <c r="F651" s="7"/>
      <c r="G651" s="6"/>
      <c r="H651" s="6"/>
      <c r="I651" s="8">
        <v>45997</v>
      </c>
      <c r="J651" s="6"/>
      <c r="K651" s="6"/>
      <c r="L651" s="45"/>
      <c r="M651" s="6"/>
    </row>
    <row r="652" spans="1:13" hidden="1" x14ac:dyDescent="0.25">
      <c r="A652" s="43" t="s">
        <v>539</v>
      </c>
      <c r="C652" s="73" t="s">
        <v>46</v>
      </c>
      <c r="D652" s="6" t="s">
        <v>2</v>
      </c>
      <c r="E652" s="7" t="s">
        <v>74</v>
      </c>
      <c r="F652" s="7"/>
      <c r="G652" s="6"/>
      <c r="H652" s="6"/>
      <c r="I652" s="8">
        <v>45997</v>
      </c>
      <c r="J652" s="6"/>
      <c r="K652" s="6"/>
      <c r="L652" s="45"/>
      <c r="M652" s="6"/>
    </row>
    <row r="653" spans="1:13" hidden="1" x14ac:dyDescent="0.25">
      <c r="A653" s="43" t="s">
        <v>540</v>
      </c>
      <c r="C653" s="73" t="s">
        <v>46</v>
      </c>
      <c r="D653" s="6" t="s">
        <v>2</v>
      </c>
      <c r="E653" s="7" t="s">
        <v>74</v>
      </c>
      <c r="F653" s="7"/>
      <c r="G653" s="6"/>
      <c r="H653" s="6"/>
      <c r="I653" s="8">
        <v>45997</v>
      </c>
      <c r="J653" s="6"/>
      <c r="K653" s="6"/>
      <c r="L653" s="45"/>
      <c r="M653" s="6"/>
    </row>
    <row r="654" spans="1:13" hidden="1" x14ac:dyDescent="0.25">
      <c r="A654" s="43" t="s">
        <v>541</v>
      </c>
      <c r="C654" s="73" t="s">
        <v>46</v>
      </c>
      <c r="D654" s="6" t="s">
        <v>2</v>
      </c>
      <c r="E654" s="7" t="s">
        <v>74</v>
      </c>
      <c r="F654" s="7"/>
      <c r="G654" s="6"/>
      <c r="H654" s="6"/>
      <c r="I654" s="8">
        <v>45997</v>
      </c>
      <c r="J654" s="6"/>
      <c r="K654" s="6"/>
      <c r="L654" s="45"/>
      <c r="M654" s="6"/>
    </row>
    <row r="655" spans="1:13" hidden="1" x14ac:dyDescent="0.25">
      <c r="A655" s="43" t="s">
        <v>542</v>
      </c>
      <c r="C655" s="73" t="s">
        <v>46</v>
      </c>
      <c r="D655" s="6" t="s">
        <v>2</v>
      </c>
      <c r="E655" s="7" t="s">
        <v>74</v>
      </c>
      <c r="F655" s="7"/>
      <c r="G655" s="6"/>
      <c r="H655" s="6"/>
      <c r="I655" s="8">
        <v>45997</v>
      </c>
      <c r="J655" s="6"/>
      <c r="K655" s="6"/>
      <c r="L655" s="45"/>
      <c r="M655" s="6"/>
    </row>
    <row r="656" spans="1:13" hidden="1" x14ac:dyDescent="0.25">
      <c r="A656" s="43" t="s">
        <v>543</v>
      </c>
      <c r="C656" s="73" t="s">
        <v>46</v>
      </c>
      <c r="D656" s="6" t="s">
        <v>2</v>
      </c>
      <c r="E656" s="7" t="s">
        <v>74</v>
      </c>
      <c r="F656" s="7"/>
      <c r="G656" s="6"/>
      <c r="H656" s="6"/>
      <c r="I656" s="8">
        <v>45997</v>
      </c>
      <c r="J656" s="6"/>
      <c r="K656" s="6"/>
      <c r="L656" s="45"/>
      <c r="M656" s="6"/>
    </row>
    <row r="657" spans="1:13" hidden="1" x14ac:dyDescent="0.25">
      <c r="A657" s="43" t="s">
        <v>544</v>
      </c>
      <c r="B657" s="6"/>
      <c r="C657" s="74" t="s">
        <v>46</v>
      </c>
      <c r="D657" s="6" t="s">
        <v>2</v>
      </c>
      <c r="E657" s="7" t="s">
        <v>74</v>
      </c>
      <c r="F657" s="47"/>
      <c r="I657" s="8">
        <v>45997</v>
      </c>
      <c r="L657" s="45"/>
      <c r="M657" s="6"/>
    </row>
    <row r="658" spans="1:13" hidden="1" x14ac:dyDescent="0.25">
      <c r="A658" s="43" t="s">
        <v>545</v>
      </c>
      <c r="B658" s="48"/>
      <c r="C658" s="74" t="s">
        <v>46</v>
      </c>
      <c r="D658" s="6" t="s">
        <v>2</v>
      </c>
      <c r="E658" s="7" t="s">
        <v>74</v>
      </c>
      <c r="F658" s="47"/>
      <c r="I658" s="8">
        <v>45997</v>
      </c>
      <c r="L658" s="45"/>
      <c r="M658" s="6"/>
    </row>
    <row r="659" spans="1:13" hidden="1" x14ac:dyDescent="0.25">
      <c r="A659" s="43" t="s">
        <v>546</v>
      </c>
      <c r="B659" s="48"/>
      <c r="C659" s="74" t="s">
        <v>46</v>
      </c>
      <c r="D659" s="6" t="s">
        <v>2</v>
      </c>
      <c r="E659" s="7" t="s">
        <v>74</v>
      </c>
      <c r="F659" s="47"/>
      <c r="I659" s="8">
        <v>45997</v>
      </c>
      <c r="L659" s="45"/>
      <c r="M659" s="6"/>
    </row>
    <row r="660" spans="1:13" hidden="1" x14ac:dyDescent="0.25">
      <c r="A660" s="43" t="s">
        <v>547</v>
      </c>
      <c r="B660" s="48"/>
      <c r="C660" s="74" t="s">
        <v>46</v>
      </c>
      <c r="D660" s="6" t="s">
        <v>2</v>
      </c>
      <c r="E660" s="7" t="s">
        <v>74</v>
      </c>
      <c r="F660" s="47"/>
      <c r="I660" s="8">
        <v>45997</v>
      </c>
      <c r="L660" s="45"/>
      <c r="M660" s="6"/>
    </row>
    <row r="661" spans="1:13" hidden="1" x14ac:dyDescent="0.25">
      <c r="A661" s="43" t="s">
        <v>548</v>
      </c>
      <c r="B661" s="50"/>
      <c r="C661" s="75" t="s">
        <v>46</v>
      </c>
      <c r="D661" s="6" t="s">
        <v>2</v>
      </c>
      <c r="E661" s="7" t="s">
        <v>74</v>
      </c>
      <c r="F661" s="47"/>
      <c r="I661" s="8">
        <v>45997</v>
      </c>
      <c r="L661" s="45" t="s">
        <v>291</v>
      </c>
      <c r="M661" s="6"/>
    </row>
    <row r="662" spans="1:13" hidden="1" x14ac:dyDescent="0.25">
      <c r="A662" s="43" t="s">
        <v>549</v>
      </c>
      <c r="C662" s="73" t="s">
        <v>46</v>
      </c>
      <c r="D662" s="6" t="s">
        <v>2</v>
      </c>
      <c r="E662" s="7" t="s">
        <v>74</v>
      </c>
      <c r="F662" s="7"/>
      <c r="G662" s="6"/>
      <c r="H662" s="6"/>
      <c r="I662" s="8">
        <v>45997</v>
      </c>
      <c r="J662" s="6"/>
      <c r="K662" s="6"/>
      <c r="L662" s="45"/>
      <c r="M662" s="6"/>
    </row>
    <row r="663" spans="1:13" hidden="1" x14ac:dyDescent="0.25">
      <c r="A663" s="43" t="s">
        <v>550</v>
      </c>
      <c r="B663" s="54"/>
      <c r="C663" s="74" t="s">
        <v>46</v>
      </c>
      <c r="D663" s="6" t="s">
        <v>2</v>
      </c>
      <c r="E663" s="7" t="s">
        <v>74</v>
      </c>
      <c r="F663" s="47"/>
      <c r="I663" s="8">
        <v>45997</v>
      </c>
      <c r="L663" s="45"/>
      <c r="M663" s="6"/>
    </row>
    <row r="664" spans="1:13" hidden="1" x14ac:dyDescent="0.25">
      <c r="A664" s="55" t="s">
        <v>551</v>
      </c>
      <c r="B664" s="54"/>
      <c r="C664" s="74" t="s">
        <v>46</v>
      </c>
      <c r="D664" s="6" t="s">
        <v>2</v>
      </c>
      <c r="E664" s="7" t="s">
        <v>74</v>
      </c>
      <c r="F664" s="47"/>
      <c r="I664" s="8">
        <v>45997</v>
      </c>
      <c r="L664" s="45"/>
      <c r="M664" s="6"/>
    </row>
    <row r="665" spans="1:13" hidden="1" x14ac:dyDescent="0.25">
      <c r="A665" s="43" t="s">
        <v>552</v>
      </c>
      <c r="B665" s="54"/>
      <c r="C665" s="74" t="s">
        <v>46</v>
      </c>
      <c r="D665" s="6" t="s">
        <v>2</v>
      </c>
      <c r="E665" s="7" t="s">
        <v>74</v>
      </c>
      <c r="F665" s="47"/>
      <c r="I665" s="8">
        <v>45997</v>
      </c>
      <c r="L665" s="45"/>
      <c r="M665" s="6"/>
    </row>
    <row r="666" spans="1:13" hidden="1" x14ac:dyDescent="0.25">
      <c r="A666" s="43" t="s">
        <v>553</v>
      </c>
      <c r="C666" s="73" t="s">
        <v>46</v>
      </c>
      <c r="D666" s="6" t="s">
        <v>2</v>
      </c>
      <c r="E666" s="7" t="s">
        <v>74</v>
      </c>
      <c r="F666" s="7"/>
      <c r="G666" s="6"/>
      <c r="H666" s="6"/>
      <c r="I666" s="8">
        <v>45997</v>
      </c>
      <c r="J666" s="6"/>
      <c r="K666" s="6"/>
      <c r="L666" s="45"/>
      <c r="M666" s="6"/>
    </row>
    <row r="667" spans="1:13" hidden="1" x14ac:dyDescent="0.25">
      <c r="A667" s="43" t="s">
        <v>554</v>
      </c>
      <c r="B667" s="50"/>
      <c r="C667" s="75" t="s">
        <v>46</v>
      </c>
      <c r="D667" s="6" t="s">
        <v>2</v>
      </c>
      <c r="E667" s="7" t="s">
        <v>74</v>
      </c>
      <c r="F667" s="47"/>
      <c r="I667" s="8">
        <v>45997</v>
      </c>
      <c r="L667" s="45" t="s">
        <v>291</v>
      </c>
      <c r="M667" s="6"/>
    </row>
    <row r="668" spans="1:13" hidden="1" x14ac:dyDescent="0.25">
      <c r="A668" s="43" t="s">
        <v>555</v>
      </c>
      <c r="B668" s="48"/>
      <c r="C668" s="74" t="s">
        <v>46</v>
      </c>
      <c r="D668" s="6" t="s">
        <v>2</v>
      </c>
      <c r="E668" s="7" t="s">
        <v>74</v>
      </c>
      <c r="F668" s="47"/>
      <c r="I668" s="8">
        <v>45997</v>
      </c>
      <c r="L668" s="45"/>
      <c r="M668" s="6"/>
    </row>
    <row r="669" spans="1:13" hidden="1" x14ac:dyDescent="0.25">
      <c r="A669" s="43" t="s">
        <v>556</v>
      </c>
      <c r="B669" s="50"/>
      <c r="C669" s="75" t="s">
        <v>46</v>
      </c>
      <c r="D669" s="6" t="s">
        <v>2</v>
      </c>
      <c r="E669" s="7" t="s">
        <v>74</v>
      </c>
      <c r="F669" s="47"/>
      <c r="I669" s="8">
        <v>45997</v>
      </c>
      <c r="L669" s="45" t="s">
        <v>291</v>
      </c>
      <c r="M669" s="6"/>
    </row>
    <row r="670" spans="1:13" hidden="1" x14ac:dyDescent="0.25">
      <c r="A670" s="43" t="s">
        <v>557</v>
      </c>
      <c r="B670" s="48"/>
      <c r="C670" s="74" t="s">
        <v>46</v>
      </c>
      <c r="D670" s="6" t="s">
        <v>2</v>
      </c>
      <c r="E670" s="7" t="s">
        <v>74</v>
      </c>
      <c r="F670" s="47"/>
      <c r="I670" s="8">
        <v>45997</v>
      </c>
      <c r="L670" s="45"/>
      <c r="M670" s="6"/>
    </row>
    <row r="671" spans="1:13" hidden="1" x14ac:dyDescent="0.25">
      <c r="A671" s="43" t="s">
        <v>558</v>
      </c>
      <c r="C671" s="73" t="s">
        <v>46</v>
      </c>
      <c r="D671" s="6" t="s">
        <v>2</v>
      </c>
      <c r="E671" s="7" t="s">
        <v>74</v>
      </c>
      <c r="F671" s="7"/>
      <c r="G671" s="6"/>
      <c r="H671" s="6"/>
      <c r="I671" s="8">
        <v>45997</v>
      </c>
      <c r="J671" s="6"/>
      <c r="K671" s="6"/>
      <c r="L671" s="45"/>
      <c r="M671" s="6"/>
    </row>
    <row r="672" spans="1:13" hidden="1" x14ac:dyDescent="0.25">
      <c r="A672" s="43" t="s">
        <v>559</v>
      </c>
      <c r="B672" s="48"/>
      <c r="C672" s="74" t="s">
        <v>46</v>
      </c>
      <c r="D672" s="6" t="s">
        <v>2</v>
      </c>
      <c r="E672" s="7" t="s">
        <v>74</v>
      </c>
      <c r="F672" s="47"/>
      <c r="I672" s="8">
        <v>45997</v>
      </c>
      <c r="L672" s="45"/>
      <c r="M672" s="6"/>
    </row>
    <row r="673" spans="1:13" hidden="1" x14ac:dyDescent="0.25">
      <c r="A673" s="43" t="s">
        <v>560</v>
      </c>
      <c r="B673" s="48"/>
      <c r="C673" s="74" t="s">
        <v>46</v>
      </c>
      <c r="D673" s="6" t="s">
        <v>2</v>
      </c>
      <c r="E673" s="7" t="s">
        <v>74</v>
      </c>
      <c r="F673" s="47"/>
      <c r="I673" s="8">
        <v>45997</v>
      </c>
      <c r="L673" s="45"/>
      <c r="M673" s="6"/>
    </row>
    <row r="674" spans="1:13" hidden="1" x14ac:dyDescent="0.25">
      <c r="A674" s="43" t="s">
        <v>561</v>
      </c>
      <c r="B674" s="48"/>
      <c r="C674" s="74" t="s">
        <v>46</v>
      </c>
      <c r="D674" s="6" t="s">
        <v>2</v>
      </c>
      <c r="E674" s="7" t="s">
        <v>74</v>
      </c>
      <c r="F674" s="47"/>
      <c r="I674" s="8">
        <v>45997</v>
      </c>
      <c r="L674" s="45"/>
      <c r="M674" s="6"/>
    </row>
    <row r="675" spans="1:13" hidden="1" x14ac:dyDescent="0.25">
      <c r="A675" s="55" t="s">
        <v>562</v>
      </c>
      <c r="B675" s="54"/>
      <c r="C675" s="74" t="s">
        <v>46</v>
      </c>
      <c r="D675" s="6" t="s">
        <v>2</v>
      </c>
      <c r="E675" s="7" t="s">
        <v>74</v>
      </c>
      <c r="F675" s="47"/>
      <c r="I675" s="8">
        <v>45997</v>
      </c>
      <c r="L675" s="45"/>
      <c r="M675" s="6"/>
    </row>
    <row r="676" spans="1:13" hidden="1" x14ac:dyDescent="0.25">
      <c r="A676" s="43" t="s">
        <v>563</v>
      </c>
      <c r="B676" s="54"/>
      <c r="C676" s="74" t="s">
        <v>46</v>
      </c>
      <c r="D676" s="6" t="s">
        <v>2</v>
      </c>
      <c r="E676" s="7" t="s">
        <v>74</v>
      </c>
      <c r="F676" s="47"/>
      <c r="I676" s="8">
        <v>45997</v>
      </c>
      <c r="L676" s="45"/>
      <c r="M676" s="6"/>
    </row>
    <row r="677" spans="1:13" hidden="1" x14ac:dyDescent="0.25">
      <c r="A677" s="55" t="s">
        <v>564</v>
      </c>
      <c r="B677" s="54"/>
      <c r="C677" s="74" t="s">
        <v>46</v>
      </c>
      <c r="D677" s="6" t="s">
        <v>2</v>
      </c>
      <c r="E677" s="7" t="s">
        <v>74</v>
      </c>
      <c r="F677" s="47"/>
      <c r="I677" s="8">
        <v>45997</v>
      </c>
      <c r="L677" s="45"/>
      <c r="M677" s="6"/>
    </row>
    <row r="678" spans="1:13" hidden="1" x14ac:dyDescent="0.25">
      <c r="A678" s="43" t="s">
        <v>565</v>
      </c>
      <c r="B678" s="48"/>
      <c r="C678" s="74" t="s">
        <v>46</v>
      </c>
      <c r="D678" s="6" t="s">
        <v>2</v>
      </c>
      <c r="E678" s="7" t="s">
        <v>74</v>
      </c>
      <c r="F678" s="47"/>
      <c r="I678" s="8">
        <v>45997</v>
      </c>
      <c r="L678" s="45"/>
      <c r="M678" s="6"/>
    </row>
    <row r="679" spans="1:13" hidden="1" x14ac:dyDescent="0.25">
      <c r="A679" s="43" t="s">
        <v>566</v>
      </c>
      <c r="B679" s="50"/>
      <c r="C679" s="75" t="s">
        <v>46</v>
      </c>
      <c r="D679" s="6" t="s">
        <v>2</v>
      </c>
      <c r="E679" s="7" t="s">
        <v>74</v>
      </c>
      <c r="F679" s="47"/>
      <c r="I679" s="8">
        <v>45997</v>
      </c>
      <c r="L679" s="45" t="s">
        <v>291</v>
      </c>
      <c r="M679" s="6"/>
    </row>
    <row r="680" spans="1:13" hidden="1" x14ac:dyDescent="0.25">
      <c r="A680" s="43" t="s">
        <v>567</v>
      </c>
      <c r="B680" s="48"/>
      <c r="C680" s="74" t="s">
        <v>46</v>
      </c>
      <c r="D680" s="6" t="s">
        <v>2</v>
      </c>
      <c r="E680" s="7" t="s">
        <v>74</v>
      </c>
      <c r="F680" s="47"/>
      <c r="I680" s="8">
        <v>45997</v>
      </c>
      <c r="L680" s="45"/>
      <c r="M680" s="6"/>
    </row>
    <row r="681" spans="1:13" hidden="1" x14ac:dyDescent="0.25">
      <c r="A681" s="43" t="s">
        <v>568</v>
      </c>
      <c r="C681" s="73" t="s">
        <v>46</v>
      </c>
      <c r="D681" s="6" t="s">
        <v>2</v>
      </c>
      <c r="E681" s="7" t="s">
        <v>74</v>
      </c>
      <c r="F681" s="7"/>
      <c r="G681" s="6"/>
      <c r="H681" s="6"/>
      <c r="I681" s="8">
        <v>45997</v>
      </c>
      <c r="J681" s="6"/>
      <c r="K681" s="6"/>
      <c r="L681" s="45"/>
      <c r="M681" s="6"/>
    </row>
    <row r="682" spans="1:13" hidden="1" x14ac:dyDescent="0.25">
      <c r="A682" s="43" t="s">
        <v>569</v>
      </c>
      <c r="B682" s="48"/>
      <c r="C682" s="74" t="s">
        <v>46</v>
      </c>
      <c r="D682" s="6" t="s">
        <v>2</v>
      </c>
      <c r="E682" s="7" t="s">
        <v>74</v>
      </c>
      <c r="F682" s="47"/>
      <c r="I682" s="8">
        <v>45997</v>
      </c>
      <c r="L682" s="45"/>
      <c r="M682" s="6"/>
    </row>
    <row r="683" spans="1:13" hidden="1" x14ac:dyDescent="0.25">
      <c r="A683" s="43" t="s">
        <v>570</v>
      </c>
      <c r="B683" s="54"/>
      <c r="C683" s="74" t="s">
        <v>46</v>
      </c>
      <c r="D683" s="6" t="s">
        <v>2</v>
      </c>
      <c r="E683" s="7" t="s">
        <v>74</v>
      </c>
      <c r="F683" s="47"/>
      <c r="I683" s="8">
        <v>45997</v>
      </c>
      <c r="L683" s="45"/>
      <c r="M683" s="6"/>
    </row>
    <row r="684" spans="1:13" hidden="1" x14ac:dyDescent="0.25">
      <c r="A684" s="55" t="s">
        <v>571</v>
      </c>
      <c r="B684" s="54"/>
      <c r="C684" s="74" t="s">
        <v>46</v>
      </c>
      <c r="D684" s="6" t="s">
        <v>2</v>
      </c>
      <c r="E684" s="7" t="s">
        <v>74</v>
      </c>
      <c r="F684" s="47"/>
      <c r="I684" s="8">
        <v>45997</v>
      </c>
      <c r="L684" s="45"/>
      <c r="M684" s="6"/>
    </row>
    <row r="685" spans="1:13" hidden="1" x14ac:dyDescent="0.25">
      <c r="A685" s="43" t="s">
        <v>572</v>
      </c>
      <c r="B685" s="54"/>
      <c r="C685" s="74" t="s">
        <v>46</v>
      </c>
      <c r="D685" s="6" t="s">
        <v>2</v>
      </c>
      <c r="E685" s="7" t="s">
        <v>74</v>
      </c>
      <c r="F685" s="47"/>
      <c r="I685" s="8">
        <v>45997</v>
      </c>
      <c r="L685" s="45"/>
      <c r="M685" s="6"/>
    </row>
    <row r="686" spans="1:13" hidden="1" x14ac:dyDescent="0.25">
      <c r="A686" s="55" t="s">
        <v>573</v>
      </c>
      <c r="B686" s="54"/>
      <c r="C686" s="74" t="s">
        <v>46</v>
      </c>
      <c r="D686" s="6" t="s">
        <v>2</v>
      </c>
      <c r="E686" s="7" t="s">
        <v>74</v>
      </c>
      <c r="F686" s="47"/>
      <c r="I686" s="8">
        <v>45997</v>
      </c>
      <c r="L686" s="45"/>
      <c r="M686" s="6"/>
    </row>
    <row r="687" spans="1:13" hidden="1" x14ac:dyDescent="0.25">
      <c r="A687" s="43" t="s">
        <v>574</v>
      </c>
      <c r="B687" s="48"/>
      <c r="C687" s="74" t="s">
        <v>46</v>
      </c>
      <c r="D687" s="6" t="s">
        <v>2</v>
      </c>
      <c r="E687" s="7" t="s">
        <v>74</v>
      </c>
      <c r="F687" s="47"/>
      <c r="I687" s="8">
        <v>45997</v>
      </c>
      <c r="L687" s="45"/>
      <c r="M687" s="6"/>
    </row>
    <row r="688" spans="1:13" hidden="1" x14ac:dyDescent="0.25">
      <c r="A688" s="43" t="s">
        <v>575</v>
      </c>
      <c r="B688" s="54"/>
      <c r="C688" s="74" t="s">
        <v>46</v>
      </c>
      <c r="D688" s="6" t="s">
        <v>2</v>
      </c>
      <c r="E688" s="7" t="s">
        <v>74</v>
      </c>
      <c r="F688" s="47"/>
      <c r="I688" s="8">
        <v>45997</v>
      </c>
      <c r="L688" s="45"/>
      <c r="M688" s="6"/>
    </row>
    <row r="689" spans="1:13" hidden="1" x14ac:dyDescent="0.25">
      <c r="A689" s="55" t="s">
        <v>576</v>
      </c>
      <c r="B689" s="54"/>
      <c r="C689" s="74" t="s">
        <v>46</v>
      </c>
      <c r="D689" s="6" t="s">
        <v>2</v>
      </c>
      <c r="E689" s="7" t="s">
        <v>74</v>
      </c>
      <c r="F689" s="47"/>
      <c r="I689" s="8">
        <v>45997</v>
      </c>
      <c r="L689" s="45"/>
      <c r="M689" s="6"/>
    </row>
    <row r="690" spans="1:13" hidden="1" x14ac:dyDescent="0.25">
      <c r="A690" s="43" t="s">
        <v>577</v>
      </c>
      <c r="B690" s="50"/>
      <c r="C690" s="75" t="s">
        <v>46</v>
      </c>
      <c r="D690" s="6" t="s">
        <v>2</v>
      </c>
      <c r="E690" s="7" t="s">
        <v>74</v>
      </c>
      <c r="F690" s="47"/>
      <c r="I690" s="8">
        <v>45997</v>
      </c>
      <c r="L690" s="45" t="s">
        <v>291</v>
      </c>
      <c r="M690" s="6"/>
    </row>
    <row r="691" spans="1:13" hidden="1" x14ac:dyDescent="0.25">
      <c r="A691" s="43" t="s">
        <v>578</v>
      </c>
      <c r="C691" s="73" t="s">
        <v>46</v>
      </c>
      <c r="D691" s="6" t="s">
        <v>2</v>
      </c>
      <c r="E691" s="7" t="s">
        <v>74</v>
      </c>
      <c r="F691" s="7"/>
      <c r="G691" s="6"/>
      <c r="H691" s="6"/>
      <c r="I691" s="8">
        <v>45997</v>
      </c>
      <c r="J691" s="6"/>
      <c r="K691" s="6"/>
      <c r="L691" s="45"/>
      <c r="M691" s="6"/>
    </row>
    <row r="692" spans="1:13" hidden="1" x14ac:dyDescent="0.25">
      <c r="A692" s="43" t="s">
        <v>579</v>
      </c>
      <c r="B692" s="50"/>
      <c r="C692" s="75" t="s">
        <v>46</v>
      </c>
      <c r="D692" s="6" t="s">
        <v>2</v>
      </c>
      <c r="E692" s="7" t="s">
        <v>74</v>
      </c>
      <c r="F692" s="47"/>
      <c r="I692" s="8">
        <v>45997</v>
      </c>
      <c r="L692" s="45" t="s">
        <v>291</v>
      </c>
      <c r="M692" s="6"/>
    </row>
    <row r="693" spans="1:13" hidden="1" x14ac:dyDescent="0.25">
      <c r="A693" s="43" t="s">
        <v>580</v>
      </c>
      <c r="B693" s="50"/>
      <c r="C693" s="75" t="s">
        <v>46</v>
      </c>
      <c r="D693" s="6" t="s">
        <v>2</v>
      </c>
      <c r="E693" s="7" t="s">
        <v>74</v>
      </c>
      <c r="F693" s="47"/>
      <c r="I693" s="8">
        <v>45997</v>
      </c>
      <c r="L693" s="45" t="s">
        <v>291</v>
      </c>
      <c r="M693" s="6"/>
    </row>
    <row r="694" spans="1:13" hidden="1" x14ac:dyDescent="0.25">
      <c r="A694" s="43" t="s">
        <v>581</v>
      </c>
      <c r="B694" s="48"/>
      <c r="C694" s="74" t="s">
        <v>46</v>
      </c>
      <c r="D694" s="6" t="s">
        <v>2</v>
      </c>
      <c r="E694" s="7" t="s">
        <v>74</v>
      </c>
      <c r="F694" s="47"/>
      <c r="I694" s="8">
        <v>45997</v>
      </c>
      <c r="L694" s="45"/>
      <c r="M694" s="6"/>
    </row>
    <row r="695" spans="1:13" hidden="1" x14ac:dyDescent="0.25">
      <c r="A695" s="43" t="s">
        <v>582</v>
      </c>
      <c r="C695" s="73" t="s">
        <v>46</v>
      </c>
      <c r="D695" s="6" t="s">
        <v>2</v>
      </c>
      <c r="E695" s="7" t="s">
        <v>74</v>
      </c>
      <c r="F695" s="7"/>
      <c r="G695" s="6"/>
      <c r="H695" s="6"/>
      <c r="I695" s="8">
        <v>45997</v>
      </c>
      <c r="J695" s="6"/>
      <c r="K695" s="6"/>
      <c r="L695" s="45"/>
      <c r="M695" s="6"/>
    </row>
    <row r="696" spans="1:13" hidden="1" x14ac:dyDescent="0.25">
      <c r="A696" s="43" t="s">
        <v>583</v>
      </c>
      <c r="B696" s="48"/>
      <c r="C696" s="74" t="s">
        <v>46</v>
      </c>
      <c r="D696" s="6" t="s">
        <v>2</v>
      </c>
      <c r="E696" s="7" t="s">
        <v>74</v>
      </c>
      <c r="F696" s="47"/>
      <c r="I696" s="8">
        <v>45997</v>
      </c>
      <c r="L696" s="45"/>
      <c r="M696" s="6"/>
    </row>
    <row r="697" spans="1:13" hidden="1" x14ac:dyDescent="0.25">
      <c r="A697" s="43" t="s">
        <v>584</v>
      </c>
      <c r="C697" s="74" t="s">
        <v>46</v>
      </c>
      <c r="D697" s="6" t="s">
        <v>2</v>
      </c>
      <c r="E697" s="7" t="s">
        <v>74</v>
      </c>
      <c r="F697" s="47"/>
      <c r="I697" s="8">
        <v>45997</v>
      </c>
      <c r="L697" s="45" t="s">
        <v>291</v>
      </c>
      <c r="M697" s="6"/>
    </row>
    <row r="698" spans="1:13" hidden="1" x14ac:dyDescent="0.25">
      <c r="A698" s="43" t="s">
        <v>585</v>
      </c>
      <c r="C698" s="73" t="s">
        <v>46</v>
      </c>
      <c r="D698" s="6" t="s">
        <v>2</v>
      </c>
      <c r="E698" s="7" t="s">
        <v>74</v>
      </c>
      <c r="F698" s="7"/>
      <c r="G698" s="6"/>
      <c r="H698" s="6"/>
      <c r="I698" s="8">
        <v>45997</v>
      </c>
      <c r="J698" s="6"/>
      <c r="K698" s="6"/>
      <c r="L698" s="45"/>
      <c r="M698" s="6"/>
    </row>
    <row r="699" spans="1:13" hidden="1" x14ac:dyDescent="0.25">
      <c r="A699" s="43" t="s">
        <v>586</v>
      </c>
      <c r="C699" s="73" t="s">
        <v>46</v>
      </c>
      <c r="D699" s="6" t="s">
        <v>2</v>
      </c>
      <c r="E699" s="7" t="s">
        <v>74</v>
      </c>
      <c r="F699" s="7"/>
      <c r="G699" s="6"/>
      <c r="H699" s="6"/>
      <c r="I699" s="8">
        <v>45997</v>
      </c>
      <c r="J699" s="6"/>
      <c r="K699" s="6"/>
      <c r="L699" s="45"/>
      <c r="M699" s="6"/>
    </row>
    <row r="700" spans="1:13" hidden="1" x14ac:dyDescent="0.25">
      <c r="A700" s="43" t="s">
        <v>587</v>
      </c>
      <c r="C700" s="73" t="s">
        <v>46</v>
      </c>
      <c r="D700" s="6" t="s">
        <v>2</v>
      </c>
      <c r="E700" s="7" t="s">
        <v>74</v>
      </c>
      <c r="F700" s="7"/>
      <c r="G700" s="6"/>
      <c r="H700" s="6"/>
      <c r="I700" s="8">
        <v>45997</v>
      </c>
      <c r="J700" s="6"/>
      <c r="K700" s="6"/>
      <c r="L700" s="45"/>
      <c r="M700" s="6"/>
    </row>
    <row r="701" spans="1:13" hidden="1" x14ac:dyDescent="0.25">
      <c r="A701" s="43" t="s">
        <v>588</v>
      </c>
      <c r="C701" s="73" t="s">
        <v>46</v>
      </c>
      <c r="D701" s="6" t="s">
        <v>2</v>
      </c>
      <c r="E701" s="7" t="s">
        <v>74</v>
      </c>
      <c r="F701" s="7"/>
      <c r="G701" s="6"/>
      <c r="H701" s="6"/>
      <c r="I701" s="8">
        <v>45997</v>
      </c>
      <c r="J701" s="6"/>
      <c r="K701" s="6"/>
      <c r="L701" s="45"/>
      <c r="M701" s="6"/>
    </row>
    <row r="702" spans="1:13" hidden="1" x14ac:dyDescent="0.25">
      <c r="A702" s="43" t="s">
        <v>589</v>
      </c>
      <c r="C702" s="73" t="s">
        <v>46</v>
      </c>
      <c r="D702" s="6" t="s">
        <v>2</v>
      </c>
      <c r="E702" s="7" t="s">
        <v>74</v>
      </c>
      <c r="F702" s="7"/>
      <c r="G702" s="6"/>
      <c r="H702" s="6"/>
      <c r="I702" s="8">
        <v>45997</v>
      </c>
      <c r="J702" s="6"/>
      <c r="K702" s="6"/>
      <c r="L702" s="45"/>
      <c r="M702" s="6"/>
    </row>
    <row r="703" spans="1:13" hidden="1" x14ac:dyDescent="0.25">
      <c r="A703" s="43" t="s">
        <v>590</v>
      </c>
      <c r="C703" s="73" t="s">
        <v>46</v>
      </c>
      <c r="D703" s="6" t="s">
        <v>2</v>
      </c>
      <c r="E703" s="7" t="s">
        <v>74</v>
      </c>
      <c r="F703" s="7"/>
      <c r="G703" s="6"/>
      <c r="H703" s="6"/>
      <c r="I703" s="8">
        <v>45997</v>
      </c>
      <c r="J703" s="6"/>
      <c r="K703" s="6"/>
      <c r="L703" s="45"/>
      <c r="M703" s="6"/>
    </row>
    <row r="704" spans="1:13" hidden="1" x14ac:dyDescent="0.25">
      <c r="A704" s="43" t="s">
        <v>591</v>
      </c>
      <c r="C704" s="73" t="s">
        <v>46</v>
      </c>
      <c r="D704" s="6" t="s">
        <v>2</v>
      </c>
      <c r="E704" s="7" t="s">
        <v>74</v>
      </c>
      <c r="F704" s="7"/>
      <c r="G704" s="6"/>
      <c r="H704" s="6"/>
      <c r="I704" s="8">
        <v>45997</v>
      </c>
      <c r="J704" s="6"/>
      <c r="K704" s="6"/>
      <c r="L704" s="45"/>
      <c r="M704" s="6"/>
    </row>
    <row r="705" spans="1:13" hidden="1" x14ac:dyDescent="0.25">
      <c r="A705" s="43" t="s">
        <v>592</v>
      </c>
      <c r="C705" s="73" t="s">
        <v>46</v>
      </c>
      <c r="D705" s="6" t="s">
        <v>2</v>
      </c>
      <c r="E705" s="7" t="s">
        <v>74</v>
      </c>
      <c r="F705" s="7"/>
      <c r="G705" s="6"/>
      <c r="H705" s="6"/>
      <c r="I705" s="8">
        <v>45997</v>
      </c>
      <c r="J705" s="6"/>
      <c r="K705" s="6"/>
      <c r="L705" s="45"/>
      <c r="M705" s="6"/>
    </row>
    <row r="706" spans="1:13" hidden="1" x14ac:dyDescent="0.25">
      <c r="A706" s="43" t="s">
        <v>593</v>
      </c>
      <c r="C706" s="73" t="s">
        <v>46</v>
      </c>
      <c r="D706" s="6" t="s">
        <v>2</v>
      </c>
      <c r="E706" s="7" t="s">
        <v>74</v>
      </c>
      <c r="F706" s="7"/>
      <c r="G706" s="6"/>
      <c r="H706" s="6"/>
      <c r="I706" s="8">
        <v>45997</v>
      </c>
      <c r="J706" s="6"/>
      <c r="K706" s="6"/>
      <c r="L706" s="45"/>
      <c r="M706" s="6"/>
    </row>
    <row r="707" spans="1:13" hidden="1" x14ac:dyDescent="0.25">
      <c r="A707" s="43" t="s">
        <v>594</v>
      </c>
      <c r="C707" s="73" t="s">
        <v>46</v>
      </c>
      <c r="D707" s="6" t="s">
        <v>2</v>
      </c>
      <c r="E707" s="7" t="s">
        <v>74</v>
      </c>
      <c r="F707" s="7"/>
      <c r="G707" s="6"/>
      <c r="H707" s="6"/>
      <c r="I707" s="8">
        <v>45997</v>
      </c>
      <c r="J707" s="6"/>
      <c r="K707" s="6"/>
      <c r="L707" s="45"/>
      <c r="M707" s="6"/>
    </row>
    <row r="708" spans="1:13" hidden="1" x14ac:dyDescent="0.25">
      <c r="A708" s="43" t="s">
        <v>595</v>
      </c>
      <c r="C708" s="73" t="s">
        <v>46</v>
      </c>
      <c r="D708" s="6" t="s">
        <v>2</v>
      </c>
      <c r="E708" s="7" t="s">
        <v>74</v>
      </c>
      <c r="F708" s="7"/>
      <c r="G708" s="6"/>
      <c r="H708" s="6"/>
      <c r="I708" s="8">
        <v>45997</v>
      </c>
      <c r="J708" s="6"/>
      <c r="K708" s="6"/>
      <c r="L708" s="45"/>
      <c r="M708" s="6"/>
    </row>
    <row r="709" spans="1:13" hidden="1" x14ac:dyDescent="0.25">
      <c r="A709" s="43" t="s">
        <v>596</v>
      </c>
      <c r="C709" s="73" t="s">
        <v>46</v>
      </c>
      <c r="D709" s="6" t="s">
        <v>2</v>
      </c>
      <c r="E709" s="7" t="s">
        <v>74</v>
      </c>
      <c r="F709" s="7"/>
      <c r="G709" s="6"/>
      <c r="H709" s="6"/>
      <c r="I709" s="8">
        <v>45997</v>
      </c>
      <c r="J709" s="6"/>
      <c r="K709" s="6"/>
      <c r="L709" s="45"/>
      <c r="M709" s="6"/>
    </row>
    <row r="710" spans="1:13" hidden="1" x14ac:dyDescent="0.25">
      <c r="A710" s="43" t="s">
        <v>597</v>
      </c>
      <c r="C710" s="73" t="s">
        <v>46</v>
      </c>
      <c r="D710" s="6" t="s">
        <v>2</v>
      </c>
      <c r="E710" s="7" t="s">
        <v>74</v>
      </c>
      <c r="F710" s="7"/>
      <c r="G710" s="6"/>
      <c r="H710" s="6"/>
      <c r="I710" s="8">
        <v>45997</v>
      </c>
      <c r="J710" s="6"/>
      <c r="K710" s="6"/>
      <c r="L710" s="45"/>
      <c r="M710" s="6"/>
    </row>
    <row r="711" spans="1:13" hidden="1" x14ac:dyDescent="0.25">
      <c r="A711" s="43" t="s">
        <v>598</v>
      </c>
      <c r="C711" s="73" t="s">
        <v>46</v>
      </c>
      <c r="D711" s="6" t="s">
        <v>2</v>
      </c>
      <c r="E711" s="7" t="s">
        <v>74</v>
      </c>
      <c r="F711" s="7"/>
      <c r="G711" s="6"/>
      <c r="H711" s="6"/>
      <c r="I711" s="8">
        <v>45997</v>
      </c>
      <c r="J711" s="6"/>
      <c r="K711" s="6"/>
      <c r="L711" s="45"/>
      <c r="M711" s="6"/>
    </row>
    <row r="712" spans="1:13" hidden="1" x14ac:dyDescent="0.25">
      <c r="A712" s="43" t="s">
        <v>599</v>
      </c>
      <c r="B712" s="49"/>
      <c r="C712" s="74" t="s">
        <v>46</v>
      </c>
      <c r="D712" s="6" t="s">
        <v>2</v>
      </c>
      <c r="E712" s="7" t="s">
        <v>74</v>
      </c>
      <c r="F712" s="47"/>
      <c r="I712" s="8">
        <v>45997</v>
      </c>
      <c r="L712" s="45"/>
      <c r="M712" s="6"/>
    </row>
    <row r="713" spans="1:13" hidden="1" x14ac:dyDescent="0.25">
      <c r="A713" s="43" t="s">
        <v>600</v>
      </c>
      <c r="B713" s="49"/>
      <c r="C713" s="74" t="s">
        <v>46</v>
      </c>
      <c r="D713" s="6" t="s">
        <v>2</v>
      </c>
      <c r="E713" s="7" t="s">
        <v>74</v>
      </c>
      <c r="F713" s="47"/>
      <c r="I713" s="8">
        <v>45997</v>
      </c>
      <c r="L713" s="45"/>
      <c r="M713" s="6"/>
    </row>
    <row r="714" spans="1:13" hidden="1" x14ac:dyDescent="0.25">
      <c r="A714" s="43" t="s">
        <v>601</v>
      </c>
      <c r="C714" s="73" t="s">
        <v>46</v>
      </c>
      <c r="D714" s="6" t="s">
        <v>2</v>
      </c>
      <c r="E714" s="7" t="s">
        <v>74</v>
      </c>
      <c r="F714" s="7"/>
      <c r="G714" s="6"/>
      <c r="H714" s="6"/>
      <c r="I714" s="8">
        <v>45997</v>
      </c>
      <c r="J714" s="6"/>
      <c r="K714" s="6"/>
      <c r="L714" s="45"/>
      <c r="M714" s="6"/>
    </row>
    <row r="715" spans="1:13" hidden="1" x14ac:dyDescent="0.25">
      <c r="A715" s="43" t="s">
        <v>602</v>
      </c>
      <c r="C715" s="73" t="s">
        <v>46</v>
      </c>
      <c r="D715" s="6" t="s">
        <v>2</v>
      </c>
      <c r="E715" s="7" t="s">
        <v>74</v>
      </c>
      <c r="F715" s="7"/>
      <c r="G715" s="6"/>
      <c r="H715" s="6"/>
      <c r="I715" s="8">
        <v>45997</v>
      </c>
      <c r="J715" s="6"/>
      <c r="K715" s="6"/>
      <c r="L715" s="45"/>
      <c r="M715" s="6"/>
    </row>
    <row r="716" spans="1:13" hidden="1" x14ac:dyDescent="0.25">
      <c r="A716" s="43" t="s">
        <v>603</v>
      </c>
      <c r="C716" s="73" t="s">
        <v>46</v>
      </c>
      <c r="D716" s="6" t="s">
        <v>2</v>
      </c>
      <c r="E716" s="7" t="s">
        <v>74</v>
      </c>
      <c r="F716" s="7"/>
      <c r="G716" s="6"/>
      <c r="H716" s="6"/>
      <c r="I716" s="8">
        <v>45997</v>
      </c>
      <c r="J716" s="6"/>
      <c r="K716" s="6"/>
      <c r="L716" s="45"/>
      <c r="M716" s="6"/>
    </row>
    <row r="717" spans="1:13" hidden="1" x14ac:dyDescent="0.25">
      <c r="A717" s="43" t="s">
        <v>604</v>
      </c>
      <c r="C717" s="73" t="s">
        <v>46</v>
      </c>
      <c r="D717" s="6" t="s">
        <v>2</v>
      </c>
      <c r="E717" s="7" t="s">
        <v>74</v>
      </c>
      <c r="F717" s="7"/>
      <c r="G717" s="6"/>
      <c r="H717" s="6"/>
      <c r="I717" s="8">
        <v>45997</v>
      </c>
      <c r="J717" s="6"/>
      <c r="K717" s="6"/>
      <c r="L717" s="45"/>
      <c r="M717" s="6"/>
    </row>
    <row r="718" spans="1:13" hidden="1" x14ac:dyDescent="0.25">
      <c r="A718" s="43" t="s">
        <v>605</v>
      </c>
      <c r="C718" s="73" t="s">
        <v>46</v>
      </c>
      <c r="D718" s="6" t="s">
        <v>2</v>
      </c>
      <c r="E718" s="7" t="s">
        <v>74</v>
      </c>
      <c r="F718" s="7"/>
      <c r="G718" s="6"/>
      <c r="H718" s="6"/>
      <c r="I718" s="8">
        <v>45997</v>
      </c>
      <c r="J718" s="6"/>
      <c r="K718" s="6"/>
      <c r="L718" s="45"/>
      <c r="M718" s="6"/>
    </row>
    <row r="719" spans="1:13" hidden="1" x14ac:dyDescent="0.25">
      <c r="A719" s="43" t="s">
        <v>606</v>
      </c>
      <c r="C719" s="73" t="s">
        <v>46</v>
      </c>
      <c r="D719" s="6" t="s">
        <v>2</v>
      </c>
      <c r="E719" s="7" t="s">
        <v>74</v>
      </c>
      <c r="F719" s="7"/>
      <c r="G719" s="6"/>
      <c r="H719" s="6"/>
      <c r="I719" s="8">
        <v>45997</v>
      </c>
      <c r="J719" s="6"/>
      <c r="K719" s="6"/>
      <c r="L719" s="45"/>
      <c r="M719" s="6"/>
    </row>
    <row r="720" spans="1:13" hidden="1" x14ac:dyDescent="0.25">
      <c r="A720" s="43" t="s">
        <v>607</v>
      </c>
      <c r="C720" s="73" t="s">
        <v>46</v>
      </c>
      <c r="D720" s="6" t="s">
        <v>2</v>
      </c>
      <c r="E720" s="7" t="s">
        <v>74</v>
      </c>
      <c r="F720" s="7"/>
      <c r="G720" s="6"/>
      <c r="H720" s="6"/>
      <c r="I720" s="8">
        <v>45997</v>
      </c>
      <c r="J720" s="6"/>
      <c r="K720" s="6"/>
      <c r="L720" s="45"/>
      <c r="M720" s="6"/>
    </row>
    <row r="721" spans="1:13" hidden="1" x14ac:dyDescent="0.25">
      <c r="A721" s="43" t="s">
        <v>608</v>
      </c>
      <c r="C721" s="73" t="s">
        <v>46</v>
      </c>
      <c r="D721" s="6" t="s">
        <v>2</v>
      </c>
      <c r="E721" s="7" t="s">
        <v>74</v>
      </c>
      <c r="F721" s="7"/>
      <c r="G721" s="6"/>
      <c r="H721" s="6"/>
      <c r="I721" s="8">
        <v>45997</v>
      </c>
      <c r="J721" s="6"/>
      <c r="K721" s="6"/>
      <c r="L721" s="45"/>
      <c r="M721" s="6"/>
    </row>
    <row r="722" spans="1:13" hidden="1" x14ac:dyDescent="0.25">
      <c r="A722" s="43" t="s">
        <v>609</v>
      </c>
      <c r="C722" s="73" t="s">
        <v>46</v>
      </c>
      <c r="D722" s="6" t="s">
        <v>2</v>
      </c>
      <c r="E722" s="7" t="s">
        <v>74</v>
      </c>
      <c r="F722" s="7"/>
      <c r="G722" s="6"/>
      <c r="H722" s="6"/>
      <c r="I722" s="8">
        <v>45997</v>
      </c>
      <c r="J722" s="6"/>
      <c r="K722" s="6"/>
      <c r="L722" s="45"/>
      <c r="M722" s="6"/>
    </row>
    <row r="723" spans="1:13" hidden="1" x14ac:dyDescent="0.25">
      <c r="A723" s="43" t="s">
        <v>610</v>
      </c>
      <c r="C723" s="73" t="s">
        <v>46</v>
      </c>
      <c r="D723" s="6" t="s">
        <v>2</v>
      </c>
      <c r="E723" s="7" t="s">
        <v>74</v>
      </c>
      <c r="F723" s="7"/>
      <c r="G723" s="6"/>
      <c r="H723" s="6"/>
      <c r="I723" s="8">
        <v>45997</v>
      </c>
      <c r="J723" s="6"/>
      <c r="K723" s="6"/>
      <c r="L723" s="45"/>
      <c r="M723" s="6"/>
    </row>
    <row r="724" spans="1:13" hidden="1" x14ac:dyDescent="0.25">
      <c r="A724" s="43" t="s">
        <v>611</v>
      </c>
      <c r="C724" s="73" t="s">
        <v>46</v>
      </c>
      <c r="D724" s="6" t="s">
        <v>2</v>
      </c>
      <c r="E724" s="7" t="s">
        <v>74</v>
      </c>
      <c r="F724" s="7"/>
      <c r="G724" s="6"/>
      <c r="H724" s="6"/>
      <c r="I724" s="8">
        <v>45997</v>
      </c>
      <c r="J724" s="6"/>
      <c r="K724" s="6"/>
      <c r="L724" s="45"/>
      <c r="M724" s="6"/>
    </row>
    <row r="725" spans="1:13" hidden="1" x14ac:dyDescent="0.25">
      <c r="A725" s="43" t="s">
        <v>612</v>
      </c>
      <c r="C725" s="73" t="s">
        <v>46</v>
      </c>
      <c r="D725" s="6" t="s">
        <v>2</v>
      </c>
      <c r="E725" s="7" t="s">
        <v>74</v>
      </c>
      <c r="F725" s="7"/>
      <c r="G725" s="6"/>
      <c r="H725" s="6"/>
      <c r="I725" s="8">
        <v>45997</v>
      </c>
      <c r="J725" s="6"/>
      <c r="K725" s="6"/>
      <c r="L725" s="45"/>
      <c r="M725" s="6"/>
    </row>
    <row r="726" spans="1:13" hidden="1" x14ac:dyDescent="0.25">
      <c r="A726" s="43" t="s">
        <v>613</v>
      </c>
      <c r="C726" s="73" t="s">
        <v>46</v>
      </c>
      <c r="D726" s="6" t="s">
        <v>2</v>
      </c>
      <c r="E726" s="7" t="s">
        <v>74</v>
      </c>
      <c r="F726" s="7"/>
      <c r="G726" s="6"/>
      <c r="H726" s="6"/>
      <c r="I726" s="8">
        <v>45997</v>
      </c>
      <c r="J726" s="6"/>
      <c r="K726" s="6"/>
      <c r="L726" s="45"/>
      <c r="M726" s="6"/>
    </row>
    <row r="727" spans="1:13" hidden="1" x14ac:dyDescent="0.25">
      <c r="A727" s="43" t="s">
        <v>614</v>
      </c>
      <c r="C727" s="73" t="s">
        <v>46</v>
      </c>
      <c r="D727" s="6" t="s">
        <v>2</v>
      </c>
      <c r="E727" s="7" t="s">
        <v>74</v>
      </c>
      <c r="F727" s="7"/>
      <c r="G727" s="6"/>
      <c r="H727" s="6"/>
      <c r="I727" s="8">
        <v>45997</v>
      </c>
      <c r="J727" s="6"/>
      <c r="K727" s="6"/>
      <c r="L727" s="45"/>
      <c r="M727" s="6"/>
    </row>
    <row r="728" spans="1:13" hidden="1" x14ac:dyDescent="0.25">
      <c r="A728" s="43" t="s">
        <v>615</v>
      </c>
      <c r="C728" s="73" t="s">
        <v>46</v>
      </c>
      <c r="D728" s="6" t="s">
        <v>2</v>
      </c>
      <c r="E728" s="7" t="s">
        <v>74</v>
      </c>
      <c r="F728" s="7"/>
      <c r="G728" s="6"/>
      <c r="H728" s="6"/>
      <c r="I728" s="8">
        <v>45997</v>
      </c>
      <c r="J728" s="6"/>
      <c r="K728" s="6"/>
      <c r="L728" s="45"/>
      <c r="M728" s="6"/>
    </row>
    <row r="729" spans="1:13" hidden="1" x14ac:dyDescent="0.25">
      <c r="A729" s="43" t="s">
        <v>616</v>
      </c>
      <c r="C729" s="73" t="s">
        <v>46</v>
      </c>
      <c r="D729" s="6" t="s">
        <v>2</v>
      </c>
      <c r="E729" s="7" t="s">
        <v>74</v>
      </c>
      <c r="F729" s="7"/>
      <c r="G729" s="6"/>
      <c r="H729" s="6"/>
      <c r="I729" s="8">
        <v>45997</v>
      </c>
      <c r="J729" s="6"/>
      <c r="K729" s="6"/>
      <c r="L729" s="45"/>
      <c r="M729" s="6"/>
    </row>
    <row r="730" spans="1:13" hidden="1" x14ac:dyDescent="0.25">
      <c r="A730" s="43" t="s">
        <v>617</v>
      </c>
      <c r="C730" s="73" t="s">
        <v>46</v>
      </c>
      <c r="D730" s="6" t="s">
        <v>2</v>
      </c>
      <c r="E730" s="7" t="s">
        <v>74</v>
      </c>
      <c r="F730" s="7"/>
      <c r="G730" s="6"/>
      <c r="H730" s="6"/>
      <c r="I730" s="8">
        <v>45997</v>
      </c>
      <c r="J730" s="6"/>
      <c r="K730" s="6"/>
      <c r="L730" s="45"/>
      <c r="M730" s="6"/>
    </row>
    <row r="731" spans="1:13" hidden="1" x14ac:dyDescent="0.25">
      <c r="A731" s="43" t="s">
        <v>618</v>
      </c>
      <c r="B731" s="48"/>
      <c r="C731" s="73" t="s">
        <v>46</v>
      </c>
      <c r="D731" s="6" t="s">
        <v>2</v>
      </c>
      <c r="E731" s="7" t="s">
        <v>74</v>
      </c>
      <c r="F731" s="47"/>
      <c r="I731" s="8">
        <v>45997</v>
      </c>
      <c r="L731" s="45"/>
      <c r="M731" s="6"/>
    </row>
    <row r="732" spans="1:13" hidden="1" x14ac:dyDescent="0.25">
      <c r="A732" s="43" t="s">
        <v>619</v>
      </c>
      <c r="C732" s="73" t="s">
        <v>46</v>
      </c>
      <c r="D732" s="6" t="s">
        <v>2</v>
      </c>
      <c r="E732" s="7" t="s">
        <v>74</v>
      </c>
      <c r="F732" s="7"/>
      <c r="G732" s="6"/>
      <c r="H732" s="6"/>
      <c r="I732" s="8">
        <v>45997</v>
      </c>
      <c r="J732" s="6"/>
      <c r="K732" s="6"/>
      <c r="L732" s="45"/>
      <c r="M732" s="6"/>
    </row>
    <row r="733" spans="1:13" hidden="1" x14ac:dyDescent="0.25">
      <c r="A733" s="43" t="s">
        <v>620</v>
      </c>
      <c r="C733" s="73" t="s">
        <v>46</v>
      </c>
      <c r="D733" s="6" t="s">
        <v>2</v>
      </c>
      <c r="E733" s="7" t="s">
        <v>74</v>
      </c>
      <c r="F733" s="7"/>
      <c r="G733" s="6"/>
      <c r="H733" s="6"/>
      <c r="I733" s="8">
        <v>45997</v>
      </c>
      <c r="J733" s="6"/>
      <c r="K733" s="6"/>
      <c r="L733" s="45"/>
      <c r="M733" s="6"/>
    </row>
    <row r="734" spans="1:13" hidden="1" x14ac:dyDescent="0.25">
      <c r="A734" s="43" t="s">
        <v>621</v>
      </c>
      <c r="C734" s="73" t="s">
        <v>46</v>
      </c>
      <c r="D734" s="6" t="s">
        <v>2</v>
      </c>
      <c r="E734" s="7" t="s">
        <v>74</v>
      </c>
      <c r="F734" s="7"/>
      <c r="G734" s="6"/>
      <c r="H734" s="6"/>
      <c r="I734" s="8">
        <v>45997</v>
      </c>
      <c r="J734" s="6"/>
      <c r="K734" s="6"/>
      <c r="L734" s="45"/>
      <c r="M734" s="6"/>
    </row>
    <row r="735" spans="1:13" hidden="1" x14ac:dyDescent="0.25">
      <c r="A735" s="43" t="s">
        <v>622</v>
      </c>
      <c r="C735" s="73" t="s">
        <v>46</v>
      </c>
      <c r="D735" s="6" t="s">
        <v>2</v>
      </c>
      <c r="E735" s="7" t="s">
        <v>74</v>
      </c>
      <c r="F735" s="7"/>
      <c r="G735" s="6"/>
      <c r="H735" s="6"/>
      <c r="I735" s="8">
        <v>45997</v>
      </c>
      <c r="J735" s="6"/>
      <c r="K735" s="6"/>
      <c r="L735" s="45"/>
      <c r="M735" s="6"/>
    </row>
    <row r="736" spans="1:13" hidden="1" x14ac:dyDescent="0.25">
      <c r="A736" s="43" t="s">
        <v>623</v>
      </c>
      <c r="C736" s="73" t="s">
        <v>46</v>
      </c>
      <c r="D736" s="6" t="s">
        <v>2</v>
      </c>
      <c r="E736" s="7" t="s">
        <v>74</v>
      </c>
      <c r="F736" s="7"/>
      <c r="G736" s="6"/>
      <c r="H736" s="6"/>
      <c r="I736" s="8">
        <v>45997</v>
      </c>
      <c r="J736" s="6"/>
      <c r="K736" s="6"/>
      <c r="L736" s="45"/>
      <c r="M736" s="6"/>
    </row>
    <row r="737" spans="1:13" hidden="1" x14ac:dyDescent="0.25">
      <c r="A737" s="43" t="s">
        <v>624</v>
      </c>
      <c r="C737" s="73" t="s">
        <v>46</v>
      </c>
      <c r="D737" s="6" t="s">
        <v>2</v>
      </c>
      <c r="E737" s="7" t="s">
        <v>74</v>
      </c>
      <c r="F737" s="7"/>
      <c r="G737" s="6"/>
      <c r="H737" s="6"/>
      <c r="I737" s="8">
        <v>45997</v>
      </c>
      <c r="J737" s="6"/>
      <c r="K737" s="6"/>
      <c r="L737" s="45"/>
      <c r="M737" s="6"/>
    </row>
    <row r="738" spans="1:13" hidden="1" x14ac:dyDescent="0.25">
      <c r="A738" s="43" t="s">
        <v>625</v>
      </c>
      <c r="B738" s="49"/>
      <c r="C738" s="74" t="s">
        <v>46</v>
      </c>
      <c r="D738" s="6" t="s">
        <v>2</v>
      </c>
      <c r="E738" s="7" t="s">
        <v>74</v>
      </c>
      <c r="F738" s="47"/>
      <c r="I738" s="8">
        <v>45997</v>
      </c>
      <c r="L738" s="45"/>
      <c r="M738" s="6"/>
    </row>
    <row r="739" spans="1:13" hidden="1" x14ac:dyDescent="0.25">
      <c r="A739" s="43" t="s">
        <v>626</v>
      </c>
      <c r="C739" s="73" t="s">
        <v>46</v>
      </c>
      <c r="D739" s="6" t="s">
        <v>2</v>
      </c>
      <c r="E739" s="7" t="s">
        <v>74</v>
      </c>
      <c r="F739" s="7"/>
      <c r="G739" s="6"/>
      <c r="H739" s="6"/>
      <c r="I739" s="8">
        <v>45997</v>
      </c>
      <c r="J739" s="6"/>
      <c r="K739" s="6"/>
      <c r="L739" s="45"/>
      <c r="M739" s="6"/>
    </row>
    <row r="740" spans="1:13" hidden="1" x14ac:dyDescent="0.25">
      <c r="A740" s="43" t="s">
        <v>627</v>
      </c>
      <c r="C740" s="73" t="s">
        <v>46</v>
      </c>
      <c r="D740" s="6" t="s">
        <v>2</v>
      </c>
      <c r="E740" s="7" t="s">
        <v>74</v>
      </c>
      <c r="F740" s="7"/>
      <c r="G740" s="6"/>
      <c r="H740" s="6"/>
      <c r="I740" s="8">
        <v>45997</v>
      </c>
      <c r="J740" s="6"/>
      <c r="K740" s="6"/>
      <c r="L740" s="45"/>
      <c r="M740" s="6"/>
    </row>
    <row r="741" spans="1:13" hidden="1" x14ac:dyDescent="0.25">
      <c r="A741" s="43" t="s">
        <v>628</v>
      </c>
      <c r="C741" s="73" t="s">
        <v>46</v>
      </c>
      <c r="D741" s="6" t="s">
        <v>2</v>
      </c>
      <c r="E741" s="7" t="s">
        <v>74</v>
      </c>
      <c r="F741" s="7"/>
      <c r="G741" s="6"/>
      <c r="H741" s="6"/>
      <c r="I741" s="8">
        <v>45997</v>
      </c>
      <c r="J741" s="6"/>
      <c r="K741" s="6"/>
      <c r="L741" s="45"/>
      <c r="M741" s="6"/>
    </row>
    <row r="742" spans="1:13" hidden="1" x14ac:dyDescent="0.25">
      <c r="A742" s="43" t="s">
        <v>629</v>
      </c>
      <c r="B742" s="49"/>
      <c r="C742" s="74" t="s">
        <v>46</v>
      </c>
      <c r="D742" s="6" t="s">
        <v>2</v>
      </c>
      <c r="E742" s="7" t="s">
        <v>74</v>
      </c>
      <c r="F742" s="47"/>
      <c r="I742" s="8">
        <v>45997</v>
      </c>
      <c r="L742" s="45"/>
      <c r="M742" s="6"/>
    </row>
    <row r="743" spans="1:13" hidden="1" x14ac:dyDescent="0.25">
      <c r="A743" s="43" t="s">
        <v>630</v>
      </c>
      <c r="B743" s="48"/>
      <c r="C743" s="73" t="s">
        <v>46</v>
      </c>
      <c r="D743" s="6" t="s">
        <v>2</v>
      </c>
      <c r="E743" s="7" t="s">
        <v>74</v>
      </c>
      <c r="F743" s="47"/>
      <c r="I743" s="8">
        <v>45997</v>
      </c>
      <c r="L743" s="45"/>
      <c r="M743" s="6"/>
    </row>
    <row r="744" spans="1:13" hidden="1" x14ac:dyDescent="0.25">
      <c r="A744" s="43" t="s">
        <v>631</v>
      </c>
      <c r="C744" s="73" t="s">
        <v>46</v>
      </c>
      <c r="D744" s="6" t="s">
        <v>2</v>
      </c>
      <c r="E744" s="7" t="s">
        <v>74</v>
      </c>
      <c r="F744" s="7"/>
      <c r="G744" s="6"/>
      <c r="H744" s="6"/>
      <c r="I744" s="8">
        <v>45997</v>
      </c>
      <c r="J744" s="6"/>
      <c r="K744" s="6"/>
      <c r="L744" s="45"/>
      <c r="M744" s="6"/>
    </row>
    <row r="745" spans="1:13" hidden="1" x14ac:dyDescent="0.25">
      <c r="A745" s="43" t="s">
        <v>632</v>
      </c>
      <c r="C745" s="73" t="s">
        <v>46</v>
      </c>
      <c r="D745" s="6" t="s">
        <v>2</v>
      </c>
      <c r="E745" s="7" t="s">
        <v>74</v>
      </c>
      <c r="F745" s="7"/>
      <c r="G745" s="6"/>
      <c r="H745" s="6"/>
      <c r="I745" s="8">
        <v>45997</v>
      </c>
      <c r="J745" s="6"/>
      <c r="K745" s="6"/>
      <c r="L745" s="45"/>
      <c r="M745" s="6"/>
    </row>
    <row r="746" spans="1:13" hidden="1" x14ac:dyDescent="0.25">
      <c r="A746" s="43" t="s">
        <v>633</v>
      </c>
      <c r="C746" s="73" t="s">
        <v>46</v>
      </c>
      <c r="D746" s="6" t="s">
        <v>2</v>
      </c>
      <c r="E746" s="7" t="s">
        <v>74</v>
      </c>
      <c r="F746" s="7"/>
      <c r="G746" s="6"/>
      <c r="H746" s="6"/>
      <c r="I746" s="8">
        <v>45997</v>
      </c>
      <c r="J746" s="6"/>
      <c r="K746" s="6"/>
      <c r="L746" s="45"/>
      <c r="M746" s="6"/>
    </row>
    <row r="747" spans="1:13" hidden="1" x14ac:dyDescent="0.25">
      <c r="A747" s="43" t="s">
        <v>634</v>
      </c>
      <c r="C747" s="73" t="s">
        <v>46</v>
      </c>
      <c r="D747" s="6" t="s">
        <v>2</v>
      </c>
      <c r="E747" s="7" t="s">
        <v>74</v>
      </c>
      <c r="F747" s="7"/>
      <c r="G747" s="6"/>
      <c r="H747" s="6"/>
      <c r="I747" s="8">
        <v>45997</v>
      </c>
      <c r="J747" s="6"/>
      <c r="K747" s="6"/>
      <c r="L747" s="45"/>
      <c r="M747" s="6"/>
    </row>
    <row r="748" spans="1:13" hidden="1" x14ac:dyDescent="0.25">
      <c r="A748" s="43" t="s">
        <v>635</v>
      </c>
      <c r="C748" s="73" t="s">
        <v>46</v>
      </c>
      <c r="D748" s="6" t="s">
        <v>2</v>
      </c>
      <c r="E748" s="7" t="s">
        <v>74</v>
      </c>
      <c r="F748" s="7"/>
      <c r="G748" s="6"/>
      <c r="H748" s="6"/>
      <c r="I748" s="8">
        <v>45997</v>
      </c>
      <c r="J748" s="6"/>
      <c r="K748" s="6"/>
      <c r="L748" s="45"/>
      <c r="M748" s="6"/>
    </row>
    <row r="749" spans="1:13" hidden="1" x14ac:dyDescent="0.25">
      <c r="A749" s="43" t="s">
        <v>636</v>
      </c>
      <c r="C749" s="73" t="s">
        <v>46</v>
      </c>
      <c r="D749" s="6" t="s">
        <v>2</v>
      </c>
      <c r="E749" s="7" t="s">
        <v>74</v>
      </c>
      <c r="F749" s="7"/>
      <c r="G749" s="6"/>
      <c r="H749" s="6"/>
      <c r="I749" s="8">
        <v>45997</v>
      </c>
      <c r="J749" s="6"/>
      <c r="K749" s="6"/>
      <c r="L749" s="45"/>
      <c r="M749" s="6"/>
    </row>
    <row r="750" spans="1:13" hidden="1" x14ac:dyDescent="0.25">
      <c r="A750" s="43" t="s">
        <v>637</v>
      </c>
      <c r="C750" s="73" t="s">
        <v>46</v>
      </c>
      <c r="D750" s="6" t="s">
        <v>2</v>
      </c>
      <c r="E750" s="7" t="s">
        <v>74</v>
      </c>
      <c r="F750" s="7"/>
      <c r="G750" s="6"/>
      <c r="H750" s="6"/>
      <c r="I750" s="8">
        <v>45997</v>
      </c>
      <c r="J750" s="6"/>
      <c r="K750" s="6"/>
      <c r="L750" s="45"/>
      <c r="M750" s="6"/>
    </row>
    <row r="751" spans="1:13" hidden="1" x14ac:dyDescent="0.25">
      <c r="A751" s="43" t="s">
        <v>638</v>
      </c>
      <c r="B751" s="49"/>
      <c r="C751" s="74" t="s">
        <v>46</v>
      </c>
      <c r="D751" s="6" t="s">
        <v>2</v>
      </c>
      <c r="E751" s="7" t="s">
        <v>74</v>
      </c>
      <c r="F751" s="47"/>
      <c r="I751" s="8">
        <v>45997</v>
      </c>
      <c r="L751" s="45"/>
      <c r="M751" s="6"/>
    </row>
    <row r="752" spans="1:13" hidden="1" x14ac:dyDescent="0.25">
      <c r="A752" s="43" t="s">
        <v>639</v>
      </c>
      <c r="C752" s="73" t="s">
        <v>46</v>
      </c>
      <c r="D752" s="6" t="s">
        <v>2</v>
      </c>
      <c r="E752" s="7" t="s">
        <v>74</v>
      </c>
      <c r="F752" s="7"/>
      <c r="G752" s="6"/>
      <c r="H752" s="6"/>
      <c r="I752" s="8">
        <v>45997</v>
      </c>
      <c r="J752" s="6"/>
      <c r="K752" s="6"/>
      <c r="L752" s="45"/>
      <c r="M752" s="6"/>
    </row>
    <row r="753" spans="1:13" hidden="1" x14ac:dyDescent="0.25">
      <c r="A753" s="43" t="s">
        <v>640</v>
      </c>
      <c r="B753" s="48"/>
      <c r="C753" s="73" t="s">
        <v>46</v>
      </c>
      <c r="D753" s="6" t="s">
        <v>2</v>
      </c>
      <c r="E753" s="7" t="s">
        <v>74</v>
      </c>
      <c r="F753" s="47"/>
      <c r="I753" s="8">
        <v>45997</v>
      </c>
      <c r="L753" s="45"/>
      <c r="M753" s="6"/>
    </row>
    <row r="754" spans="1:13" hidden="1" x14ac:dyDescent="0.25">
      <c r="A754" s="43" t="s">
        <v>641</v>
      </c>
      <c r="C754" s="73" t="s">
        <v>46</v>
      </c>
      <c r="D754" s="6" t="s">
        <v>2</v>
      </c>
      <c r="E754" s="7" t="s">
        <v>74</v>
      </c>
      <c r="F754" s="7"/>
      <c r="G754" s="6"/>
      <c r="H754" s="6"/>
      <c r="I754" s="8">
        <v>45997</v>
      </c>
      <c r="J754" s="6"/>
      <c r="K754" s="6"/>
      <c r="L754" s="45"/>
      <c r="M754" s="6"/>
    </row>
    <row r="755" spans="1:13" hidden="1" x14ac:dyDescent="0.25">
      <c r="A755" s="43" t="s">
        <v>642</v>
      </c>
      <c r="C755" s="73" t="s">
        <v>46</v>
      </c>
      <c r="D755" s="6" t="s">
        <v>2</v>
      </c>
      <c r="E755" s="7" t="s">
        <v>74</v>
      </c>
      <c r="F755" s="7"/>
      <c r="G755" s="6"/>
      <c r="H755" s="6"/>
      <c r="I755" s="8">
        <v>45997</v>
      </c>
      <c r="J755" s="6"/>
      <c r="K755" s="6"/>
      <c r="L755" s="45"/>
      <c r="M755" s="6"/>
    </row>
    <row r="756" spans="1:13" hidden="1" x14ac:dyDescent="0.25">
      <c r="A756" s="43" t="s">
        <v>643</v>
      </c>
      <c r="C756" s="73" t="s">
        <v>46</v>
      </c>
      <c r="D756" s="6" t="s">
        <v>2</v>
      </c>
      <c r="E756" s="7" t="s">
        <v>74</v>
      </c>
      <c r="F756" s="7"/>
      <c r="G756" s="6"/>
      <c r="H756" s="6"/>
      <c r="I756" s="8">
        <v>45997</v>
      </c>
      <c r="J756" s="6"/>
      <c r="K756" s="6"/>
      <c r="L756" s="45"/>
      <c r="M756" s="6"/>
    </row>
    <row r="757" spans="1:13" hidden="1" x14ac:dyDescent="0.25">
      <c r="A757" s="43" t="s">
        <v>644</v>
      </c>
      <c r="C757" s="73" t="s">
        <v>46</v>
      </c>
      <c r="D757" s="6" t="s">
        <v>2</v>
      </c>
      <c r="E757" s="7" t="s">
        <v>74</v>
      </c>
      <c r="F757" s="7"/>
      <c r="G757" s="6"/>
      <c r="H757" s="6"/>
      <c r="I757" s="8">
        <v>45997</v>
      </c>
      <c r="J757" s="6"/>
      <c r="K757" s="6"/>
      <c r="L757" s="45"/>
      <c r="M757" s="6"/>
    </row>
    <row r="758" spans="1:13" hidden="1" x14ac:dyDescent="0.25">
      <c r="A758" s="43" t="s">
        <v>645</v>
      </c>
      <c r="C758" s="73" t="s">
        <v>46</v>
      </c>
      <c r="D758" s="6" t="s">
        <v>2</v>
      </c>
      <c r="E758" s="7" t="s">
        <v>74</v>
      </c>
      <c r="F758" s="7"/>
      <c r="G758" s="6"/>
      <c r="H758" s="6"/>
      <c r="I758" s="8">
        <v>45997</v>
      </c>
      <c r="J758" s="6"/>
      <c r="K758" s="6"/>
      <c r="L758" s="45"/>
      <c r="M758" s="6"/>
    </row>
    <row r="759" spans="1:13" hidden="1" x14ac:dyDescent="0.25">
      <c r="A759" s="43" t="s">
        <v>646</v>
      </c>
      <c r="C759" s="73" t="s">
        <v>46</v>
      </c>
      <c r="D759" s="6" t="s">
        <v>2</v>
      </c>
      <c r="E759" s="7" t="s">
        <v>74</v>
      </c>
      <c r="F759" s="7"/>
      <c r="G759" s="6"/>
      <c r="H759" s="6"/>
      <c r="I759" s="8">
        <v>45997</v>
      </c>
      <c r="J759" s="6"/>
      <c r="K759" s="6"/>
      <c r="L759" s="45"/>
      <c r="M759" s="6"/>
    </row>
    <row r="760" spans="1:13" hidden="1" x14ac:dyDescent="0.25">
      <c r="A760" s="43" t="s">
        <v>647</v>
      </c>
      <c r="C760" s="73" t="s">
        <v>46</v>
      </c>
      <c r="D760" s="6" t="s">
        <v>2</v>
      </c>
      <c r="E760" s="7" t="s">
        <v>74</v>
      </c>
      <c r="F760" s="7"/>
      <c r="G760" s="6"/>
      <c r="H760" s="6"/>
      <c r="I760" s="8">
        <v>45997</v>
      </c>
      <c r="J760" s="6"/>
      <c r="K760" s="6"/>
      <c r="L760" s="45"/>
      <c r="M760" s="6"/>
    </row>
    <row r="761" spans="1:13" hidden="1" x14ac:dyDescent="0.25">
      <c r="A761" s="43" t="s">
        <v>648</v>
      </c>
      <c r="C761" s="73" t="s">
        <v>46</v>
      </c>
      <c r="D761" s="6" t="s">
        <v>2</v>
      </c>
      <c r="E761" s="7" t="s">
        <v>74</v>
      </c>
      <c r="F761" s="7"/>
      <c r="G761" s="6"/>
      <c r="H761" s="6"/>
      <c r="I761" s="8">
        <v>45997</v>
      </c>
      <c r="J761" s="6"/>
      <c r="K761" s="6"/>
      <c r="L761" s="45"/>
      <c r="M761" s="6"/>
    </row>
    <row r="762" spans="1:13" hidden="1" x14ac:dyDescent="0.25">
      <c r="A762" s="43" t="s">
        <v>649</v>
      </c>
      <c r="B762" s="49"/>
      <c r="C762" s="74" t="s">
        <v>46</v>
      </c>
      <c r="D762" s="6" t="s">
        <v>2</v>
      </c>
      <c r="E762" s="7" t="s">
        <v>74</v>
      </c>
      <c r="F762" s="47"/>
      <c r="I762" s="8">
        <v>45997</v>
      </c>
      <c r="L762" s="45"/>
      <c r="M762" s="6"/>
    </row>
    <row r="763" spans="1:13" hidden="1" x14ac:dyDescent="0.25">
      <c r="A763" s="43" t="s">
        <v>650</v>
      </c>
      <c r="C763" s="73" t="s">
        <v>46</v>
      </c>
      <c r="D763" s="6" t="s">
        <v>2</v>
      </c>
      <c r="E763" s="7" t="s">
        <v>74</v>
      </c>
      <c r="F763" s="7"/>
      <c r="G763" s="6"/>
      <c r="H763" s="6"/>
      <c r="I763" s="8">
        <v>45997</v>
      </c>
      <c r="J763" s="6"/>
      <c r="K763" s="6"/>
      <c r="L763" s="45"/>
      <c r="M763" s="6"/>
    </row>
    <row r="764" spans="1:13" hidden="1" x14ac:dyDescent="0.25">
      <c r="A764" s="43" t="s">
        <v>651</v>
      </c>
      <c r="C764" s="73" t="s">
        <v>46</v>
      </c>
      <c r="D764" s="6" t="s">
        <v>2</v>
      </c>
      <c r="E764" s="7" t="s">
        <v>74</v>
      </c>
      <c r="F764" s="7"/>
      <c r="G764" s="6"/>
      <c r="H764" s="6"/>
      <c r="I764" s="8">
        <v>45997</v>
      </c>
      <c r="J764" s="6"/>
      <c r="K764" s="6"/>
      <c r="L764" s="45"/>
      <c r="M764" s="6"/>
    </row>
    <row r="765" spans="1:13" hidden="1" x14ac:dyDescent="0.25">
      <c r="A765" s="43" t="s">
        <v>652</v>
      </c>
      <c r="C765" s="73" t="s">
        <v>46</v>
      </c>
      <c r="D765" s="6" t="s">
        <v>2</v>
      </c>
      <c r="E765" s="7" t="s">
        <v>74</v>
      </c>
      <c r="F765" s="7"/>
      <c r="G765" s="6"/>
      <c r="H765" s="6"/>
      <c r="I765" s="8">
        <v>45997</v>
      </c>
      <c r="J765" s="6"/>
      <c r="K765" s="6"/>
      <c r="L765" s="45"/>
      <c r="M765" s="6"/>
    </row>
    <row r="766" spans="1:13" hidden="1" x14ac:dyDescent="0.25">
      <c r="A766" s="43" t="s">
        <v>653</v>
      </c>
      <c r="C766" s="73" t="s">
        <v>46</v>
      </c>
      <c r="D766" s="6" t="s">
        <v>2</v>
      </c>
      <c r="E766" s="7" t="s">
        <v>74</v>
      </c>
      <c r="F766" s="7"/>
      <c r="G766" s="6"/>
      <c r="H766" s="6"/>
      <c r="I766" s="8">
        <v>45997</v>
      </c>
      <c r="J766" s="6"/>
      <c r="K766" s="6"/>
      <c r="L766" s="45"/>
      <c r="M766" s="6"/>
    </row>
    <row r="767" spans="1:13" hidden="1" x14ac:dyDescent="0.25">
      <c r="A767" s="43" t="s">
        <v>654</v>
      </c>
      <c r="C767" s="73" t="s">
        <v>46</v>
      </c>
      <c r="D767" s="6" t="s">
        <v>2</v>
      </c>
      <c r="E767" s="7" t="s">
        <v>74</v>
      </c>
      <c r="F767" s="7"/>
      <c r="G767" s="6"/>
      <c r="H767" s="6"/>
      <c r="I767" s="8">
        <v>45997</v>
      </c>
      <c r="J767" s="6"/>
      <c r="K767" s="6"/>
      <c r="L767" s="45"/>
      <c r="M767" s="6"/>
    </row>
    <row r="768" spans="1:13" hidden="1" x14ac:dyDescent="0.25">
      <c r="A768" s="43" t="s">
        <v>655</v>
      </c>
      <c r="C768" s="73" t="s">
        <v>46</v>
      </c>
      <c r="D768" s="6" t="s">
        <v>2</v>
      </c>
      <c r="E768" s="7" t="s">
        <v>74</v>
      </c>
      <c r="F768" s="7"/>
      <c r="G768" s="6"/>
      <c r="H768" s="6"/>
      <c r="I768" s="8">
        <v>45997</v>
      </c>
      <c r="J768" s="6"/>
      <c r="K768" s="6"/>
      <c r="L768" s="45"/>
      <c r="M768" s="6"/>
    </row>
    <row r="769" spans="1:13" hidden="1" x14ac:dyDescent="0.25">
      <c r="A769" s="43" t="s">
        <v>656</v>
      </c>
      <c r="C769" s="73" t="s">
        <v>46</v>
      </c>
      <c r="D769" s="6" t="s">
        <v>2</v>
      </c>
      <c r="E769" s="7" t="s">
        <v>74</v>
      </c>
      <c r="F769" s="7"/>
      <c r="G769" s="6"/>
      <c r="H769" s="6"/>
      <c r="I769" s="8">
        <v>45997</v>
      </c>
      <c r="J769" s="6"/>
      <c r="K769" s="6"/>
      <c r="L769" s="45"/>
      <c r="M769" s="6"/>
    </row>
    <row r="770" spans="1:13" hidden="1" x14ac:dyDescent="0.25">
      <c r="A770" s="43" t="s">
        <v>657</v>
      </c>
      <c r="C770" s="73" t="s">
        <v>46</v>
      </c>
      <c r="D770" s="6" t="s">
        <v>2</v>
      </c>
      <c r="E770" s="7" t="s">
        <v>74</v>
      </c>
      <c r="F770" s="7"/>
      <c r="G770" s="6"/>
      <c r="H770" s="6"/>
      <c r="I770" s="8">
        <v>45997</v>
      </c>
      <c r="J770" s="6"/>
      <c r="K770" s="6"/>
      <c r="L770" s="45"/>
      <c r="M770" s="6"/>
    </row>
    <row r="771" spans="1:13" hidden="1" x14ac:dyDescent="0.25">
      <c r="A771" s="43" t="s">
        <v>658</v>
      </c>
      <c r="C771" s="73" t="s">
        <v>46</v>
      </c>
      <c r="D771" s="6" t="s">
        <v>2</v>
      </c>
      <c r="E771" s="7" t="s">
        <v>74</v>
      </c>
      <c r="F771" s="7"/>
      <c r="G771" s="6"/>
      <c r="H771" s="6"/>
      <c r="I771" s="8">
        <v>45997</v>
      </c>
      <c r="J771" s="6"/>
      <c r="K771" s="6"/>
      <c r="L771" s="45"/>
      <c r="M771" s="6"/>
    </row>
    <row r="772" spans="1:13" hidden="1" x14ac:dyDescent="0.25">
      <c r="A772" s="43" t="s">
        <v>659</v>
      </c>
      <c r="B772" s="49"/>
      <c r="C772" s="74" t="s">
        <v>46</v>
      </c>
      <c r="D772" s="6" t="s">
        <v>2</v>
      </c>
      <c r="E772" s="7" t="s">
        <v>74</v>
      </c>
      <c r="F772" s="47"/>
      <c r="I772" s="8">
        <v>45997</v>
      </c>
      <c r="L772" s="45"/>
      <c r="M772" s="6"/>
    </row>
    <row r="773" spans="1:13" hidden="1" x14ac:dyDescent="0.25">
      <c r="A773" s="43" t="s">
        <v>660</v>
      </c>
      <c r="C773" s="73" t="s">
        <v>46</v>
      </c>
      <c r="D773" s="6" t="s">
        <v>2</v>
      </c>
      <c r="E773" s="7" t="s">
        <v>74</v>
      </c>
      <c r="F773" s="7"/>
      <c r="G773" s="6"/>
      <c r="H773" s="6"/>
      <c r="I773" s="8">
        <v>45997</v>
      </c>
      <c r="J773" s="6"/>
      <c r="K773" s="6"/>
      <c r="L773" s="45"/>
      <c r="M773" s="6"/>
    </row>
    <row r="774" spans="1:13" hidden="1" x14ac:dyDescent="0.25">
      <c r="A774" s="43" t="s">
        <v>661</v>
      </c>
      <c r="C774" s="73" t="s">
        <v>46</v>
      </c>
      <c r="D774" s="6" t="s">
        <v>2</v>
      </c>
      <c r="E774" s="7" t="s">
        <v>74</v>
      </c>
      <c r="F774" s="7"/>
      <c r="G774" s="6"/>
      <c r="H774" s="6"/>
      <c r="I774" s="8">
        <v>45997</v>
      </c>
      <c r="J774" s="6"/>
      <c r="K774" s="6"/>
      <c r="L774" s="45"/>
      <c r="M774" s="6"/>
    </row>
    <row r="775" spans="1:13" hidden="1" x14ac:dyDescent="0.25">
      <c r="A775" s="43" t="s">
        <v>662</v>
      </c>
      <c r="C775" s="73" t="s">
        <v>46</v>
      </c>
      <c r="D775" s="6" t="s">
        <v>2</v>
      </c>
      <c r="E775" s="7" t="s">
        <v>74</v>
      </c>
      <c r="F775" s="7"/>
      <c r="G775" s="6"/>
      <c r="H775" s="6"/>
      <c r="I775" s="8">
        <v>45997</v>
      </c>
      <c r="J775" s="6"/>
      <c r="K775" s="6"/>
      <c r="L775" s="45"/>
      <c r="M775" s="6"/>
    </row>
    <row r="776" spans="1:13" hidden="1" x14ac:dyDescent="0.25">
      <c r="A776" s="43" t="s">
        <v>663</v>
      </c>
      <c r="B776" s="48"/>
      <c r="C776" s="73" t="s">
        <v>46</v>
      </c>
      <c r="D776" s="6" t="s">
        <v>2</v>
      </c>
      <c r="E776" s="7" t="s">
        <v>74</v>
      </c>
      <c r="F776" s="47"/>
      <c r="I776" s="8">
        <v>45997</v>
      </c>
      <c r="L776" s="45"/>
      <c r="M776" s="6"/>
    </row>
    <row r="777" spans="1:13" hidden="1" x14ac:dyDescent="0.25">
      <c r="A777" s="43" t="s">
        <v>664</v>
      </c>
      <c r="C777" s="73" t="s">
        <v>46</v>
      </c>
      <c r="D777" s="6" t="s">
        <v>2</v>
      </c>
      <c r="E777" s="7" t="s">
        <v>74</v>
      </c>
      <c r="F777" s="7"/>
      <c r="G777" s="6"/>
      <c r="H777" s="6"/>
      <c r="I777" s="8">
        <v>45997</v>
      </c>
      <c r="J777" s="6"/>
      <c r="K777" s="6"/>
      <c r="L777" s="45"/>
      <c r="M777" s="6"/>
    </row>
    <row r="778" spans="1:13" hidden="1" x14ac:dyDescent="0.25">
      <c r="A778" s="43" t="s">
        <v>665</v>
      </c>
      <c r="C778" s="73" t="s">
        <v>46</v>
      </c>
      <c r="D778" s="6" t="s">
        <v>2</v>
      </c>
      <c r="E778" s="7" t="s">
        <v>74</v>
      </c>
      <c r="F778" s="7"/>
      <c r="G778" s="6"/>
      <c r="H778" s="6"/>
      <c r="I778" s="8">
        <v>45997</v>
      </c>
      <c r="J778" s="6"/>
      <c r="K778" s="6"/>
      <c r="L778" s="45"/>
      <c r="M778" s="6"/>
    </row>
    <row r="779" spans="1:13" hidden="1" x14ac:dyDescent="0.25">
      <c r="A779" s="43" t="s">
        <v>666</v>
      </c>
      <c r="C779" s="73" t="s">
        <v>46</v>
      </c>
      <c r="D779" s="6" t="s">
        <v>2</v>
      </c>
      <c r="E779" s="7" t="s">
        <v>74</v>
      </c>
      <c r="F779" s="7"/>
      <c r="G779" s="6"/>
      <c r="H779" s="6"/>
      <c r="I779" s="8">
        <v>45997</v>
      </c>
      <c r="J779" s="6"/>
      <c r="K779" s="6"/>
      <c r="L779" s="45"/>
      <c r="M779" s="6"/>
    </row>
    <row r="780" spans="1:13" hidden="1" x14ac:dyDescent="0.25">
      <c r="A780" s="43" t="s">
        <v>667</v>
      </c>
      <c r="C780" s="73" t="s">
        <v>46</v>
      </c>
      <c r="D780" s="6" t="s">
        <v>2</v>
      </c>
      <c r="E780" s="7" t="s">
        <v>74</v>
      </c>
      <c r="F780" s="7"/>
      <c r="G780" s="6"/>
      <c r="H780" s="6"/>
      <c r="I780" s="8">
        <v>45997</v>
      </c>
      <c r="J780" s="6"/>
      <c r="K780" s="6"/>
      <c r="L780" s="45"/>
      <c r="M780" s="6"/>
    </row>
    <row r="781" spans="1:13" hidden="1" x14ac:dyDescent="0.25">
      <c r="A781" s="43" t="s">
        <v>668</v>
      </c>
      <c r="C781" s="73" t="s">
        <v>46</v>
      </c>
      <c r="D781" s="6" t="s">
        <v>2</v>
      </c>
      <c r="E781" s="7" t="s">
        <v>74</v>
      </c>
      <c r="F781" s="7"/>
      <c r="G781" s="6"/>
      <c r="H781" s="6"/>
      <c r="I781" s="8">
        <v>45997</v>
      </c>
      <c r="J781" s="6"/>
      <c r="K781" s="6"/>
      <c r="L781" s="45"/>
      <c r="M781" s="6"/>
    </row>
    <row r="782" spans="1:13" hidden="1" x14ac:dyDescent="0.25">
      <c r="A782" s="43" t="s">
        <v>669</v>
      </c>
      <c r="C782" s="73" t="s">
        <v>46</v>
      </c>
      <c r="D782" s="6" t="s">
        <v>2</v>
      </c>
      <c r="E782" s="7" t="s">
        <v>74</v>
      </c>
      <c r="F782" s="7"/>
      <c r="G782" s="6"/>
      <c r="H782" s="6"/>
      <c r="I782" s="8">
        <v>45997</v>
      </c>
      <c r="J782" s="6"/>
      <c r="K782" s="6"/>
      <c r="L782" s="45"/>
      <c r="M782" s="6"/>
    </row>
    <row r="783" spans="1:13" hidden="1" x14ac:dyDescent="0.25">
      <c r="A783" s="43" t="s">
        <v>670</v>
      </c>
      <c r="C783" s="73" t="s">
        <v>46</v>
      </c>
      <c r="D783" s="6" t="s">
        <v>2</v>
      </c>
      <c r="E783" s="7" t="s">
        <v>74</v>
      </c>
      <c r="F783" s="7"/>
      <c r="G783" s="6"/>
      <c r="H783" s="6"/>
      <c r="I783" s="8">
        <v>45997</v>
      </c>
      <c r="J783" s="6"/>
      <c r="K783" s="6"/>
      <c r="L783" s="45"/>
      <c r="M783" s="6"/>
    </row>
    <row r="784" spans="1:13" hidden="1" x14ac:dyDescent="0.25">
      <c r="A784" s="43" t="s">
        <v>671</v>
      </c>
      <c r="C784" s="73" t="s">
        <v>46</v>
      </c>
      <c r="D784" s="6" t="s">
        <v>2</v>
      </c>
      <c r="E784" s="7" t="s">
        <v>74</v>
      </c>
      <c r="F784" s="7"/>
      <c r="G784" s="6"/>
      <c r="H784" s="6"/>
      <c r="I784" s="8">
        <v>45997</v>
      </c>
      <c r="J784" s="6"/>
      <c r="K784" s="6"/>
      <c r="L784" s="45"/>
      <c r="M784" s="6"/>
    </row>
    <row r="785" spans="1:13" hidden="1" x14ac:dyDescent="0.25">
      <c r="A785" s="43" t="s">
        <v>672</v>
      </c>
      <c r="C785" s="73" t="s">
        <v>46</v>
      </c>
      <c r="D785" s="6" t="s">
        <v>2</v>
      </c>
      <c r="E785" s="7" t="s">
        <v>74</v>
      </c>
      <c r="F785" s="7"/>
      <c r="G785" s="6"/>
      <c r="H785" s="6"/>
      <c r="I785" s="8">
        <v>45997</v>
      </c>
      <c r="J785" s="6"/>
      <c r="K785" s="6"/>
      <c r="L785" s="45"/>
      <c r="M785" s="6"/>
    </row>
    <row r="786" spans="1:13" hidden="1" x14ac:dyDescent="0.25">
      <c r="A786" s="43" t="s">
        <v>673</v>
      </c>
      <c r="C786" s="73" t="s">
        <v>46</v>
      </c>
      <c r="D786" s="6" t="s">
        <v>2</v>
      </c>
      <c r="E786" s="7" t="s">
        <v>74</v>
      </c>
      <c r="F786" s="7"/>
      <c r="G786" s="6"/>
      <c r="H786" s="6"/>
      <c r="I786" s="8">
        <v>45997</v>
      </c>
      <c r="J786" s="6"/>
      <c r="K786" s="6"/>
      <c r="L786" s="45"/>
      <c r="M786" s="6"/>
    </row>
    <row r="787" spans="1:13" hidden="1" x14ac:dyDescent="0.25">
      <c r="A787" s="43" t="s">
        <v>674</v>
      </c>
      <c r="C787" s="73" t="s">
        <v>46</v>
      </c>
      <c r="D787" s="6" t="s">
        <v>2</v>
      </c>
      <c r="E787" s="7" t="s">
        <v>74</v>
      </c>
      <c r="F787" s="7"/>
      <c r="G787" s="6"/>
      <c r="H787" s="6"/>
      <c r="I787" s="8">
        <v>45997</v>
      </c>
      <c r="J787" s="6"/>
      <c r="K787" s="6"/>
      <c r="L787" s="45"/>
      <c r="M787" s="6"/>
    </row>
    <row r="788" spans="1:13" hidden="1" x14ac:dyDescent="0.25">
      <c r="A788" s="43" t="s">
        <v>675</v>
      </c>
      <c r="C788" s="73" t="s">
        <v>46</v>
      </c>
      <c r="D788" s="6" t="s">
        <v>2</v>
      </c>
      <c r="E788" s="7" t="s">
        <v>74</v>
      </c>
      <c r="F788" s="7"/>
      <c r="G788" s="6"/>
      <c r="H788" s="6"/>
      <c r="I788" s="8">
        <v>45997</v>
      </c>
      <c r="J788" s="6"/>
      <c r="K788" s="6"/>
      <c r="L788" s="45"/>
      <c r="M788" s="6"/>
    </row>
    <row r="789" spans="1:13" hidden="1" x14ac:dyDescent="0.25">
      <c r="A789" s="43" t="s">
        <v>676</v>
      </c>
      <c r="C789" s="73" t="s">
        <v>46</v>
      </c>
      <c r="D789" s="6" t="s">
        <v>2</v>
      </c>
      <c r="E789" s="7" t="s">
        <v>74</v>
      </c>
      <c r="F789" s="7"/>
      <c r="G789" s="6"/>
      <c r="H789" s="6"/>
      <c r="I789" s="8">
        <v>45997</v>
      </c>
      <c r="J789" s="6"/>
      <c r="K789" s="6"/>
      <c r="L789" s="45"/>
      <c r="M789" s="6"/>
    </row>
    <row r="790" spans="1:13" hidden="1" x14ac:dyDescent="0.25">
      <c r="A790" s="43" t="s">
        <v>677</v>
      </c>
      <c r="C790" s="73" t="s">
        <v>46</v>
      </c>
      <c r="D790" s="6" t="s">
        <v>2</v>
      </c>
      <c r="E790" s="7" t="s">
        <v>74</v>
      </c>
      <c r="F790" s="7"/>
      <c r="G790" s="6"/>
      <c r="H790" s="6"/>
      <c r="I790" s="8">
        <v>45997</v>
      </c>
      <c r="J790" s="6"/>
      <c r="K790" s="6"/>
      <c r="L790" s="45"/>
      <c r="M790" s="6"/>
    </row>
    <row r="791" spans="1:13" hidden="1" x14ac:dyDescent="0.25">
      <c r="A791" s="43" t="s">
        <v>678</v>
      </c>
      <c r="C791" s="73" t="s">
        <v>46</v>
      </c>
      <c r="D791" s="6" t="s">
        <v>2</v>
      </c>
      <c r="E791" s="7" t="s">
        <v>74</v>
      </c>
      <c r="F791" s="7"/>
      <c r="G791" s="6"/>
      <c r="H791" s="6"/>
      <c r="I791" s="8">
        <v>45997</v>
      </c>
      <c r="J791" s="6"/>
      <c r="K791" s="6"/>
      <c r="L791" s="45"/>
      <c r="M791" s="6"/>
    </row>
    <row r="792" spans="1:13" ht="15" hidden="1" customHeight="1" x14ac:dyDescent="0.25">
      <c r="A792" s="43">
        <v>22348522505346</v>
      </c>
      <c r="C792" s="73" t="s">
        <v>30</v>
      </c>
      <c r="D792" s="6" t="s">
        <v>2</v>
      </c>
      <c r="E792" s="7" t="s">
        <v>76</v>
      </c>
      <c r="F792" s="7" t="s">
        <v>101</v>
      </c>
      <c r="G792" s="6"/>
      <c r="H792" s="7" t="s">
        <v>679</v>
      </c>
      <c r="I792" s="7">
        <v>45877</v>
      </c>
      <c r="J792" s="6"/>
      <c r="K792" s="6"/>
      <c r="L792" s="45"/>
      <c r="M792" s="6"/>
    </row>
    <row r="793" spans="1:13" ht="15" hidden="1" customHeight="1" x14ac:dyDescent="0.25">
      <c r="A793" s="43">
        <v>22332522506273</v>
      </c>
      <c r="C793" s="73" t="s">
        <v>30</v>
      </c>
      <c r="D793" s="6" t="s">
        <v>2</v>
      </c>
      <c r="E793" s="7" t="s">
        <v>76</v>
      </c>
      <c r="F793" s="7" t="s">
        <v>101</v>
      </c>
      <c r="G793" s="6"/>
      <c r="H793" s="7" t="s">
        <v>680</v>
      </c>
      <c r="I793" s="7">
        <v>45971</v>
      </c>
      <c r="J793" s="6"/>
      <c r="K793" s="6"/>
      <c r="L793" s="45"/>
      <c r="M793" s="6"/>
    </row>
    <row r="794" spans="1:13" ht="15" hidden="1" customHeight="1" x14ac:dyDescent="0.25">
      <c r="A794" s="43">
        <v>22333522509971</v>
      </c>
      <c r="C794" s="73" t="s">
        <v>30</v>
      </c>
      <c r="D794" s="6" t="s">
        <v>2</v>
      </c>
      <c r="E794" s="7" t="s">
        <v>76</v>
      </c>
      <c r="F794" s="7" t="s">
        <v>101</v>
      </c>
      <c r="G794" s="6"/>
      <c r="H794" s="7" t="s">
        <v>679</v>
      </c>
      <c r="I794" s="7">
        <v>45985</v>
      </c>
      <c r="J794" s="6"/>
      <c r="K794" s="6"/>
      <c r="L794" s="45"/>
      <c r="M794" s="6"/>
    </row>
    <row r="795" spans="1:13" ht="15" hidden="1" customHeight="1" x14ac:dyDescent="0.25">
      <c r="A795" s="43">
        <v>22322522503014</v>
      </c>
      <c r="C795" s="73" t="s">
        <v>30</v>
      </c>
      <c r="D795" s="6" t="s">
        <v>2</v>
      </c>
      <c r="E795" s="7" t="s">
        <v>76</v>
      </c>
      <c r="F795" s="7" t="s">
        <v>25</v>
      </c>
      <c r="G795" s="7"/>
      <c r="H795" s="6"/>
      <c r="I795" s="8"/>
      <c r="J795" s="6"/>
      <c r="K795" s="6"/>
      <c r="L795" s="45"/>
      <c r="M795" s="6"/>
    </row>
    <row r="796" spans="1:13" ht="15" hidden="1" customHeight="1" x14ac:dyDescent="0.25">
      <c r="A796" s="43">
        <v>22322522503026</v>
      </c>
      <c r="C796" s="73" t="s">
        <v>30</v>
      </c>
      <c r="D796" s="6" t="s">
        <v>2</v>
      </c>
      <c r="E796" s="7" t="s">
        <v>74</v>
      </c>
      <c r="F796" s="7"/>
      <c r="G796" s="7"/>
      <c r="H796" s="6"/>
      <c r="I796" s="8"/>
      <c r="J796" s="6"/>
      <c r="K796" s="6"/>
      <c r="L796" s="45"/>
      <c r="M796" s="6"/>
    </row>
    <row r="797" spans="1:13" ht="15" hidden="1" customHeight="1" x14ac:dyDescent="0.25">
      <c r="A797" s="43">
        <v>22322522503038</v>
      </c>
      <c r="C797" s="73" t="s">
        <v>30</v>
      </c>
      <c r="D797" s="6" t="s">
        <v>2</v>
      </c>
      <c r="E797" s="7" t="s">
        <v>74</v>
      </c>
      <c r="F797" s="7"/>
      <c r="G797" s="7"/>
      <c r="H797" s="6"/>
      <c r="I797" s="8"/>
      <c r="J797" s="6"/>
      <c r="K797" s="6"/>
      <c r="L797" s="45"/>
      <c r="M797" s="6"/>
    </row>
    <row r="798" spans="1:13" ht="15" hidden="1" customHeight="1" x14ac:dyDescent="0.25">
      <c r="A798" s="43">
        <v>22322522503117</v>
      </c>
      <c r="C798" s="73" t="s">
        <v>30</v>
      </c>
      <c r="D798" s="6" t="s">
        <v>2</v>
      </c>
      <c r="E798" s="7" t="s">
        <v>74</v>
      </c>
      <c r="F798" s="7"/>
      <c r="G798" s="7"/>
      <c r="H798" s="6"/>
      <c r="I798" s="8"/>
      <c r="J798" s="6"/>
      <c r="K798" s="6"/>
      <c r="L798" s="45"/>
      <c r="M798" s="6"/>
    </row>
    <row r="799" spans="1:13" ht="15" hidden="1" customHeight="1" x14ac:dyDescent="0.25">
      <c r="A799" s="43">
        <v>22323522510010</v>
      </c>
      <c r="C799" s="73" t="s">
        <v>30</v>
      </c>
      <c r="D799" s="6" t="s">
        <v>2</v>
      </c>
      <c r="E799" s="7" t="s">
        <v>74</v>
      </c>
      <c r="F799" s="7"/>
      <c r="G799" s="7"/>
      <c r="H799" s="6"/>
      <c r="I799" s="8"/>
      <c r="J799" s="6"/>
      <c r="K799" s="6"/>
      <c r="L799" s="45"/>
      <c r="M799" s="6"/>
    </row>
    <row r="800" spans="1:13" ht="15" hidden="1" customHeight="1" x14ac:dyDescent="0.25">
      <c r="A800" s="43">
        <v>22323522510027</v>
      </c>
      <c r="C800" s="73" t="s">
        <v>30</v>
      </c>
      <c r="D800" s="6" t="s">
        <v>2</v>
      </c>
      <c r="E800" s="7" t="s">
        <v>74</v>
      </c>
      <c r="F800" s="7"/>
      <c r="G800" s="7"/>
      <c r="H800" s="6"/>
      <c r="I800" s="8"/>
      <c r="J800" s="6"/>
      <c r="K800" s="6"/>
      <c r="L800" s="45"/>
      <c r="M800" s="6"/>
    </row>
    <row r="801" spans="1:13" ht="15" hidden="1" customHeight="1" x14ac:dyDescent="0.25">
      <c r="A801" s="43">
        <v>22323522510096</v>
      </c>
      <c r="C801" s="73" t="s">
        <v>30</v>
      </c>
      <c r="D801" s="6" t="s">
        <v>2</v>
      </c>
      <c r="E801" s="7" t="s">
        <v>74</v>
      </c>
      <c r="F801" s="7"/>
      <c r="G801" s="7"/>
      <c r="H801" s="6"/>
      <c r="I801" s="8"/>
      <c r="J801" s="6"/>
      <c r="K801" s="6"/>
      <c r="L801" s="45"/>
      <c r="M801" s="6"/>
    </row>
    <row r="802" spans="1:13" ht="15" hidden="1" customHeight="1" x14ac:dyDescent="0.25">
      <c r="A802" s="43">
        <v>22323522510099</v>
      </c>
      <c r="C802" s="73" t="s">
        <v>30</v>
      </c>
      <c r="D802" s="6" t="s">
        <v>2</v>
      </c>
      <c r="E802" s="7" t="s">
        <v>74</v>
      </c>
      <c r="F802" s="7"/>
      <c r="G802" s="7"/>
      <c r="H802" s="6"/>
      <c r="I802" s="8"/>
      <c r="J802" s="6"/>
      <c r="K802" s="6"/>
      <c r="L802" s="45"/>
      <c r="M802" s="6"/>
    </row>
    <row r="803" spans="1:13" ht="15" hidden="1" customHeight="1" x14ac:dyDescent="0.25">
      <c r="A803" s="43">
        <v>22323522510105</v>
      </c>
      <c r="C803" s="73" t="s">
        <v>30</v>
      </c>
      <c r="D803" s="6" t="s">
        <v>2</v>
      </c>
      <c r="E803" s="7" t="s">
        <v>74</v>
      </c>
      <c r="F803" s="7"/>
      <c r="G803" s="7"/>
      <c r="H803" s="6"/>
      <c r="I803" s="8"/>
      <c r="J803" s="6"/>
      <c r="K803" s="6"/>
      <c r="L803" s="45"/>
      <c r="M803" s="6"/>
    </row>
    <row r="804" spans="1:13" ht="15" hidden="1" customHeight="1" x14ac:dyDescent="0.25">
      <c r="A804" s="43">
        <v>22323522510128</v>
      </c>
      <c r="C804" s="73" t="s">
        <v>30</v>
      </c>
      <c r="D804" s="6" t="s">
        <v>2</v>
      </c>
      <c r="E804" s="7" t="s">
        <v>74</v>
      </c>
      <c r="F804" s="7"/>
      <c r="G804" s="7"/>
      <c r="H804" s="6"/>
      <c r="I804" s="8"/>
      <c r="J804" s="6"/>
      <c r="K804" s="6"/>
      <c r="L804" s="45"/>
      <c r="M804" s="6"/>
    </row>
    <row r="805" spans="1:13" ht="15" hidden="1" customHeight="1" x14ac:dyDescent="0.25">
      <c r="A805" s="43">
        <v>22323522510143</v>
      </c>
      <c r="C805" s="73" t="s">
        <v>30</v>
      </c>
      <c r="D805" s="6" t="s">
        <v>2</v>
      </c>
      <c r="E805" s="7" t="s">
        <v>74</v>
      </c>
      <c r="F805" s="7"/>
      <c r="G805" s="7"/>
      <c r="H805" s="6"/>
      <c r="I805" s="8"/>
      <c r="J805" s="6"/>
      <c r="K805" s="6"/>
      <c r="L805" s="45"/>
      <c r="M805" s="6"/>
    </row>
    <row r="806" spans="1:13" ht="15" hidden="1" customHeight="1" x14ac:dyDescent="0.25">
      <c r="A806" s="43">
        <v>22323522510144</v>
      </c>
      <c r="C806" s="73" t="s">
        <v>30</v>
      </c>
      <c r="D806" s="6" t="s">
        <v>2</v>
      </c>
      <c r="E806" s="7" t="s">
        <v>74</v>
      </c>
      <c r="F806" s="7"/>
      <c r="G806" s="7"/>
      <c r="H806" s="6"/>
      <c r="I806" s="8"/>
      <c r="J806" s="6"/>
      <c r="K806" s="6"/>
      <c r="L806" s="45"/>
      <c r="M806" s="6"/>
    </row>
    <row r="807" spans="1:13" ht="15" hidden="1" customHeight="1" x14ac:dyDescent="0.25">
      <c r="A807" s="43">
        <v>22323522510158</v>
      </c>
      <c r="C807" s="73" t="s">
        <v>30</v>
      </c>
      <c r="D807" s="6" t="s">
        <v>2</v>
      </c>
      <c r="E807" s="7" t="s">
        <v>74</v>
      </c>
      <c r="F807" s="7"/>
      <c r="G807" s="7"/>
      <c r="H807" s="6"/>
      <c r="I807" s="8"/>
      <c r="J807" s="6"/>
      <c r="K807" s="6"/>
      <c r="L807" s="45"/>
      <c r="M807" s="6"/>
    </row>
    <row r="808" spans="1:13" ht="15" hidden="1" customHeight="1" x14ac:dyDescent="0.25">
      <c r="A808" s="43">
        <v>22323522510161</v>
      </c>
      <c r="C808" s="73" t="s">
        <v>30</v>
      </c>
      <c r="D808" s="6" t="s">
        <v>2</v>
      </c>
      <c r="E808" s="7" t="s">
        <v>74</v>
      </c>
      <c r="F808" s="7"/>
      <c r="G808" s="7"/>
      <c r="H808" s="6"/>
      <c r="I808" s="8"/>
      <c r="J808" s="6"/>
      <c r="K808" s="6"/>
      <c r="L808" s="45"/>
      <c r="M808" s="6"/>
    </row>
    <row r="809" spans="1:13" ht="15" hidden="1" customHeight="1" x14ac:dyDescent="0.25">
      <c r="A809" s="43">
        <v>22323522510162</v>
      </c>
      <c r="C809" s="73" t="s">
        <v>30</v>
      </c>
      <c r="D809" s="6" t="s">
        <v>2</v>
      </c>
      <c r="E809" s="7" t="s">
        <v>74</v>
      </c>
      <c r="F809" s="7"/>
      <c r="G809" s="7"/>
      <c r="H809" s="6"/>
      <c r="I809" s="8"/>
      <c r="J809" s="6"/>
      <c r="K809" s="6"/>
      <c r="L809" s="45"/>
      <c r="M809" s="6"/>
    </row>
    <row r="810" spans="1:13" ht="15" hidden="1" customHeight="1" x14ac:dyDescent="0.25">
      <c r="A810" s="43">
        <v>22323522510203</v>
      </c>
      <c r="C810" s="73" t="s">
        <v>30</v>
      </c>
      <c r="D810" s="6" t="s">
        <v>2</v>
      </c>
      <c r="E810" s="7" t="s">
        <v>74</v>
      </c>
      <c r="F810" s="7"/>
      <c r="G810" s="7"/>
      <c r="H810" s="6"/>
      <c r="I810" s="8"/>
      <c r="J810" s="6"/>
      <c r="K810" s="6"/>
      <c r="L810" s="45"/>
      <c r="M810" s="6"/>
    </row>
    <row r="811" spans="1:13" ht="15" hidden="1" customHeight="1" x14ac:dyDescent="0.25">
      <c r="A811" s="43">
        <v>22323522510220</v>
      </c>
      <c r="C811" s="73" t="s">
        <v>30</v>
      </c>
      <c r="D811" s="6" t="s">
        <v>2</v>
      </c>
      <c r="E811" s="7" t="s">
        <v>74</v>
      </c>
      <c r="F811" s="7"/>
      <c r="G811" s="7"/>
      <c r="H811" s="6"/>
      <c r="I811" s="8"/>
      <c r="J811" s="6"/>
      <c r="K811" s="6"/>
      <c r="L811" s="45"/>
      <c r="M811" s="6"/>
    </row>
    <row r="812" spans="1:13" ht="15" hidden="1" customHeight="1" x14ac:dyDescent="0.25">
      <c r="A812" s="43">
        <v>22323522510224</v>
      </c>
      <c r="C812" s="73" t="s">
        <v>30</v>
      </c>
      <c r="D812" s="6" t="s">
        <v>2</v>
      </c>
      <c r="E812" s="7" t="s">
        <v>74</v>
      </c>
      <c r="F812" s="7"/>
      <c r="G812" s="7"/>
      <c r="H812" s="6"/>
      <c r="I812" s="8"/>
      <c r="J812" s="6"/>
      <c r="K812" s="6"/>
      <c r="L812" s="45"/>
      <c r="M812" s="6"/>
    </row>
    <row r="813" spans="1:13" ht="15" hidden="1" customHeight="1" x14ac:dyDescent="0.25">
      <c r="A813" s="43">
        <v>22325522504839</v>
      </c>
      <c r="C813" s="73" t="s">
        <v>30</v>
      </c>
      <c r="D813" s="6" t="s">
        <v>2</v>
      </c>
      <c r="E813" s="7" t="s">
        <v>74</v>
      </c>
      <c r="F813" s="7"/>
      <c r="G813" s="7"/>
      <c r="H813" s="6"/>
      <c r="I813" s="8"/>
      <c r="J813" s="6"/>
      <c r="K813" s="6"/>
      <c r="L813" s="45"/>
      <c r="M813" s="6"/>
    </row>
    <row r="814" spans="1:13" ht="15" hidden="1" customHeight="1" x14ac:dyDescent="0.25">
      <c r="A814" s="43">
        <v>22325522504864</v>
      </c>
      <c r="C814" s="73" t="s">
        <v>30</v>
      </c>
      <c r="D814" s="6" t="s">
        <v>2</v>
      </c>
      <c r="E814" s="7" t="s">
        <v>74</v>
      </c>
      <c r="F814" s="7"/>
      <c r="G814" s="7"/>
      <c r="H814" s="6"/>
      <c r="I814" s="8"/>
      <c r="J814" s="6"/>
      <c r="K814" s="6"/>
      <c r="L814" s="45"/>
      <c r="M814" s="6"/>
    </row>
    <row r="815" spans="1:13" ht="15" hidden="1" customHeight="1" x14ac:dyDescent="0.25">
      <c r="A815" s="43">
        <v>22325522504893</v>
      </c>
      <c r="C815" s="73" t="s">
        <v>30</v>
      </c>
      <c r="D815" s="6" t="s">
        <v>2</v>
      </c>
      <c r="E815" s="7" t="s">
        <v>74</v>
      </c>
      <c r="F815" s="7"/>
      <c r="G815" s="7"/>
      <c r="H815" s="6"/>
      <c r="I815" s="8"/>
      <c r="J815" s="6"/>
      <c r="K815" s="6"/>
      <c r="L815" s="45"/>
      <c r="M815" s="6"/>
    </row>
    <row r="816" spans="1:13" ht="15" hidden="1" customHeight="1" x14ac:dyDescent="0.25">
      <c r="A816" s="43">
        <v>22325522504930</v>
      </c>
      <c r="C816" s="73" t="s">
        <v>30</v>
      </c>
      <c r="D816" s="6" t="s">
        <v>2</v>
      </c>
      <c r="E816" s="7" t="s">
        <v>74</v>
      </c>
      <c r="F816" s="7"/>
      <c r="G816" s="7"/>
      <c r="H816" s="6"/>
      <c r="I816" s="8"/>
      <c r="J816" s="6"/>
      <c r="K816" s="6"/>
      <c r="L816" s="45"/>
      <c r="M816" s="6"/>
    </row>
    <row r="817" spans="1:13" ht="15" hidden="1" customHeight="1" x14ac:dyDescent="0.25">
      <c r="A817" s="43">
        <v>22325522504983</v>
      </c>
      <c r="C817" s="73" t="s">
        <v>30</v>
      </c>
      <c r="D817" s="6" t="s">
        <v>2</v>
      </c>
      <c r="E817" s="7" t="s">
        <v>74</v>
      </c>
      <c r="F817" s="7"/>
      <c r="G817" s="7"/>
      <c r="H817" s="6"/>
      <c r="I817" s="8"/>
      <c r="J817" s="6"/>
      <c r="K817" s="6"/>
      <c r="L817" s="45"/>
      <c r="M817" s="6"/>
    </row>
    <row r="818" spans="1:13" ht="15" hidden="1" customHeight="1" x14ac:dyDescent="0.25">
      <c r="A818" s="43">
        <v>22325522504991</v>
      </c>
      <c r="C818" s="73" t="s">
        <v>30</v>
      </c>
      <c r="D818" s="6" t="s">
        <v>2</v>
      </c>
      <c r="E818" s="7" t="s">
        <v>74</v>
      </c>
      <c r="F818" s="7"/>
      <c r="G818" s="7"/>
      <c r="H818" s="6"/>
      <c r="I818" s="8"/>
      <c r="J818" s="6"/>
      <c r="K818" s="6"/>
      <c r="L818" s="45"/>
      <c r="M818" s="6"/>
    </row>
    <row r="819" spans="1:13" ht="15" hidden="1" customHeight="1" x14ac:dyDescent="0.25">
      <c r="A819" s="43">
        <v>22325522505005</v>
      </c>
      <c r="C819" s="73" t="s">
        <v>30</v>
      </c>
      <c r="D819" s="6" t="s">
        <v>2</v>
      </c>
      <c r="E819" s="7" t="s">
        <v>74</v>
      </c>
      <c r="F819" s="7"/>
      <c r="G819" s="7"/>
      <c r="H819" s="6"/>
      <c r="I819" s="8"/>
      <c r="J819" s="6"/>
      <c r="K819" s="6"/>
      <c r="L819" s="45"/>
      <c r="M819" s="6"/>
    </row>
    <row r="820" spans="1:13" ht="15" hidden="1" customHeight="1" x14ac:dyDescent="0.25">
      <c r="A820" s="43">
        <v>22325522505012</v>
      </c>
      <c r="C820" s="73" t="s">
        <v>30</v>
      </c>
      <c r="D820" s="6" t="s">
        <v>2</v>
      </c>
      <c r="E820" s="7" t="s">
        <v>74</v>
      </c>
      <c r="F820" s="7"/>
      <c r="G820" s="7"/>
      <c r="H820" s="6"/>
      <c r="I820" s="8"/>
      <c r="J820" s="6"/>
      <c r="K820" s="6"/>
      <c r="L820" s="45"/>
      <c r="M820" s="6"/>
    </row>
    <row r="821" spans="1:13" ht="15" hidden="1" customHeight="1" x14ac:dyDescent="0.25">
      <c r="A821" s="43">
        <v>22325522505014</v>
      </c>
      <c r="C821" s="73" t="s">
        <v>30</v>
      </c>
      <c r="D821" s="6" t="s">
        <v>2</v>
      </c>
      <c r="E821" s="7" t="s">
        <v>74</v>
      </c>
      <c r="F821" s="7"/>
      <c r="G821" s="7"/>
      <c r="H821" s="6"/>
      <c r="I821" s="8"/>
      <c r="J821" s="6"/>
      <c r="K821" s="6"/>
      <c r="L821" s="45"/>
      <c r="M821" s="6"/>
    </row>
    <row r="822" spans="1:13" ht="15" hidden="1" customHeight="1" x14ac:dyDescent="0.25">
      <c r="A822" s="43">
        <v>22325522505028</v>
      </c>
      <c r="C822" s="73" t="s">
        <v>30</v>
      </c>
      <c r="D822" s="6" t="s">
        <v>2</v>
      </c>
      <c r="E822" s="7" t="s">
        <v>74</v>
      </c>
      <c r="F822" s="7"/>
      <c r="G822" s="7"/>
      <c r="H822" s="6"/>
      <c r="I822" s="8"/>
      <c r="J822" s="6"/>
      <c r="K822" s="6"/>
      <c r="L822" s="45"/>
      <c r="M822" s="6"/>
    </row>
    <row r="823" spans="1:13" ht="15" hidden="1" customHeight="1" x14ac:dyDescent="0.25">
      <c r="A823" s="43">
        <v>22325522505030</v>
      </c>
      <c r="C823" s="73" t="s">
        <v>30</v>
      </c>
      <c r="D823" s="6" t="s">
        <v>2</v>
      </c>
      <c r="E823" s="7" t="s">
        <v>74</v>
      </c>
      <c r="F823" s="7"/>
      <c r="G823" s="7"/>
      <c r="H823" s="6"/>
      <c r="I823" s="8"/>
      <c r="J823" s="6"/>
      <c r="K823" s="6"/>
      <c r="L823" s="45"/>
      <c r="M823" s="6"/>
    </row>
    <row r="824" spans="1:13" ht="15" hidden="1" customHeight="1" x14ac:dyDescent="0.25">
      <c r="A824" s="43">
        <v>22332522506023</v>
      </c>
      <c r="C824" s="73" t="s">
        <v>30</v>
      </c>
      <c r="D824" s="6" t="s">
        <v>2</v>
      </c>
      <c r="E824" s="7" t="s">
        <v>74</v>
      </c>
      <c r="F824" s="7"/>
      <c r="G824" s="7"/>
      <c r="H824" s="6"/>
      <c r="I824" s="8"/>
      <c r="J824" s="6"/>
      <c r="K824" s="6"/>
      <c r="L824" s="45"/>
      <c r="M824" s="6"/>
    </row>
    <row r="825" spans="1:13" ht="15" hidden="1" customHeight="1" x14ac:dyDescent="0.25">
      <c r="A825" s="43">
        <v>22332522506030</v>
      </c>
      <c r="C825" s="73" t="s">
        <v>30</v>
      </c>
      <c r="D825" s="6" t="s">
        <v>2</v>
      </c>
      <c r="E825" s="7" t="s">
        <v>74</v>
      </c>
      <c r="F825" s="7"/>
      <c r="G825" s="7"/>
      <c r="H825" s="6"/>
      <c r="I825" s="8"/>
      <c r="J825" s="6"/>
      <c r="K825" s="6"/>
      <c r="L825" s="45"/>
      <c r="M825" s="6"/>
    </row>
    <row r="826" spans="1:13" ht="15" hidden="1" customHeight="1" x14ac:dyDescent="0.25">
      <c r="A826" s="43">
        <v>22332522506061</v>
      </c>
      <c r="C826" s="73" t="s">
        <v>30</v>
      </c>
      <c r="D826" s="6" t="s">
        <v>2</v>
      </c>
      <c r="E826" s="7" t="s">
        <v>74</v>
      </c>
      <c r="F826" s="7"/>
      <c r="G826" s="7"/>
      <c r="H826" s="6"/>
      <c r="I826" s="8"/>
      <c r="J826" s="6"/>
      <c r="K826" s="6"/>
      <c r="L826" s="45"/>
      <c r="M826" s="6"/>
    </row>
    <row r="827" spans="1:13" ht="15" hidden="1" customHeight="1" x14ac:dyDescent="0.25">
      <c r="A827" s="43">
        <v>22332522506113</v>
      </c>
      <c r="C827" s="73" t="s">
        <v>30</v>
      </c>
      <c r="D827" s="6" t="s">
        <v>2</v>
      </c>
      <c r="E827" s="7" t="s">
        <v>74</v>
      </c>
      <c r="F827" s="7"/>
      <c r="G827" s="7"/>
      <c r="H827" s="6"/>
      <c r="I827" s="8"/>
      <c r="J827" s="6"/>
      <c r="K827" s="6"/>
      <c r="L827" s="45"/>
      <c r="M827" s="6"/>
    </row>
    <row r="828" spans="1:13" ht="15" hidden="1" customHeight="1" x14ac:dyDescent="0.25">
      <c r="A828" s="43">
        <v>22332522506116</v>
      </c>
      <c r="C828" s="73" t="s">
        <v>30</v>
      </c>
      <c r="D828" s="6" t="s">
        <v>2</v>
      </c>
      <c r="E828" s="7" t="s">
        <v>74</v>
      </c>
      <c r="F828" s="7"/>
      <c r="G828" s="7"/>
      <c r="H828" s="6"/>
      <c r="I828" s="8"/>
      <c r="J828" s="6"/>
      <c r="K828" s="6"/>
      <c r="L828" s="45"/>
      <c r="M828" s="6"/>
    </row>
    <row r="829" spans="1:13" ht="15" hidden="1" customHeight="1" x14ac:dyDescent="0.25">
      <c r="A829" s="43">
        <v>22332522506126</v>
      </c>
      <c r="C829" s="73" t="s">
        <v>30</v>
      </c>
      <c r="D829" s="6" t="s">
        <v>2</v>
      </c>
      <c r="E829" s="7" t="s">
        <v>74</v>
      </c>
      <c r="F829" s="7"/>
      <c r="G829" s="7"/>
      <c r="H829" s="6"/>
      <c r="I829" s="8"/>
      <c r="J829" s="6"/>
      <c r="K829" s="6"/>
      <c r="L829" s="45"/>
      <c r="M829" s="6"/>
    </row>
    <row r="830" spans="1:13" ht="15" hidden="1" customHeight="1" x14ac:dyDescent="0.25">
      <c r="A830" s="43">
        <v>22332522506187</v>
      </c>
      <c r="C830" s="73" t="s">
        <v>30</v>
      </c>
      <c r="D830" s="6" t="s">
        <v>2</v>
      </c>
      <c r="E830" s="7" t="s">
        <v>74</v>
      </c>
      <c r="F830" s="7"/>
      <c r="G830" s="7"/>
      <c r="H830" s="6"/>
      <c r="I830" s="8"/>
      <c r="J830" s="6"/>
      <c r="K830" s="6"/>
      <c r="L830" s="45"/>
      <c r="M830" s="6"/>
    </row>
    <row r="831" spans="1:13" ht="15" hidden="1" customHeight="1" x14ac:dyDescent="0.25">
      <c r="A831" s="43">
        <v>22332522506190</v>
      </c>
      <c r="C831" s="73" t="s">
        <v>30</v>
      </c>
      <c r="D831" s="6" t="s">
        <v>2</v>
      </c>
      <c r="E831" s="7" t="s">
        <v>74</v>
      </c>
      <c r="F831" s="7"/>
      <c r="G831" s="7"/>
      <c r="H831" s="6"/>
      <c r="I831" s="8"/>
      <c r="J831" s="6"/>
      <c r="K831" s="6"/>
      <c r="L831" s="45"/>
      <c r="M831" s="6"/>
    </row>
    <row r="832" spans="1:13" ht="15" hidden="1" customHeight="1" x14ac:dyDescent="0.25">
      <c r="A832" s="43">
        <v>22332522506191</v>
      </c>
      <c r="C832" s="73" t="s">
        <v>30</v>
      </c>
      <c r="D832" s="6" t="s">
        <v>2</v>
      </c>
      <c r="E832" s="7" t="s">
        <v>74</v>
      </c>
      <c r="F832" s="7"/>
      <c r="G832" s="7"/>
      <c r="H832" s="6"/>
      <c r="I832" s="8"/>
      <c r="J832" s="6"/>
      <c r="K832" s="6"/>
      <c r="L832" s="45"/>
      <c r="M832" s="6"/>
    </row>
    <row r="833" spans="1:13" ht="15" hidden="1" customHeight="1" x14ac:dyDescent="0.25">
      <c r="A833" s="43">
        <v>22332522506343</v>
      </c>
      <c r="C833" s="73" t="s">
        <v>30</v>
      </c>
      <c r="D833" s="6" t="s">
        <v>2</v>
      </c>
      <c r="E833" s="7" t="s">
        <v>74</v>
      </c>
      <c r="F833" s="7"/>
      <c r="G833" s="7"/>
      <c r="H833" s="6"/>
      <c r="I833" s="8"/>
      <c r="J833" s="6"/>
      <c r="K833" s="6"/>
      <c r="L833" s="45"/>
      <c r="M833" s="6"/>
    </row>
    <row r="834" spans="1:13" ht="15" hidden="1" customHeight="1" x14ac:dyDescent="0.25">
      <c r="A834" s="43">
        <v>22332522506425</v>
      </c>
      <c r="C834" s="73" t="s">
        <v>30</v>
      </c>
      <c r="D834" s="6" t="s">
        <v>2</v>
      </c>
      <c r="E834" s="7" t="s">
        <v>74</v>
      </c>
      <c r="F834" s="7"/>
      <c r="G834" s="7"/>
      <c r="H834" s="6"/>
      <c r="I834" s="8"/>
      <c r="J834" s="6"/>
      <c r="K834" s="6"/>
      <c r="L834" s="45"/>
      <c r="M834" s="6"/>
    </row>
    <row r="835" spans="1:13" ht="15" hidden="1" customHeight="1" x14ac:dyDescent="0.25">
      <c r="A835" s="43">
        <v>22332522506434</v>
      </c>
      <c r="C835" s="73" t="s">
        <v>30</v>
      </c>
      <c r="D835" s="6" t="s">
        <v>2</v>
      </c>
      <c r="E835" s="7" t="s">
        <v>74</v>
      </c>
      <c r="F835" s="7"/>
      <c r="G835" s="7"/>
      <c r="H835" s="6"/>
      <c r="I835" s="8"/>
      <c r="J835" s="6"/>
      <c r="K835" s="6"/>
      <c r="L835" s="45"/>
      <c r="M835" s="6"/>
    </row>
    <row r="836" spans="1:13" ht="15" hidden="1" customHeight="1" x14ac:dyDescent="0.25">
      <c r="A836" s="43">
        <v>22332522506786</v>
      </c>
      <c r="C836" s="73" t="s">
        <v>30</v>
      </c>
      <c r="D836" s="6" t="s">
        <v>2</v>
      </c>
      <c r="E836" s="7" t="s">
        <v>74</v>
      </c>
      <c r="F836" s="7"/>
      <c r="G836" s="7"/>
      <c r="H836" s="6"/>
      <c r="I836" s="8"/>
      <c r="J836" s="6"/>
      <c r="K836" s="6"/>
      <c r="L836" s="45"/>
      <c r="M836" s="6"/>
    </row>
    <row r="837" spans="1:13" ht="15" hidden="1" customHeight="1" x14ac:dyDescent="0.25">
      <c r="A837" s="43">
        <v>22332522506801</v>
      </c>
      <c r="C837" s="73" t="s">
        <v>30</v>
      </c>
      <c r="D837" s="6" t="s">
        <v>2</v>
      </c>
      <c r="E837" s="7" t="s">
        <v>74</v>
      </c>
      <c r="F837" s="7"/>
      <c r="G837" s="7"/>
      <c r="H837" s="6"/>
      <c r="I837" s="8"/>
      <c r="J837" s="6"/>
      <c r="K837" s="6"/>
      <c r="L837" s="45"/>
      <c r="M837" s="6"/>
    </row>
    <row r="838" spans="1:13" ht="15" hidden="1" customHeight="1" x14ac:dyDescent="0.25">
      <c r="A838" s="43">
        <v>22332522506905</v>
      </c>
      <c r="C838" s="73" t="s">
        <v>30</v>
      </c>
      <c r="D838" s="6" t="s">
        <v>2</v>
      </c>
      <c r="E838" s="7" t="s">
        <v>74</v>
      </c>
      <c r="F838" s="7"/>
      <c r="G838" s="7"/>
      <c r="H838" s="6"/>
      <c r="I838" s="8"/>
      <c r="J838" s="6"/>
      <c r="K838" s="6"/>
      <c r="L838" s="45"/>
      <c r="M838" s="6"/>
    </row>
    <row r="839" spans="1:13" ht="15" hidden="1" customHeight="1" x14ac:dyDescent="0.25">
      <c r="A839" s="43">
        <v>22332522507223</v>
      </c>
      <c r="C839" s="73" t="s">
        <v>30</v>
      </c>
      <c r="D839" s="6" t="s">
        <v>2</v>
      </c>
      <c r="E839" s="7" t="s">
        <v>74</v>
      </c>
      <c r="F839" s="7"/>
      <c r="G839" s="7"/>
      <c r="H839" s="6"/>
      <c r="I839" s="8"/>
      <c r="J839" s="6"/>
      <c r="K839" s="6"/>
      <c r="L839" s="45"/>
      <c r="M839" s="6"/>
    </row>
    <row r="840" spans="1:13" ht="15" hidden="1" customHeight="1" x14ac:dyDescent="0.25">
      <c r="A840" s="43">
        <v>22333522509998</v>
      </c>
      <c r="C840" s="73" t="s">
        <v>30</v>
      </c>
      <c r="D840" s="6" t="s">
        <v>2</v>
      </c>
      <c r="E840" s="7" t="s">
        <v>74</v>
      </c>
      <c r="F840" s="7"/>
      <c r="G840" s="7"/>
      <c r="H840" s="6"/>
      <c r="I840" s="8"/>
      <c r="J840" s="6"/>
      <c r="K840" s="6"/>
      <c r="L840" s="45"/>
      <c r="M840" s="6"/>
    </row>
    <row r="841" spans="1:13" ht="15" hidden="1" customHeight="1" x14ac:dyDescent="0.25">
      <c r="A841" s="43">
        <v>22333522510001</v>
      </c>
      <c r="C841" s="73" t="s">
        <v>30</v>
      </c>
      <c r="D841" s="6" t="s">
        <v>2</v>
      </c>
      <c r="E841" s="7" t="s">
        <v>74</v>
      </c>
      <c r="F841" s="7"/>
      <c r="G841" s="7"/>
      <c r="H841" s="6"/>
      <c r="I841" s="8"/>
      <c r="J841" s="6"/>
      <c r="K841" s="6"/>
      <c r="L841" s="45"/>
      <c r="M841" s="6"/>
    </row>
    <row r="842" spans="1:13" ht="15" hidden="1" customHeight="1" x14ac:dyDescent="0.25">
      <c r="A842" s="43">
        <v>22333522510045</v>
      </c>
      <c r="C842" s="73" t="s">
        <v>30</v>
      </c>
      <c r="D842" s="6" t="s">
        <v>2</v>
      </c>
      <c r="E842" s="7" t="s">
        <v>74</v>
      </c>
      <c r="F842" s="7"/>
      <c r="G842" s="7"/>
      <c r="H842" s="6"/>
      <c r="I842" s="8"/>
      <c r="J842" s="6"/>
      <c r="K842" s="6"/>
      <c r="L842" s="45"/>
      <c r="M842" s="6"/>
    </row>
    <row r="843" spans="1:13" ht="15" hidden="1" customHeight="1" x14ac:dyDescent="0.25">
      <c r="A843" s="43">
        <v>22333522510063</v>
      </c>
      <c r="C843" s="73" t="s">
        <v>30</v>
      </c>
      <c r="D843" s="6" t="s">
        <v>2</v>
      </c>
      <c r="E843" s="7" t="s">
        <v>74</v>
      </c>
      <c r="F843" s="7"/>
      <c r="G843" s="7"/>
      <c r="H843" s="6"/>
      <c r="I843" s="8"/>
      <c r="J843" s="6"/>
      <c r="K843" s="6"/>
      <c r="L843" s="45"/>
      <c r="M843" s="6"/>
    </row>
    <row r="844" spans="1:13" ht="15" hidden="1" customHeight="1" x14ac:dyDescent="0.25">
      <c r="A844" s="43">
        <v>22333522510064</v>
      </c>
      <c r="C844" s="73" t="s">
        <v>30</v>
      </c>
      <c r="D844" s="6" t="s">
        <v>2</v>
      </c>
      <c r="E844" s="7" t="s">
        <v>74</v>
      </c>
      <c r="F844" s="7"/>
      <c r="G844" s="7"/>
      <c r="H844" s="6"/>
      <c r="I844" s="8"/>
      <c r="J844" s="6"/>
      <c r="K844" s="6"/>
      <c r="L844" s="45"/>
      <c r="M844" s="6"/>
    </row>
    <row r="845" spans="1:13" ht="15" hidden="1" customHeight="1" x14ac:dyDescent="0.25">
      <c r="A845" s="43">
        <v>22333522510206</v>
      </c>
      <c r="C845" s="73" t="s">
        <v>30</v>
      </c>
      <c r="D845" s="6" t="s">
        <v>2</v>
      </c>
      <c r="E845" s="7" t="s">
        <v>76</v>
      </c>
      <c r="F845" s="7" t="s">
        <v>25</v>
      </c>
      <c r="G845" s="7"/>
      <c r="H845" s="6"/>
      <c r="I845" s="8"/>
      <c r="J845" s="6"/>
      <c r="K845" s="6"/>
      <c r="L845" s="45"/>
      <c r="M845" s="6"/>
    </row>
    <row r="846" spans="1:13" ht="15" hidden="1" customHeight="1" x14ac:dyDescent="0.25">
      <c r="A846" s="43">
        <v>22348522504928</v>
      </c>
      <c r="C846" s="73" t="s">
        <v>30</v>
      </c>
      <c r="D846" s="6" t="s">
        <v>2</v>
      </c>
      <c r="E846" s="7" t="s">
        <v>74</v>
      </c>
      <c r="F846" s="7"/>
      <c r="G846" s="7"/>
      <c r="H846" s="6"/>
      <c r="I846" s="8"/>
      <c r="J846" s="6"/>
      <c r="K846" s="6"/>
      <c r="L846" s="45"/>
      <c r="M846" s="6"/>
    </row>
    <row r="847" spans="1:13" ht="15" hidden="1" customHeight="1" x14ac:dyDescent="0.25">
      <c r="A847" s="43">
        <v>22348522504935</v>
      </c>
      <c r="C847" s="73" t="s">
        <v>30</v>
      </c>
      <c r="D847" s="6" t="s">
        <v>2</v>
      </c>
      <c r="E847" s="7" t="s">
        <v>74</v>
      </c>
      <c r="F847" s="7"/>
      <c r="G847" s="7"/>
      <c r="H847" s="6"/>
      <c r="I847" s="8"/>
      <c r="J847" s="6"/>
      <c r="K847" s="6"/>
      <c r="L847" s="45"/>
      <c r="M847" s="6"/>
    </row>
    <row r="848" spans="1:13" ht="15" hidden="1" customHeight="1" x14ac:dyDescent="0.25">
      <c r="A848" s="43">
        <v>22348522504945</v>
      </c>
      <c r="C848" s="73" t="s">
        <v>30</v>
      </c>
      <c r="D848" s="6" t="s">
        <v>2</v>
      </c>
      <c r="E848" s="7" t="s">
        <v>74</v>
      </c>
      <c r="F848" s="7"/>
      <c r="G848" s="7"/>
      <c r="H848" s="6"/>
      <c r="I848" s="8"/>
      <c r="J848" s="6"/>
      <c r="K848" s="6"/>
      <c r="L848" s="45"/>
      <c r="M848" s="6"/>
    </row>
    <row r="849" spans="1:13" ht="15" hidden="1" customHeight="1" x14ac:dyDescent="0.25">
      <c r="A849" s="43">
        <v>22348522504966</v>
      </c>
      <c r="C849" s="73" t="s">
        <v>30</v>
      </c>
      <c r="D849" s="6" t="s">
        <v>2</v>
      </c>
      <c r="E849" s="7" t="s">
        <v>74</v>
      </c>
      <c r="F849" s="7"/>
      <c r="G849" s="7"/>
      <c r="H849" s="6"/>
      <c r="I849" s="8"/>
      <c r="J849" s="6"/>
      <c r="K849" s="6"/>
      <c r="L849" s="45"/>
      <c r="M849" s="6"/>
    </row>
    <row r="850" spans="1:13" ht="15" hidden="1" customHeight="1" x14ac:dyDescent="0.25">
      <c r="A850" s="43">
        <v>22348522504971</v>
      </c>
      <c r="C850" s="73" t="s">
        <v>30</v>
      </c>
      <c r="D850" s="6" t="s">
        <v>2</v>
      </c>
      <c r="E850" s="7" t="s">
        <v>74</v>
      </c>
      <c r="F850" s="7"/>
      <c r="G850" s="7"/>
      <c r="H850" s="6"/>
      <c r="I850" s="8"/>
      <c r="J850" s="6"/>
      <c r="K850" s="6"/>
      <c r="L850" s="45"/>
      <c r="M850" s="6"/>
    </row>
    <row r="851" spans="1:13" ht="15" hidden="1" customHeight="1" x14ac:dyDescent="0.25">
      <c r="A851" s="43">
        <v>22348522504980</v>
      </c>
      <c r="C851" s="73" t="s">
        <v>30</v>
      </c>
      <c r="D851" s="6" t="s">
        <v>2</v>
      </c>
      <c r="E851" s="7" t="s">
        <v>74</v>
      </c>
      <c r="F851" s="7"/>
      <c r="G851" s="7"/>
      <c r="H851" s="6"/>
      <c r="I851" s="8"/>
      <c r="J851" s="6"/>
      <c r="K851" s="6"/>
      <c r="L851" s="45"/>
      <c r="M851" s="6"/>
    </row>
    <row r="852" spans="1:13" ht="15" hidden="1" customHeight="1" x14ac:dyDescent="0.25">
      <c r="A852" s="43">
        <v>22348522505015</v>
      </c>
      <c r="C852" s="73" t="s">
        <v>30</v>
      </c>
      <c r="D852" s="6" t="s">
        <v>2</v>
      </c>
      <c r="E852" s="7" t="s">
        <v>74</v>
      </c>
      <c r="F852" s="7"/>
      <c r="G852" s="7"/>
      <c r="H852" s="6"/>
      <c r="I852" s="8"/>
      <c r="J852" s="6"/>
      <c r="K852" s="6"/>
      <c r="L852" s="45"/>
      <c r="M852" s="6"/>
    </row>
    <row r="853" spans="1:13" ht="15" hidden="1" customHeight="1" x14ac:dyDescent="0.25">
      <c r="A853" s="43">
        <v>22348522505043</v>
      </c>
      <c r="C853" s="73" t="s">
        <v>30</v>
      </c>
      <c r="D853" s="6" t="s">
        <v>2</v>
      </c>
      <c r="E853" s="7" t="s">
        <v>74</v>
      </c>
      <c r="F853" s="7"/>
      <c r="G853" s="7"/>
      <c r="H853" s="6"/>
      <c r="I853" s="8"/>
      <c r="J853" s="6"/>
      <c r="K853" s="6"/>
      <c r="L853" s="45"/>
      <c r="M853" s="6"/>
    </row>
    <row r="854" spans="1:13" ht="15" hidden="1" customHeight="1" x14ac:dyDescent="0.25">
      <c r="A854" s="43">
        <v>22348522505073</v>
      </c>
      <c r="C854" s="73" t="s">
        <v>30</v>
      </c>
      <c r="D854" s="6" t="s">
        <v>2</v>
      </c>
      <c r="E854" s="7" t="s">
        <v>74</v>
      </c>
      <c r="F854" s="7"/>
      <c r="G854" s="7"/>
      <c r="H854" s="6"/>
      <c r="I854" s="8"/>
      <c r="J854" s="6"/>
      <c r="K854" s="6"/>
      <c r="L854" s="45"/>
      <c r="M854" s="6"/>
    </row>
    <row r="855" spans="1:13" ht="15" hidden="1" customHeight="1" x14ac:dyDescent="0.25">
      <c r="A855" s="43">
        <v>22348522505094</v>
      </c>
      <c r="C855" s="73" t="s">
        <v>30</v>
      </c>
      <c r="D855" s="6" t="s">
        <v>2</v>
      </c>
      <c r="E855" s="7" t="s">
        <v>74</v>
      </c>
      <c r="F855" s="7"/>
      <c r="G855" s="7"/>
      <c r="H855" s="6"/>
      <c r="I855" s="8"/>
      <c r="J855" s="6"/>
      <c r="K855" s="6"/>
      <c r="L855" s="45"/>
      <c r="M855" s="6"/>
    </row>
    <row r="856" spans="1:13" ht="15" hidden="1" customHeight="1" x14ac:dyDescent="0.25">
      <c r="A856" s="43">
        <v>22348522505225</v>
      </c>
      <c r="C856" s="73" t="s">
        <v>30</v>
      </c>
      <c r="D856" s="6" t="s">
        <v>2</v>
      </c>
      <c r="E856" s="7" t="s">
        <v>74</v>
      </c>
      <c r="F856" s="7"/>
      <c r="G856" s="7"/>
      <c r="H856" s="6"/>
      <c r="I856" s="8"/>
      <c r="J856" s="6"/>
      <c r="K856" s="6"/>
      <c r="L856" s="45"/>
      <c r="M856" s="6"/>
    </row>
    <row r="857" spans="1:13" ht="15" hidden="1" customHeight="1" x14ac:dyDescent="0.25">
      <c r="A857" s="43">
        <v>22348522505316</v>
      </c>
      <c r="C857" s="73" t="s">
        <v>30</v>
      </c>
      <c r="D857" s="6" t="s">
        <v>2</v>
      </c>
      <c r="E857" s="7" t="s">
        <v>74</v>
      </c>
      <c r="F857" s="7"/>
      <c r="G857" s="7"/>
      <c r="H857" s="6"/>
      <c r="I857" s="8"/>
      <c r="J857" s="6"/>
      <c r="K857" s="6"/>
      <c r="L857" s="45"/>
      <c r="M857" s="6"/>
    </row>
    <row r="858" spans="1:13" ht="15" hidden="1" customHeight="1" x14ac:dyDescent="0.25">
      <c r="A858" s="43">
        <v>22348522505321</v>
      </c>
      <c r="C858" s="73" t="s">
        <v>30</v>
      </c>
      <c r="D858" s="6" t="s">
        <v>2</v>
      </c>
      <c r="E858" s="7" t="s">
        <v>74</v>
      </c>
      <c r="F858" s="7"/>
      <c r="G858" s="7"/>
      <c r="H858" s="6"/>
      <c r="I858" s="8"/>
      <c r="J858" s="6"/>
      <c r="K858" s="6"/>
      <c r="L858" s="45"/>
      <c r="M858" s="6"/>
    </row>
    <row r="859" spans="1:13" ht="15" hidden="1" customHeight="1" x14ac:dyDescent="0.25">
      <c r="A859" s="43">
        <v>22348522505326</v>
      </c>
      <c r="C859" s="73" t="s">
        <v>30</v>
      </c>
      <c r="D859" s="6" t="s">
        <v>2</v>
      </c>
      <c r="E859" s="7" t="s">
        <v>74</v>
      </c>
      <c r="F859" s="7"/>
      <c r="G859" s="7"/>
      <c r="H859" s="6"/>
      <c r="I859" s="8"/>
      <c r="J859" s="6"/>
      <c r="K859" s="6"/>
      <c r="L859" s="45"/>
      <c r="M859" s="6"/>
    </row>
    <row r="860" spans="1:13" ht="15" hidden="1" customHeight="1" x14ac:dyDescent="0.25">
      <c r="A860" s="43">
        <v>22348522505336</v>
      </c>
      <c r="C860" s="73" t="s">
        <v>30</v>
      </c>
      <c r="D860" s="6" t="s">
        <v>2</v>
      </c>
      <c r="E860" s="7" t="s">
        <v>74</v>
      </c>
      <c r="F860" s="7"/>
      <c r="G860" s="7"/>
      <c r="H860" s="6"/>
      <c r="I860" s="8"/>
      <c r="J860" s="6"/>
      <c r="K860" s="6"/>
      <c r="L860" s="45"/>
      <c r="M860" s="6"/>
    </row>
    <row r="861" spans="1:13" ht="15" hidden="1" customHeight="1" x14ac:dyDescent="0.25">
      <c r="A861" s="43">
        <v>22348522505382</v>
      </c>
      <c r="C861" s="73" t="s">
        <v>30</v>
      </c>
      <c r="D861" s="6" t="s">
        <v>2</v>
      </c>
      <c r="E861" s="7" t="s">
        <v>74</v>
      </c>
      <c r="F861" s="7"/>
      <c r="G861" s="7"/>
      <c r="H861" s="6"/>
      <c r="I861" s="8"/>
      <c r="J861" s="6"/>
      <c r="K861" s="6"/>
      <c r="L861" s="45"/>
      <c r="M861" s="6"/>
    </row>
    <row r="862" spans="1:13" ht="15" hidden="1" customHeight="1" x14ac:dyDescent="0.25">
      <c r="A862" s="43">
        <v>22348522507211</v>
      </c>
      <c r="C862" s="73" t="s">
        <v>30</v>
      </c>
      <c r="D862" s="6" t="s">
        <v>2</v>
      </c>
      <c r="E862" s="7" t="s">
        <v>74</v>
      </c>
      <c r="F862" s="7"/>
      <c r="G862" s="7"/>
      <c r="H862" s="6"/>
      <c r="I862" s="8"/>
      <c r="J862" s="6"/>
      <c r="K862" s="6"/>
      <c r="L862" s="45"/>
      <c r="M862" s="6"/>
    </row>
    <row r="863" spans="1:13" ht="15" hidden="1" customHeight="1" x14ac:dyDescent="0.25">
      <c r="A863" s="43">
        <v>22348522507275</v>
      </c>
      <c r="C863" s="73" t="s">
        <v>30</v>
      </c>
      <c r="D863" s="6" t="s">
        <v>2</v>
      </c>
      <c r="E863" s="7" t="s">
        <v>74</v>
      </c>
      <c r="F863" s="7"/>
      <c r="G863" s="7"/>
      <c r="H863" s="6"/>
      <c r="I863" s="8"/>
      <c r="J863" s="6"/>
      <c r="K863" s="6"/>
      <c r="L863" s="45"/>
      <c r="M863" s="6"/>
    </row>
    <row r="864" spans="1:13" ht="15" hidden="1" customHeight="1" x14ac:dyDescent="0.25">
      <c r="A864" s="43">
        <v>22348522507324</v>
      </c>
      <c r="C864" s="73" t="s">
        <v>30</v>
      </c>
      <c r="D864" s="6" t="s">
        <v>2</v>
      </c>
      <c r="E864" s="7" t="s">
        <v>74</v>
      </c>
      <c r="F864" s="7"/>
      <c r="G864" s="7"/>
      <c r="H864" s="6"/>
      <c r="I864" s="8"/>
      <c r="J864" s="6"/>
      <c r="K864" s="6"/>
      <c r="L864" s="45"/>
      <c r="M864" s="6"/>
    </row>
    <row r="865" spans="1:13" ht="15" hidden="1" customHeight="1" x14ac:dyDescent="0.25">
      <c r="A865" s="43">
        <v>22348522507332</v>
      </c>
      <c r="C865" s="73" t="s">
        <v>30</v>
      </c>
      <c r="D865" s="6" t="s">
        <v>2</v>
      </c>
      <c r="E865" s="7" t="s">
        <v>74</v>
      </c>
      <c r="F865" s="7"/>
      <c r="G865" s="7"/>
      <c r="H865" s="6"/>
      <c r="I865" s="8"/>
      <c r="J865" s="6"/>
      <c r="K865" s="6"/>
      <c r="L865" s="45"/>
      <c r="M865" s="6"/>
    </row>
    <row r="866" spans="1:13" ht="15" hidden="1" customHeight="1" x14ac:dyDescent="0.25">
      <c r="A866" s="43">
        <v>22348522507359</v>
      </c>
      <c r="C866" s="73" t="s">
        <v>30</v>
      </c>
      <c r="D866" s="6" t="s">
        <v>2</v>
      </c>
      <c r="E866" s="7" t="s">
        <v>74</v>
      </c>
      <c r="F866" s="7"/>
      <c r="G866" s="7"/>
      <c r="H866" s="6"/>
      <c r="I866" s="8"/>
      <c r="J866" s="6"/>
      <c r="K866" s="6"/>
      <c r="L866" s="45"/>
      <c r="M866" s="6"/>
    </row>
    <row r="867" spans="1:13" ht="15" hidden="1" customHeight="1" x14ac:dyDescent="0.25">
      <c r="A867" s="43">
        <v>22348522507362</v>
      </c>
      <c r="C867" s="73" t="s">
        <v>30</v>
      </c>
      <c r="D867" s="6" t="s">
        <v>2</v>
      </c>
      <c r="E867" s="7" t="s">
        <v>74</v>
      </c>
      <c r="F867" s="7"/>
      <c r="G867" s="7"/>
      <c r="H867" s="6"/>
      <c r="I867" s="8"/>
      <c r="J867" s="6"/>
      <c r="K867" s="6"/>
      <c r="L867" s="45"/>
      <c r="M867" s="6"/>
    </row>
    <row r="868" spans="1:13" ht="15" hidden="1" customHeight="1" x14ac:dyDescent="0.25">
      <c r="A868" s="43">
        <v>22348522507407</v>
      </c>
      <c r="C868" s="73" t="s">
        <v>30</v>
      </c>
      <c r="D868" s="6" t="s">
        <v>2</v>
      </c>
      <c r="E868" s="7" t="s">
        <v>74</v>
      </c>
      <c r="F868" s="7"/>
      <c r="G868" s="7"/>
      <c r="H868" s="6"/>
      <c r="I868" s="8"/>
      <c r="J868" s="6"/>
      <c r="K868" s="6"/>
      <c r="L868" s="45"/>
      <c r="M868" s="6"/>
    </row>
    <row r="869" spans="1:13" ht="15" hidden="1" customHeight="1" x14ac:dyDescent="0.25">
      <c r="A869" s="43">
        <v>22348522507413</v>
      </c>
      <c r="C869" s="73" t="s">
        <v>30</v>
      </c>
      <c r="D869" s="6" t="s">
        <v>2</v>
      </c>
      <c r="E869" s="7" t="s">
        <v>74</v>
      </c>
      <c r="F869" s="7"/>
      <c r="G869" s="7"/>
      <c r="H869" s="6"/>
      <c r="I869" s="8"/>
      <c r="J869" s="6"/>
      <c r="K869" s="6"/>
      <c r="L869" s="45"/>
      <c r="M869" s="6"/>
    </row>
    <row r="870" spans="1:13" ht="15" hidden="1" customHeight="1" x14ac:dyDescent="0.25">
      <c r="A870" s="43">
        <v>22323522509986</v>
      </c>
      <c r="C870" s="73" t="s">
        <v>30</v>
      </c>
      <c r="D870" s="6" t="s">
        <v>2</v>
      </c>
      <c r="E870" s="7" t="s">
        <v>76</v>
      </c>
      <c r="F870" s="7" t="s">
        <v>25</v>
      </c>
      <c r="G870" s="7"/>
      <c r="H870" s="6"/>
      <c r="I870" s="8"/>
      <c r="J870" s="6"/>
      <c r="K870" s="6"/>
      <c r="L870" s="45"/>
      <c r="M870" s="6"/>
    </row>
    <row r="871" spans="1:13" ht="15" hidden="1" customHeight="1" x14ac:dyDescent="0.25">
      <c r="A871" s="43">
        <v>22348522507440</v>
      </c>
      <c r="C871" s="73" t="s">
        <v>30</v>
      </c>
      <c r="D871" s="6" t="s">
        <v>2</v>
      </c>
      <c r="E871" s="7" t="s">
        <v>74</v>
      </c>
      <c r="F871" s="7"/>
      <c r="G871" s="7"/>
      <c r="H871" s="6"/>
      <c r="I871" s="8"/>
      <c r="J871" s="6"/>
      <c r="K871" s="6"/>
      <c r="L871" s="45"/>
      <c r="M871" s="6"/>
    </row>
    <row r="872" spans="1:13" ht="15" hidden="1" customHeight="1" x14ac:dyDescent="0.25">
      <c r="A872" s="43">
        <v>22348522507486</v>
      </c>
      <c r="C872" s="73" t="s">
        <v>30</v>
      </c>
      <c r="D872" s="6" t="s">
        <v>2</v>
      </c>
      <c r="E872" s="7" t="s">
        <v>74</v>
      </c>
      <c r="F872" s="7"/>
      <c r="G872" s="7"/>
      <c r="H872" s="6"/>
      <c r="I872" s="8"/>
      <c r="J872" s="6"/>
      <c r="K872" s="6"/>
      <c r="L872" s="45"/>
      <c r="M872" s="6"/>
    </row>
    <row r="873" spans="1:13" ht="15" hidden="1" customHeight="1" x14ac:dyDescent="0.25">
      <c r="A873" s="43">
        <v>22348522507487</v>
      </c>
      <c r="C873" s="73" t="s">
        <v>30</v>
      </c>
      <c r="D873" s="6" t="s">
        <v>2</v>
      </c>
      <c r="E873" s="7" t="s">
        <v>74</v>
      </c>
      <c r="F873" s="7"/>
      <c r="G873" s="7"/>
      <c r="H873" s="6"/>
      <c r="I873" s="8"/>
      <c r="J873" s="6"/>
      <c r="K873" s="6"/>
      <c r="L873" s="45"/>
      <c r="M873" s="6"/>
    </row>
    <row r="874" spans="1:13" ht="15" hidden="1" customHeight="1" x14ac:dyDescent="0.25">
      <c r="A874" s="43">
        <v>22348522507490</v>
      </c>
      <c r="C874" s="73" t="s">
        <v>30</v>
      </c>
      <c r="D874" s="6" t="s">
        <v>2</v>
      </c>
      <c r="E874" s="7" t="s">
        <v>74</v>
      </c>
      <c r="F874" s="7"/>
      <c r="G874" s="7"/>
      <c r="H874" s="6"/>
      <c r="I874" s="8"/>
      <c r="J874" s="6"/>
      <c r="K874" s="6"/>
      <c r="L874" s="45"/>
      <c r="M874" s="6"/>
    </row>
    <row r="875" spans="1:13" ht="15" hidden="1" customHeight="1" x14ac:dyDescent="0.25">
      <c r="A875" s="43">
        <v>22348522507580</v>
      </c>
      <c r="C875" s="73" t="s">
        <v>30</v>
      </c>
      <c r="D875" s="6" t="s">
        <v>2</v>
      </c>
      <c r="E875" s="7" t="s">
        <v>74</v>
      </c>
      <c r="F875" s="7"/>
      <c r="G875" s="7"/>
      <c r="H875" s="6"/>
      <c r="I875" s="8"/>
      <c r="J875" s="6"/>
      <c r="K875" s="6"/>
      <c r="L875" s="45"/>
      <c r="M875" s="6"/>
    </row>
    <row r="876" spans="1:13" ht="15" hidden="1" customHeight="1" x14ac:dyDescent="0.25">
      <c r="A876" s="43">
        <v>22348522507691</v>
      </c>
      <c r="C876" s="73" t="s">
        <v>30</v>
      </c>
      <c r="D876" s="6" t="s">
        <v>2</v>
      </c>
      <c r="E876" s="7" t="s">
        <v>74</v>
      </c>
      <c r="F876" s="7"/>
      <c r="G876" s="7"/>
      <c r="H876" s="6"/>
      <c r="I876" s="8"/>
      <c r="J876" s="6"/>
      <c r="K876" s="6"/>
      <c r="L876" s="45"/>
      <c r="M876" s="6"/>
    </row>
    <row r="877" spans="1:13" ht="15" hidden="1" customHeight="1" x14ac:dyDescent="0.25">
      <c r="A877" s="43">
        <v>22349522504437</v>
      </c>
      <c r="C877" s="73" t="s">
        <v>30</v>
      </c>
      <c r="D877" s="6" t="s">
        <v>2</v>
      </c>
      <c r="E877" s="7" t="s">
        <v>74</v>
      </c>
      <c r="F877" s="7"/>
      <c r="G877" s="7"/>
      <c r="H877" s="6"/>
      <c r="I877" s="8"/>
      <c r="J877" s="6"/>
      <c r="K877" s="6"/>
      <c r="L877" s="45"/>
      <c r="M877" s="6"/>
    </row>
    <row r="878" spans="1:13" ht="15" hidden="1" customHeight="1" x14ac:dyDescent="0.25">
      <c r="A878" s="43">
        <v>22349522504448</v>
      </c>
      <c r="C878" s="73" t="s">
        <v>30</v>
      </c>
      <c r="D878" s="6" t="s">
        <v>2</v>
      </c>
      <c r="E878" s="7" t="s">
        <v>74</v>
      </c>
      <c r="F878" s="7"/>
      <c r="G878" s="7"/>
      <c r="H878" s="6"/>
      <c r="I878" s="8"/>
      <c r="J878" s="6"/>
      <c r="K878" s="6"/>
      <c r="L878" s="45"/>
      <c r="M878" s="6"/>
    </row>
    <row r="879" spans="1:13" ht="15" hidden="1" customHeight="1" x14ac:dyDescent="0.25">
      <c r="A879" s="43">
        <v>22349522504449</v>
      </c>
      <c r="C879" s="73" t="s">
        <v>30</v>
      </c>
      <c r="D879" s="6" t="s">
        <v>2</v>
      </c>
      <c r="E879" s="7" t="s">
        <v>74</v>
      </c>
      <c r="F879" s="7"/>
      <c r="G879" s="7"/>
      <c r="H879" s="6"/>
      <c r="I879" s="8"/>
      <c r="J879" s="6"/>
      <c r="K879" s="6"/>
      <c r="L879" s="45"/>
      <c r="M879" s="6"/>
    </row>
    <row r="880" spans="1:13" ht="15" hidden="1" customHeight="1" x14ac:dyDescent="0.25">
      <c r="A880" s="43">
        <v>22349522504455</v>
      </c>
      <c r="C880" s="73" t="s">
        <v>30</v>
      </c>
      <c r="D880" s="6" t="s">
        <v>2</v>
      </c>
      <c r="E880" s="7" t="s">
        <v>74</v>
      </c>
      <c r="F880" s="7"/>
      <c r="G880" s="7"/>
      <c r="H880" s="6"/>
      <c r="I880" s="8"/>
      <c r="J880" s="6"/>
      <c r="K880" s="6"/>
      <c r="L880" s="45"/>
      <c r="M880" s="6"/>
    </row>
    <row r="881" spans="1:13" ht="15" hidden="1" customHeight="1" x14ac:dyDescent="0.25">
      <c r="A881" s="43">
        <v>22349522504464</v>
      </c>
      <c r="C881" s="73" t="s">
        <v>30</v>
      </c>
      <c r="D881" s="6" t="s">
        <v>2</v>
      </c>
      <c r="E881" s="7" t="s">
        <v>74</v>
      </c>
      <c r="F881" s="7"/>
      <c r="G881" s="7"/>
      <c r="H881" s="6"/>
      <c r="I881" s="8"/>
      <c r="J881" s="6"/>
      <c r="K881" s="6"/>
      <c r="L881" s="45"/>
      <c r="M881" s="6"/>
    </row>
    <row r="882" spans="1:13" ht="15" hidden="1" customHeight="1" x14ac:dyDescent="0.25">
      <c r="A882" s="43">
        <v>22349522504478</v>
      </c>
      <c r="C882" s="73" t="s">
        <v>30</v>
      </c>
      <c r="D882" s="6" t="s">
        <v>2</v>
      </c>
      <c r="E882" s="7" t="s">
        <v>74</v>
      </c>
      <c r="F882" s="7"/>
      <c r="G882" s="7"/>
      <c r="H882" s="6"/>
      <c r="I882" s="8"/>
      <c r="J882" s="6"/>
      <c r="K882" s="6"/>
      <c r="L882" s="45"/>
      <c r="M882" s="6"/>
    </row>
    <row r="883" spans="1:13" ht="15" hidden="1" customHeight="1" x14ac:dyDescent="0.25">
      <c r="A883" s="43">
        <v>22349522504604</v>
      </c>
      <c r="C883" s="73" t="s">
        <v>30</v>
      </c>
      <c r="D883" s="6" t="s">
        <v>2</v>
      </c>
      <c r="E883" s="7" t="s">
        <v>74</v>
      </c>
      <c r="F883" s="7"/>
      <c r="G883" s="7"/>
      <c r="H883" s="6"/>
      <c r="I883" s="8"/>
      <c r="J883" s="6"/>
      <c r="K883" s="6"/>
      <c r="L883" s="45"/>
      <c r="M883" s="6"/>
    </row>
    <row r="884" spans="1:13" ht="15" hidden="1" customHeight="1" x14ac:dyDescent="0.25">
      <c r="A884" s="43" t="s">
        <v>681</v>
      </c>
      <c r="C884" s="73" t="s">
        <v>30</v>
      </c>
      <c r="D884" s="6" t="s">
        <v>2</v>
      </c>
      <c r="E884" s="7" t="s">
        <v>76</v>
      </c>
      <c r="F884" s="7" t="s">
        <v>25</v>
      </c>
      <c r="G884" s="7"/>
      <c r="H884" s="6"/>
      <c r="I884" s="8"/>
      <c r="J884" s="6"/>
      <c r="K884" s="6"/>
      <c r="L884" s="45"/>
      <c r="M884" s="6"/>
    </row>
    <row r="885" spans="1:13" ht="15" hidden="1" customHeight="1" x14ac:dyDescent="0.25">
      <c r="A885" s="43" t="s">
        <v>682</v>
      </c>
      <c r="C885" s="73" t="s">
        <v>30</v>
      </c>
      <c r="D885" s="6" t="s">
        <v>2</v>
      </c>
      <c r="E885" s="7" t="s">
        <v>76</v>
      </c>
      <c r="F885" s="7" t="s">
        <v>25</v>
      </c>
      <c r="G885" s="7"/>
      <c r="H885" s="6"/>
      <c r="I885" s="8"/>
      <c r="J885" s="6"/>
      <c r="K885" s="6"/>
      <c r="L885" s="45"/>
      <c r="M885" s="6"/>
    </row>
    <row r="886" spans="1:13" ht="15" hidden="1" customHeight="1" x14ac:dyDescent="0.25">
      <c r="A886" s="43" t="s">
        <v>683</v>
      </c>
      <c r="C886" s="73" t="s">
        <v>30</v>
      </c>
      <c r="D886" s="6" t="s">
        <v>2</v>
      </c>
      <c r="E886" s="7" t="s">
        <v>74</v>
      </c>
      <c r="F886" s="7"/>
      <c r="G886" s="7"/>
      <c r="H886" s="6"/>
      <c r="I886" s="8"/>
      <c r="J886" s="6"/>
      <c r="K886" s="6"/>
      <c r="L886" s="45"/>
      <c r="M886" s="6"/>
    </row>
    <row r="887" spans="1:13" ht="15" hidden="1" customHeight="1" x14ac:dyDescent="0.25">
      <c r="A887" s="43" t="s">
        <v>684</v>
      </c>
      <c r="C887" s="73" t="s">
        <v>30</v>
      </c>
      <c r="D887" s="6" t="s">
        <v>2</v>
      </c>
      <c r="E887" s="7" t="s">
        <v>74</v>
      </c>
      <c r="F887" s="7"/>
      <c r="G887" s="7"/>
      <c r="H887" s="6"/>
      <c r="I887" s="8"/>
      <c r="J887" s="6"/>
      <c r="K887" s="6"/>
      <c r="L887" s="45"/>
      <c r="M887" s="6"/>
    </row>
    <row r="888" spans="1:13" ht="15" hidden="1" customHeight="1" x14ac:dyDescent="0.25">
      <c r="A888" s="43">
        <v>22333522509979</v>
      </c>
      <c r="C888" s="73" t="s">
        <v>30</v>
      </c>
      <c r="D888" s="6" t="s">
        <v>2</v>
      </c>
      <c r="E888" s="7" t="s">
        <v>76</v>
      </c>
      <c r="F888" s="7" t="s">
        <v>25</v>
      </c>
      <c r="G888" s="7"/>
      <c r="H888" s="6"/>
      <c r="I888" s="8"/>
      <c r="J888" s="6"/>
      <c r="K888" s="6"/>
      <c r="L888" s="45"/>
      <c r="M888" s="6"/>
    </row>
    <row r="889" spans="1:13" ht="15" hidden="1" customHeight="1" x14ac:dyDescent="0.25">
      <c r="A889" s="43" t="s">
        <v>685</v>
      </c>
      <c r="C889" s="73" t="s">
        <v>30</v>
      </c>
      <c r="D889" s="6" t="s">
        <v>2</v>
      </c>
      <c r="E889" s="7" t="s">
        <v>74</v>
      </c>
      <c r="F889" s="7"/>
      <c r="G889" s="7"/>
      <c r="H889" s="6"/>
      <c r="I889" s="8"/>
      <c r="J889" s="6"/>
      <c r="K889" s="6"/>
      <c r="L889" s="45"/>
      <c r="M889" s="6"/>
    </row>
    <row r="890" spans="1:13" ht="15" hidden="1" customHeight="1" x14ac:dyDescent="0.25">
      <c r="A890" s="43" t="s">
        <v>686</v>
      </c>
      <c r="C890" s="73" t="s">
        <v>30</v>
      </c>
      <c r="D890" s="6" t="s">
        <v>2</v>
      </c>
      <c r="E890" s="7" t="s">
        <v>74</v>
      </c>
      <c r="F890" s="7"/>
      <c r="G890" s="7"/>
      <c r="H890" s="6"/>
      <c r="I890" s="8"/>
      <c r="J890" s="6"/>
      <c r="K890" s="6"/>
      <c r="L890" s="45"/>
      <c r="M890" s="6"/>
    </row>
    <row r="891" spans="1:13" ht="15" hidden="1" customHeight="1" x14ac:dyDescent="0.25">
      <c r="A891" s="43" t="s">
        <v>687</v>
      </c>
      <c r="C891" s="73" t="s">
        <v>30</v>
      </c>
      <c r="D891" s="6" t="s">
        <v>2</v>
      </c>
      <c r="E891" s="7" t="s">
        <v>74</v>
      </c>
      <c r="F891" s="7"/>
      <c r="G891" s="7"/>
      <c r="H891" s="6"/>
      <c r="I891" s="8"/>
      <c r="J891" s="6"/>
      <c r="K891" s="6"/>
      <c r="L891" s="45"/>
      <c r="M891" s="6"/>
    </row>
    <row r="892" spans="1:13" ht="15" hidden="1" customHeight="1" x14ac:dyDescent="0.25">
      <c r="A892" s="43" t="s">
        <v>688</v>
      </c>
      <c r="C892" s="73" t="s">
        <v>30</v>
      </c>
      <c r="D892" s="6" t="s">
        <v>2</v>
      </c>
      <c r="E892" s="7" t="s">
        <v>74</v>
      </c>
      <c r="F892" s="7"/>
      <c r="G892" s="7"/>
      <c r="H892" s="6"/>
      <c r="I892" s="8"/>
      <c r="J892" s="6"/>
      <c r="K892" s="6"/>
      <c r="L892" s="45"/>
      <c r="M892" s="6"/>
    </row>
    <row r="893" spans="1:13" ht="15" hidden="1" customHeight="1" x14ac:dyDescent="0.25">
      <c r="A893" s="43" t="s">
        <v>689</v>
      </c>
      <c r="C893" s="73" t="s">
        <v>30</v>
      </c>
      <c r="D893" s="6" t="s">
        <v>2</v>
      </c>
      <c r="E893" s="7" t="s">
        <v>74</v>
      </c>
      <c r="F893" s="7"/>
      <c r="G893" s="7"/>
      <c r="H893" s="6"/>
      <c r="I893" s="8"/>
      <c r="J893" s="6"/>
      <c r="K893" s="6"/>
      <c r="L893" s="45"/>
      <c r="M893" s="6"/>
    </row>
    <row r="894" spans="1:13" ht="15" hidden="1" customHeight="1" x14ac:dyDescent="0.25">
      <c r="A894" s="43" t="s">
        <v>690</v>
      </c>
      <c r="C894" s="73" t="s">
        <v>30</v>
      </c>
      <c r="D894" s="6" t="s">
        <v>2</v>
      </c>
      <c r="E894" s="7" t="s">
        <v>74</v>
      </c>
      <c r="F894" s="7"/>
      <c r="G894" s="7"/>
      <c r="H894" s="6"/>
      <c r="I894" s="8"/>
      <c r="J894" s="6"/>
      <c r="K894" s="6"/>
      <c r="L894" s="45"/>
      <c r="M894" s="6"/>
    </row>
    <row r="895" spans="1:13" ht="15" hidden="1" customHeight="1" x14ac:dyDescent="0.25">
      <c r="A895" s="43" t="s">
        <v>691</v>
      </c>
      <c r="C895" s="73" t="s">
        <v>30</v>
      </c>
      <c r="D895" s="6" t="s">
        <v>2</v>
      </c>
      <c r="E895" s="7" t="s">
        <v>74</v>
      </c>
      <c r="F895" s="7"/>
      <c r="G895" s="7"/>
      <c r="H895" s="6"/>
      <c r="I895" s="8"/>
      <c r="J895" s="6"/>
      <c r="K895" s="6"/>
      <c r="L895" s="45"/>
      <c r="M895" s="6"/>
    </row>
    <row r="896" spans="1:13" ht="15" hidden="1" customHeight="1" x14ac:dyDescent="0.25">
      <c r="A896" s="43" t="s">
        <v>692</v>
      </c>
      <c r="C896" s="73" t="s">
        <v>30</v>
      </c>
      <c r="D896" s="6" t="s">
        <v>2</v>
      </c>
      <c r="E896" s="7" t="s">
        <v>74</v>
      </c>
      <c r="F896" s="7"/>
      <c r="G896" s="7"/>
      <c r="H896" s="6"/>
      <c r="I896" s="8"/>
      <c r="J896" s="6"/>
      <c r="K896" s="6"/>
      <c r="L896" s="45"/>
      <c r="M896" s="6"/>
    </row>
    <row r="897" spans="1:13" ht="15" hidden="1" customHeight="1" x14ac:dyDescent="0.25">
      <c r="A897" s="43" t="s">
        <v>693</v>
      </c>
      <c r="C897" s="73" t="s">
        <v>30</v>
      </c>
      <c r="D897" s="6" t="s">
        <v>2</v>
      </c>
      <c r="E897" s="7" t="s">
        <v>74</v>
      </c>
      <c r="F897" s="7"/>
      <c r="G897" s="7"/>
      <c r="H897" s="6"/>
      <c r="I897" s="8"/>
      <c r="J897" s="6"/>
      <c r="K897" s="6"/>
      <c r="L897" s="45"/>
      <c r="M897" s="6"/>
    </row>
    <row r="898" spans="1:13" ht="15" hidden="1" customHeight="1" x14ac:dyDescent="0.25">
      <c r="A898" s="43" t="s">
        <v>694</v>
      </c>
      <c r="C898" s="73" t="s">
        <v>30</v>
      </c>
      <c r="D898" s="6" t="s">
        <v>2</v>
      </c>
      <c r="E898" s="7" t="s">
        <v>74</v>
      </c>
      <c r="F898" s="7"/>
      <c r="G898" s="7"/>
      <c r="H898" s="6"/>
      <c r="I898" s="8"/>
      <c r="J898" s="6"/>
      <c r="K898" s="6"/>
      <c r="L898" s="45"/>
      <c r="M898" s="6"/>
    </row>
    <row r="899" spans="1:13" ht="15" hidden="1" customHeight="1" x14ac:dyDescent="0.25">
      <c r="A899" s="43" t="s">
        <v>695</v>
      </c>
      <c r="C899" s="73" t="s">
        <v>30</v>
      </c>
      <c r="D899" s="6" t="s">
        <v>2</v>
      </c>
      <c r="E899" s="7" t="s">
        <v>74</v>
      </c>
      <c r="F899" s="7"/>
      <c r="G899" s="7"/>
      <c r="H899" s="6"/>
      <c r="I899" s="8"/>
      <c r="J899" s="6"/>
      <c r="K899" s="6"/>
      <c r="L899" s="45"/>
      <c r="M899" s="6"/>
    </row>
    <row r="900" spans="1:13" ht="15" hidden="1" customHeight="1" x14ac:dyDescent="0.25">
      <c r="A900" s="43" t="s">
        <v>696</v>
      </c>
      <c r="C900" s="73" t="s">
        <v>30</v>
      </c>
      <c r="D900" s="6" t="s">
        <v>2</v>
      </c>
      <c r="E900" s="7" t="s">
        <v>74</v>
      </c>
      <c r="F900" s="7"/>
      <c r="G900" s="7"/>
      <c r="H900" s="6"/>
      <c r="I900" s="8"/>
      <c r="J900" s="6"/>
      <c r="K900" s="6"/>
      <c r="L900" s="45"/>
      <c r="M900" s="6"/>
    </row>
    <row r="901" spans="1:13" ht="15" hidden="1" customHeight="1" x14ac:dyDescent="0.25">
      <c r="A901" s="43" t="s">
        <v>697</v>
      </c>
      <c r="C901" s="73" t="s">
        <v>30</v>
      </c>
      <c r="D901" s="6" t="s">
        <v>2</v>
      </c>
      <c r="E901" s="7" t="s">
        <v>74</v>
      </c>
      <c r="F901" s="7"/>
      <c r="G901" s="7"/>
      <c r="H901" s="6"/>
      <c r="I901" s="8"/>
      <c r="J901" s="6"/>
      <c r="K901" s="6"/>
      <c r="L901" s="45"/>
      <c r="M901" s="6"/>
    </row>
    <row r="902" spans="1:13" ht="15" hidden="1" customHeight="1" x14ac:dyDescent="0.25">
      <c r="A902" s="43" t="s">
        <v>698</v>
      </c>
      <c r="C902" s="73" t="s">
        <v>30</v>
      </c>
      <c r="D902" s="6" t="s">
        <v>2</v>
      </c>
      <c r="E902" s="7" t="s">
        <v>74</v>
      </c>
      <c r="F902" s="7"/>
      <c r="G902" s="7"/>
      <c r="H902" s="6"/>
      <c r="I902" s="8"/>
      <c r="J902" s="6"/>
      <c r="K902" s="6"/>
      <c r="L902" s="45"/>
      <c r="M902" s="6"/>
    </row>
    <row r="903" spans="1:13" ht="15" hidden="1" customHeight="1" x14ac:dyDescent="0.25">
      <c r="A903" s="43" t="s">
        <v>699</v>
      </c>
      <c r="C903" s="73" t="s">
        <v>30</v>
      </c>
      <c r="D903" s="6" t="s">
        <v>2</v>
      </c>
      <c r="E903" s="7" t="s">
        <v>74</v>
      </c>
      <c r="F903" s="7"/>
      <c r="G903" s="7"/>
      <c r="H903" s="6"/>
      <c r="I903" s="8"/>
      <c r="J903" s="6"/>
      <c r="K903" s="6"/>
      <c r="L903" s="45"/>
      <c r="M903" s="6"/>
    </row>
    <row r="904" spans="1:13" ht="15" hidden="1" customHeight="1" x14ac:dyDescent="0.25">
      <c r="A904" s="43" t="s">
        <v>700</v>
      </c>
      <c r="C904" s="73" t="s">
        <v>30</v>
      </c>
      <c r="D904" s="6" t="s">
        <v>2</v>
      </c>
      <c r="E904" s="7" t="s">
        <v>74</v>
      </c>
      <c r="F904" s="7"/>
      <c r="G904" s="7"/>
      <c r="H904" s="6"/>
      <c r="I904" s="8"/>
      <c r="J904" s="6"/>
      <c r="K904" s="6"/>
      <c r="L904" s="45"/>
      <c r="M904" s="6"/>
    </row>
    <row r="905" spans="1:13" ht="15" hidden="1" customHeight="1" x14ac:dyDescent="0.25">
      <c r="A905" s="43" t="s">
        <v>701</v>
      </c>
      <c r="C905" s="73" t="s">
        <v>30</v>
      </c>
      <c r="D905" s="6" t="s">
        <v>2</v>
      </c>
      <c r="E905" s="7" t="s">
        <v>74</v>
      </c>
      <c r="F905" s="7"/>
      <c r="G905" s="7"/>
      <c r="H905" s="6"/>
      <c r="I905" s="8"/>
      <c r="J905" s="6"/>
      <c r="K905" s="6"/>
      <c r="L905" s="45"/>
      <c r="M905" s="6"/>
    </row>
    <row r="906" spans="1:13" ht="15" hidden="1" customHeight="1" x14ac:dyDescent="0.25">
      <c r="A906" s="43" t="s">
        <v>702</v>
      </c>
      <c r="C906" s="73" t="s">
        <v>30</v>
      </c>
      <c r="D906" s="6" t="s">
        <v>2</v>
      </c>
      <c r="E906" s="7" t="s">
        <v>74</v>
      </c>
      <c r="F906" s="7"/>
      <c r="G906" s="7"/>
      <c r="H906" s="6"/>
      <c r="I906" s="8"/>
      <c r="J906" s="6"/>
      <c r="K906" s="6"/>
      <c r="L906" s="45"/>
      <c r="M906" s="6"/>
    </row>
    <row r="907" spans="1:13" ht="15" hidden="1" customHeight="1" x14ac:dyDescent="0.25">
      <c r="A907" s="43">
        <v>20321523021653</v>
      </c>
      <c r="C907" s="73" t="s">
        <v>42</v>
      </c>
      <c r="D907" s="6" t="s">
        <v>2</v>
      </c>
      <c r="E907" s="7" t="s">
        <v>76</v>
      </c>
      <c r="F907" s="47" t="s">
        <v>101</v>
      </c>
      <c r="G907" s="6"/>
      <c r="H907" s="6"/>
      <c r="I907" s="8"/>
      <c r="J907" s="6"/>
      <c r="K907" s="6"/>
      <c r="L907" s="45"/>
      <c r="M907" s="6"/>
    </row>
    <row r="908" spans="1:13" ht="15" hidden="1" customHeight="1" x14ac:dyDescent="0.25">
      <c r="A908" s="43" t="s">
        <v>703</v>
      </c>
      <c r="C908" s="73" t="s">
        <v>48</v>
      </c>
      <c r="D908" s="6" t="s">
        <v>2</v>
      </c>
      <c r="E908" s="7" t="s">
        <v>76</v>
      </c>
      <c r="F908" s="7" t="s">
        <v>101</v>
      </c>
      <c r="G908" s="6"/>
      <c r="H908" s="6"/>
      <c r="I908" s="8"/>
      <c r="J908" s="6"/>
      <c r="K908" s="6"/>
      <c r="L908" s="45"/>
      <c r="M908" s="6"/>
    </row>
    <row r="909" spans="1:13" ht="15" hidden="1" customHeight="1" x14ac:dyDescent="0.25">
      <c r="A909" s="43">
        <v>21112523600570</v>
      </c>
      <c r="C909" s="73" t="s">
        <v>32</v>
      </c>
      <c r="D909" s="6" t="s">
        <v>2</v>
      </c>
      <c r="E909" s="7" t="s">
        <v>76</v>
      </c>
      <c r="F909" s="7" t="s">
        <v>101</v>
      </c>
      <c r="G909" s="6"/>
      <c r="H909" s="6"/>
      <c r="I909" s="8"/>
      <c r="J909" s="6"/>
      <c r="K909" s="6"/>
      <c r="L909" s="45"/>
      <c r="M909" s="6"/>
    </row>
    <row r="910" spans="1:13" ht="15" hidden="1" customHeight="1" x14ac:dyDescent="0.25">
      <c r="A910" s="55" t="s">
        <v>704</v>
      </c>
      <c r="C910" s="73" t="s">
        <v>46</v>
      </c>
      <c r="D910" s="6" t="s">
        <v>2</v>
      </c>
      <c r="E910" s="7" t="s">
        <v>76</v>
      </c>
      <c r="F910" s="47" t="s">
        <v>101</v>
      </c>
      <c r="G910" s="6"/>
      <c r="H910" s="6"/>
      <c r="I910" s="8"/>
      <c r="J910" s="6"/>
      <c r="K910" s="6"/>
      <c r="L910" s="45"/>
      <c r="M910" s="6"/>
    </row>
    <row r="911" spans="1:13" ht="15" hidden="1" customHeight="1" x14ac:dyDescent="0.25">
      <c r="A911" s="43" t="s">
        <v>705</v>
      </c>
      <c r="C911" s="73" t="s">
        <v>46</v>
      </c>
      <c r="D911" s="6" t="s">
        <v>2</v>
      </c>
      <c r="E911" s="7" t="s">
        <v>76</v>
      </c>
      <c r="F911" s="7" t="s">
        <v>101</v>
      </c>
      <c r="G911" s="6"/>
      <c r="H911" s="6"/>
      <c r="I911" s="8"/>
      <c r="J911" s="6"/>
      <c r="K911" s="6"/>
      <c r="L911" s="45"/>
      <c r="M911" s="6"/>
    </row>
    <row r="912" spans="1:13" ht="15" customHeight="1" x14ac:dyDescent="0.25">
      <c r="A912" s="43">
        <v>18338523081888</v>
      </c>
      <c r="C912" s="73" t="s">
        <v>41</v>
      </c>
      <c r="D912" s="6" t="s">
        <v>2</v>
      </c>
      <c r="E912" s="7" t="s">
        <v>74</v>
      </c>
      <c r="F912" s="7"/>
      <c r="G912" s="6"/>
      <c r="H912" s="6"/>
      <c r="I912" s="8"/>
      <c r="J912" s="6"/>
      <c r="K912" s="6"/>
      <c r="L912" s="45"/>
      <c r="M912" s="6"/>
    </row>
    <row r="913" spans="1:13" ht="15" customHeight="1" x14ac:dyDescent="0.25">
      <c r="A913" s="43">
        <v>18338523081909</v>
      </c>
      <c r="C913" s="73" t="s">
        <v>41</v>
      </c>
      <c r="D913" s="6" t="s">
        <v>2</v>
      </c>
      <c r="E913" s="7" t="s">
        <v>74</v>
      </c>
      <c r="F913" s="7"/>
      <c r="G913" s="6"/>
      <c r="H913" s="6"/>
      <c r="I913" s="8"/>
      <c r="J913" s="6"/>
      <c r="K913" s="6"/>
      <c r="L913" s="45"/>
      <c r="M913" s="6"/>
    </row>
    <row r="914" spans="1:13" ht="15" customHeight="1" x14ac:dyDescent="0.25">
      <c r="A914" s="43">
        <v>18338523081911</v>
      </c>
      <c r="C914" s="73" t="s">
        <v>41</v>
      </c>
      <c r="D914" s="6" t="s">
        <v>2</v>
      </c>
      <c r="E914" s="7" t="s">
        <v>74</v>
      </c>
      <c r="F914" s="7"/>
      <c r="G914" s="6"/>
      <c r="H914" s="6"/>
      <c r="I914" s="8"/>
      <c r="J914" s="6"/>
      <c r="K914" s="6"/>
      <c r="L914" s="45"/>
      <c r="M914" s="6"/>
    </row>
    <row r="915" spans="1:13" ht="15" customHeight="1" x14ac:dyDescent="0.25">
      <c r="A915" s="43">
        <v>18338523081915</v>
      </c>
      <c r="C915" s="73" t="s">
        <v>41</v>
      </c>
      <c r="D915" s="6" t="s">
        <v>2</v>
      </c>
      <c r="E915" s="7" t="s">
        <v>74</v>
      </c>
      <c r="F915" s="7"/>
      <c r="G915" s="6"/>
      <c r="H915" s="6"/>
      <c r="I915" s="8"/>
      <c r="J915" s="6"/>
      <c r="K915" s="6"/>
      <c r="L915" s="45"/>
      <c r="M915" s="6"/>
    </row>
    <row r="916" spans="1:13" ht="15" customHeight="1" x14ac:dyDescent="0.25">
      <c r="A916" s="43">
        <v>18338523081933</v>
      </c>
      <c r="C916" s="73" t="s">
        <v>41</v>
      </c>
      <c r="D916" s="6" t="s">
        <v>2</v>
      </c>
      <c r="E916" s="7" t="s">
        <v>74</v>
      </c>
      <c r="F916" s="7"/>
      <c r="G916" s="6"/>
      <c r="H916" s="6"/>
      <c r="I916" s="8"/>
      <c r="J916" s="6"/>
      <c r="K916" s="6"/>
      <c r="L916" s="45"/>
      <c r="M916" s="6"/>
    </row>
    <row r="917" spans="1:13" ht="15" customHeight="1" x14ac:dyDescent="0.25">
      <c r="A917" s="43">
        <v>18338523081934</v>
      </c>
      <c r="C917" s="73" t="s">
        <v>41</v>
      </c>
      <c r="D917" s="6" t="s">
        <v>2</v>
      </c>
      <c r="E917" s="7" t="s">
        <v>74</v>
      </c>
      <c r="F917" s="7"/>
      <c r="G917" s="6"/>
      <c r="H917" s="6"/>
      <c r="I917" s="8"/>
      <c r="J917" s="6"/>
      <c r="K917" s="6"/>
      <c r="L917" s="45"/>
      <c r="M917" s="6"/>
    </row>
    <row r="918" spans="1:13" ht="15" customHeight="1" x14ac:dyDescent="0.25">
      <c r="A918" s="43">
        <v>18338523081948</v>
      </c>
      <c r="C918" s="73" t="s">
        <v>41</v>
      </c>
      <c r="D918" s="6" t="s">
        <v>2</v>
      </c>
      <c r="E918" s="7" t="s">
        <v>74</v>
      </c>
      <c r="F918" s="7"/>
      <c r="G918" s="6"/>
      <c r="H918" s="6"/>
      <c r="I918" s="8"/>
      <c r="J918" s="6"/>
      <c r="K918" s="6"/>
      <c r="L918" s="45"/>
      <c r="M918" s="6"/>
    </row>
    <row r="919" spans="1:13" ht="15" customHeight="1" x14ac:dyDescent="0.25">
      <c r="A919" s="43">
        <v>18339523080013</v>
      </c>
      <c r="C919" s="73" t="s">
        <v>41</v>
      </c>
      <c r="D919" s="6" t="s">
        <v>2</v>
      </c>
      <c r="E919" s="7" t="s">
        <v>74</v>
      </c>
      <c r="F919" s="7"/>
      <c r="G919" s="6"/>
      <c r="H919" s="6"/>
      <c r="I919" s="8"/>
      <c r="J919" s="6"/>
      <c r="K919" s="6"/>
      <c r="L919" s="45"/>
      <c r="M919" s="6"/>
    </row>
    <row r="920" spans="1:13" ht="15" customHeight="1" x14ac:dyDescent="0.25">
      <c r="A920" s="43">
        <v>18339523080026</v>
      </c>
      <c r="C920" s="73" t="s">
        <v>41</v>
      </c>
      <c r="D920" s="6" t="s">
        <v>2</v>
      </c>
      <c r="E920" s="7" t="s">
        <v>74</v>
      </c>
      <c r="F920" s="7"/>
      <c r="G920" s="6"/>
      <c r="H920" s="6"/>
      <c r="I920" s="8"/>
      <c r="J920" s="6"/>
      <c r="K920" s="6"/>
      <c r="L920" s="45"/>
      <c r="M920" s="6"/>
    </row>
    <row r="921" spans="1:13" ht="15" customHeight="1" x14ac:dyDescent="0.25">
      <c r="A921" s="43">
        <v>18339523080037</v>
      </c>
      <c r="C921" s="73" t="s">
        <v>41</v>
      </c>
      <c r="D921" s="6" t="s">
        <v>2</v>
      </c>
      <c r="E921" s="7" t="s">
        <v>74</v>
      </c>
      <c r="F921" s="7"/>
      <c r="G921" s="6"/>
      <c r="H921" s="6"/>
      <c r="I921" s="8"/>
      <c r="J921" s="6"/>
      <c r="K921" s="6"/>
      <c r="L921" s="45"/>
      <c r="M921" s="6"/>
    </row>
    <row r="922" spans="1:13" ht="15" customHeight="1" x14ac:dyDescent="0.25">
      <c r="A922" s="43">
        <v>18339523080209</v>
      </c>
      <c r="C922" s="73" t="s">
        <v>41</v>
      </c>
      <c r="D922" s="6" t="s">
        <v>2</v>
      </c>
      <c r="E922" s="7" t="s">
        <v>74</v>
      </c>
      <c r="F922" s="7"/>
      <c r="G922" s="6"/>
      <c r="H922" s="6"/>
      <c r="I922" s="8"/>
      <c r="J922" s="6"/>
      <c r="K922" s="6"/>
      <c r="L922" s="45"/>
      <c r="M922" s="6"/>
    </row>
    <row r="923" spans="1:13" ht="15" customHeight="1" x14ac:dyDescent="0.25">
      <c r="A923" s="43">
        <v>18339523080210</v>
      </c>
      <c r="C923" s="73" t="s">
        <v>41</v>
      </c>
      <c r="D923" s="6" t="s">
        <v>2</v>
      </c>
      <c r="E923" s="7" t="s">
        <v>74</v>
      </c>
      <c r="F923" s="7"/>
      <c r="G923" s="6"/>
      <c r="H923" s="6"/>
      <c r="I923" s="8"/>
      <c r="J923" s="6"/>
      <c r="K923" s="6"/>
      <c r="L923" s="45"/>
      <c r="M923" s="6"/>
    </row>
    <row r="924" spans="1:13" ht="15" customHeight="1" x14ac:dyDescent="0.25">
      <c r="A924" s="43">
        <v>19276520180937</v>
      </c>
      <c r="C924" s="73" t="s">
        <v>41</v>
      </c>
      <c r="D924" s="6" t="s">
        <v>2</v>
      </c>
      <c r="E924" s="7" t="s">
        <v>74</v>
      </c>
      <c r="F924" s="7"/>
      <c r="G924" s="6"/>
      <c r="H924" s="6"/>
      <c r="I924" s="8"/>
      <c r="J924" s="6"/>
      <c r="K924" s="6"/>
      <c r="L924" s="45"/>
      <c r="M924" s="6"/>
    </row>
    <row r="925" spans="1:13" ht="15" customHeight="1" x14ac:dyDescent="0.25">
      <c r="A925" s="43">
        <v>19276520180941</v>
      </c>
      <c r="C925" s="73" t="s">
        <v>41</v>
      </c>
      <c r="D925" s="6" t="s">
        <v>2</v>
      </c>
      <c r="E925" s="7" t="s">
        <v>74</v>
      </c>
      <c r="F925" s="7"/>
      <c r="G925" s="6"/>
      <c r="H925" s="6"/>
      <c r="I925" s="8"/>
      <c r="J925" s="6"/>
      <c r="K925" s="6"/>
      <c r="L925" s="45"/>
      <c r="M925" s="6"/>
    </row>
    <row r="926" spans="1:13" ht="15" customHeight="1" x14ac:dyDescent="0.25">
      <c r="A926" s="43">
        <v>19276520180945</v>
      </c>
      <c r="C926" s="73" t="s">
        <v>41</v>
      </c>
      <c r="D926" s="6" t="s">
        <v>2</v>
      </c>
      <c r="E926" s="7" t="s">
        <v>74</v>
      </c>
      <c r="F926" s="7"/>
      <c r="G926" s="6"/>
      <c r="H926" s="6"/>
      <c r="I926" s="8"/>
      <c r="J926" s="6"/>
      <c r="K926" s="6"/>
      <c r="L926" s="45"/>
      <c r="M926" s="6"/>
    </row>
    <row r="927" spans="1:13" ht="15" customHeight="1" x14ac:dyDescent="0.25">
      <c r="A927" s="43">
        <v>19276520180948</v>
      </c>
      <c r="C927" s="73" t="s">
        <v>41</v>
      </c>
      <c r="D927" s="6" t="s">
        <v>2</v>
      </c>
      <c r="E927" s="7" t="s">
        <v>74</v>
      </c>
      <c r="F927" s="7"/>
      <c r="G927" s="6"/>
      <c r="H927" s="6"/>
      <c r="I927" s="8"/>
      <c r="J927" s="6"/>
      <c r="K927" s="6"/>
      <c r="L927" s="45"/>
      <c r="M927" s="6"/>
    </row>
    <row r="928" spans="1:13" ht="15" customHeight="1" x14ac:dyDescent="0.25">
      <c r="A928" s="43">
        <v>19276520180966</v>
      </c>
      <c r="C928" s="73" t="s">
        <v>41</v>
      </c>
      <c r="D928" s="6" t="s">
        <v>2</v>
      </c>
      <c r="E928" s="7" t="s">
        <v>74</v>
      </c>
      <c r="F928" s="7"/>
      <c r="G928" s="6"/>
      <c r="H928" s="6"/>
      <c r="I928" s="8"/>
      <c r="J928" s="6"/>
      <c r="K928" s="6"/>
      <c r="L928" s="45"/>
      <c r="M928" s="6"/>
    </row>
    <row r="929" spans="1:13" ht="15" customHeight="1" x14ac:dyDescent="0.25">
      <c r="A929" s="43">
        <v>19276520180971</v>
      </c>
      <c r="C929" s="73" t="s">
        <v>41</v>
      </c>
      <c r="D929" s="6" t="s">
        <v>2</v>
      </c>
      <c r="E929" s="7" t="s">
        <v>74</v>
      </c>
      <c r="F929" s="7"/>
      <c r="G929" s="6"/>
      <c r="H929" s="6"/>
      <c r="I929" s="8"/>
      <c r="J929" s="6"/>
      <c r="K929" s="6"/>
      <c r="L929" s="45"/>
      <c r="M929" s="6"/>
    </row>
    <row r="930" spans="1:13" ht="15" customHeight="1" x14ac:dyDescent="0.25">
      <c r="A930" s="43">
        <v>19276520180979</v>
      </c>
      <c r="C930" s="73" t="s">
        <v>41</v>
      </c>
      <c r="D930" s="6" t="s">
        <v>2</v>
      </c>
      <c r="E930" s="7" t="s">
        <v>74</v>
      </c>
      <c r="F930" s="7"/>
      <c r="G930" s="6"/>
      <c r="H930" s="6"/>
      <c r="I930" s="8"/>
      <c r="J930" s="6"/>
      <c r="K930" s="6"/>
      <c r="L930" s="45"/>
      <c r="M930" s="6"/>
    </row>
    <row r="931" spans="1:13" ht="15" customHeight="1" x14ac:dyDescent="0.25">
      <c r="A931" s="43">
        <v>19276520180981</v>
      </c>
      <c r="C931" s="73" t="s">
        <v>41</v>
      </c>
      <c r="D931" s="6" t="s">
        <v>2</v>
      </c>
      <c r="E931" s="7" t="s">
        <v>74</v>
      </c>
      <c r="F931" s="7"/>
      <c r="G931" s="6"/>
      <c r="H931" s="6"/>
      <c r="I931" s="8"/>
      <c r="J931" s="6"/>
      <c r="K931" s="6"/>
      <c r="L931" s="45"/>
      <c r="M931" s="6"/>
    </row>
    <row r="932" spans="1:13" ht="15" customHeight="1" x14ac:dyDescent="0.3">
      <c r="A932" s="51">
        <v>19276520180983</v>
      </c>
      <c r="C932" s="73" t="s">
        <v>41</v>
      </c>
      <c r="D932" s="6" t="s">
        <v>2</v>
      </c>
      <c r="E932" s="7" t="s">
        <v>74</v>
      </c>
      <c r="F932" s="7"/>
      <c r="G932" s="6"/>
      <c r="H932" s="6"/>
      <c r="I932" s="8"/>
      <c r="J932" s="6"/>
      <c r="K932" s="6"/>
      <c r="L932" s="45"/>
      <c r="M932" s="6"/>
    </row>
    <row r="933" spans="1:13" ht="15" customHeight="1" x14ac:dyDescent="0.25">
      <c r="A933" s="43">
        <v>19276520180987</v>
      </c>
      <c r="C933" s="73" t="s">
        <v>41</v>
      </c>
      <c r="D933" s="6" t="s">
        <v>2</v>
      </c>
      <c r="E933" s="7" t="s">
        <v>74</v>
      </c>
      <c r="F933" s="7"/>
      <c r="G933" s="6"/>
      <c r="H933" s="6"/>
      <c r="I933" s="8"/>
      <c r="J933" s="6"/>
      <c r="K933" s="6"/>
      <c r="L933" s="45"/>
      <c r="M933" s="6"/>
    </row>
    <row r="934" spans="1:13" ht="15" customHeight="1" x14ac:dyDescent="0.25">
      <c r="A934" s="43">
        <v>19276520480983</v>
      </c>
      <c r="C934" s="73" t="s">
        <v>41</v>
      </c>
      <c r="D934" s="6" t="s">
        <v>2</v>
      </c>
      <c r="E934" s="7" t="s">
        <v>74</v>
      </c>
      <c r="F934" s="7"/>
      <c r="G934" s="6"/>
      <c r="H934" s="6"/>
      <c r="I934" s="8"/>
      <c r="J934" s="6"/>
      <c r="K934" s="6"/>
      <c r="L934" s="45"/>
      <c r="M934" s="6"/>
    </row>
    <row r="935" spans="1:13" ht="15" customHeight="1" x14ac:dyDescent="0.25">
      <c r="A935" s="43">
        <v>20155520180444</v>
      </c>
      <c r="C935" s="73" t="s">
        <v>41</v>
      </c>
      <c r="D935" s="6" t="s">
        <v>2</v>
      </c>
      <c r="E935" s="7" t="s">
        <v>74</v>
      </c>
      <c r="F935" s="7"/>
      <c r="G935" s="6"/>
      <c r="H935" s="6"/>
      <c r="I935" s="8"/>
      <c r="J935" s="6"/>
      <c r="K935" s="6"/>
      <c r="L935" s="45"/>
      <c r="M935" s="6"/>
    </row>
    <row r="936" spans="1:13" ht="15" customHeight="1" x14ac:dyDescent="0.25">
      <c r="A936" s="43">
        <v>20155520180446</v>
      </c>
      <c r="C936" s="73" t="s">
        <v>41</v>
      </c>
      <c r="D936" s="6" t="s">
        <v>2</v>
      </c>
      <c r="E936" s="7" t="s">
        <v>74</v>
      </c>
      <c r="F936" s="7"/>
      <c r="G936" s="6"/>
      <c r="H936" s="6"/>
      <c r="I936" s="8"/>
      <c r="J936" s="6"/>
      <c r="K936" s="6"/>
      <c r="L936" s="45"/>
      <c r="M936" s="6"/>
    </row>
    <row r="937" spans="1:13" ht="15" customHeight="1" x14ac:dyDescent="0.25">
      <c r="A937" s="43">
        <v>21218520180672</v>
      </c>
      <c r="C937" s="73" t="s">
        <v>41</v>
      </c>
      <c r="D937" s="6" t="s">
        <v>2</v>
      </c>
      <c r="E937" s="7" t="s">
        <v>74</v>
      </c>
      <c r="F937" s="7"/>
      <c r="G937" s="6"/>
      <c r="H937" s="6"/>
      <c r="I937" s="8"/>
      <c r="J937" s="6"/>
      <c r="K937" s="6"/>
      <c r="L937" s="45"/>
      <c r="M937" s="6"/>
    </row>
    <row r="938" spans="1:13" ht="15" customHeight="1" x14ac:dyDescent="0.25">
      <c r="A938" s="43">
        <v>21218520180882</v>
      </c>
      <c r="C938" s="73" t="s">
        <v>41</v>
      </c>
      <c r="D938" s="6" t="s">
        <v>2</v>
      </c>
      <c r="E938" s="7" t="s">
        <v>74</v>
      </c>
      <c r="F938" s="7"/>
      <c r="G938" s="6"/>
      <c r="H938" s="6"/>
      <c r="I938" s="8"/>
      <c r="J938" s="6"/>
      <c r="K938" s="6"/>
      <c r="L938" s="45"/>
      <c r="M938" s="6"/>
    </row>
    <row r="939" spans="1:13" ht="15" customHeight="1" x14ac:dyDescent="0.25">
      <c r="A939" s="43">
        <v>21218520180883</v>
      </c>
      <c r="C939" s="73" t="s">
        <v>41</v>
      </c>
      <c r="D939" s="6" t="s">
        <v>2</v>
      </c>
      <c r="E939" s="7" t="s">
        <v>74</v>
      </c>
      <c r="F939" s="7"/>
      <c r="G939" s="6"/>
      <c r="H939" s="6"/>
      <c r="I939" s="8"/>
      <c r="J939" s="6"/>
      <c r="K939" s="6"/>
      <c r="L939" s="45"/>
      <c r="M939" s="6"/>
    </row>
    <row r="940" spans="1:13" ht="15" customHeight="1" x14ac:dyDescent="0.25">
      <c r="A940" s="43">
        <v>21218520180884</v>
      </c>
      <c r="C940" s="73" t="s">
        <v>41</v>
      </c>
      <c r="D940" s="6" t="s">
        <v>2</v>
      </c>
      <c r="E940" s="7" t="s">
        <v>74</v>
      </c>
      <c r="F940" s="7"/>
      <c r="G940" s="6"/>
      <c r="H940" s="6"/>
      <c r="I940" s="8"/>
      <c r="J940" s="6"/>
      <c r="K940" s="6"/>
      <c r="L940" s="45"/>
      <c r="M940" s="6"/>
    </row>
    <row r="941" spans="1:13" ht="15" customHeight="1" x14ac:dyDescent="0.25">
      <c r="A941" s="43">
        <v>21218520180893</v>
      </c>
      <c r="C941" s="73" t="s">
        <v>41</v>
      </c>
      <c r="D941" s="6" t="s">
        <v>2</v>
      </c>
      <c r="E941" s="7" t="s">
        <v>74</v>
      </c>
      <c r="F941" s="7"/>
      <c r="G941" s="6"/>
      <c r="H941" s="6"/>
      <c r="I941" s="8"/>
      <c r="J941" s="6"/>
      <c r="K941" s="6"/>
      <c r="L941" s="45"/>
      <c r="M941" s="6"/>
    </row>
    <row r="942" spans="1:13" ht="15" customHeight="1" x14ac:dyDescent="0.25">
      <c r="A942" s="43">
        <v>21218520180895</v>
      </c>
      <c r="C942" s="73" t="s">
        <v>41</v>
      </c>
      <c r="D942" s="6" t="s">
        <v>2</v>
      </c>
      <c r="E942" s="7" t="s">
        <v>74</v>
      </c>
      <c r="F942" s="7"/>
      <c r="G942" s="6"/>
      <c r="H942" s="6"/>
      <c r="I942" s="8"/>
      <c r="J942" s="6"/>
      <c r="K942" s="6"/>
      <c r="L942" s="45"/>
      <c r="M942" s="6"/>
    </row>
    <row r="943" spans="1:13" ht="15" customHeight="1" x14ac:dyDescent="0.25">
      <c r="A943" s="43">
        <v>21218520180904</v>
      </c>
      <c r="C943" s="73" t="s">
        <v>41</v>
      </c>
      <c r="D943" s="6" t="s">
        <v>2</v>
      </c>
      <c r="E943" s="7" t="s">
        <v>74</v>
      </c>
      <c r="F943" s="7"/>
      <c r="G943" s="6"/>
      <c r="H943" s="6"/>
      <c r="I943" s="8"/>
      <c r="J943" s="6"/>
      <c r="K943" s="6"/>
      <c r="L943" s="45"/>
      <c r="M943" s="6"/>
    </row>
    <row r="944" spans="1:13" ht="15" customHeight="1" x14ac:dyDescent="0.25">
      <c r="A944" s="43">
        <v>21218520180907</v>
      </c>
      <c r="C944" s="73" t="s">
        <v>41</v>
      </c>
      <c r="D944" s="6" t="s">
        <v>2</v>
      </c>
      <c r="E944" s="7" t="s">
        <v>74</v>
      </c>
      <c r="F944" s="7"/>
      <c r="G944" s="6"/>
      <c r="H944" s="6"/>
      <c r="I944" s="8"/>
      <c r="J944" s="6"/>
      <c r="K944" s="6"/>
      <c r="L944" s="45"/>
      <c r="M944" s="6"/>
    </row>
    <row r="945" spans="1:13" ht="15" customHeight="1" x14ac:dyDescent="0.25">
      <c r="A945" s="43">
        <v>21218520180908</v>
      </c>
      <c r="C945" s="73" t="s">
        <v>41</v>
      </c>
      <c r="D945" s="6" t="s">
        <v>2</v>
      </c>
      <c r="E945" s="7" t="s">
        <v>74</v>
      </c>
      <c r="F945" s="7"/>
      <c r="G945" s="6"/>
      <c r="H945" s="6"/>
      <c r="I945" s="8"/>
      <c r="J945" s="6"/>
      <c r="K945" s="6"/>
      <c r="L945" s="45"/>
      <c r="M945" s="6"/>
    </row>
    <row r="946" spans="1:13" ht="15" customHeight="1" x14ac:dyDescent="0.25">
      <c r="A946" s="43">
        <v>21218520180909</v>
      </c>
      <c r="C946" s="73" t="s">
        <v>41</v>
      </c>
      <c r="D946" s="6" t="s">
        <v>2</v>
      </c>
      <c r="E946" s="7" t="s">
        <v>74</v>
      </c>
      <c r="F946" s="7"/>
      <c r="G946" s="6"/>
      <c r="H946" s="6"/>
      <c r="I946" s="8"/>
      <c r="J946" s="6"/>
      <c r="K946" s="6"/>
      <c r="L946" s="45"/>
      <c r="M946" s="6"/>
    </row>
    <row r="947" spans="1:13" ht="15" customHeight="1" x14ac:dyDescent="0.25">
      <c r="A947" s="43">
        <v>21224520180488</v>
      </c>
      <c r="C947" s="73" t="s">
        <v>41</v>
      </c>
      <c r="D947" s="6" t="s">
        <v>2</v>
      </c>
      <c r="E947" s="7" t="s">
        <v>74</v>
      </c>
      <c r="F947" s="7"/>
      <c r="G947" s="6"/>
      <c r="H947" s="6"/>
      <c r="I947" s="8"/>
      <c r="J947" s="6"/>
      <c r="K947" s="6"/>
      <c r="L947" s="45"/>
      <c r="M947" s="6"/>
    </row>
    <row r="948" spans="1:13" ht="15" customHeight="1" x14ac:dyDescent="0.25">
      <c r="A948" s="43">
        <v>21224520180495</v>
      </c>
      <c r="C948" s="73" t="s">
        <v>41</v>
      </c>
      <c r="D948" s="6" t="s">
        <v>2</v>
      </c>
      <c r="E948" s="7" t="s">
        <v>74</v>
      </c>
      <c r="F948" s="7"/>
      <c r="G948" s="6"/>
      <c r="H948" s="6"/>
      <c r="I948" s="8"/>
      <c r="J948" s="6"/>
      <c r="K948" s="6"/>
      <c r="L948" s="45"/>
      <c r="M948" s="6"/>
    </row>
    <row r="949" spans="1:13" ht="15" customHeight="1" x14ac:dyDescent="0.25">
      <c r="A949" s="43">
        <v>22052520180242</v>
      </c>
      <c r="C949" s="73" t="s">
        <v>41</v>
      </c>
      <c r="D949" s="6" t="s">
        <v>2</v>
      </c>
      <c r="E949" s="7" t="s">
        <v>74</v>
      </c>
      <c r="F949" s="7"/>
      <c r="G949" s="6"/>
      <c r="H949" s="6"/>
      <c r="I949" s="8"/>
      <c r="J949" s="6"/>
      <c r="K949" s="6"/>
      <c r="L949" s="45"/>
      <c r="M949" s="6"/>
    </row>
    <row r="950" spans="1:13" ht="15" customHeight="1" x14ac:dyDescent="0.25">
      <c r="A950" s="43">
        <v>22052520180246</v>
      </c>
      <c r="C950" s="73" t="s">
        <v>41</v>
      </c>
      <c r="D950" s="6" t="s">
        <v>2</v>
      </c>
      <c r="E950" s="7" t="s">
        <v>74</v>
      </c>
      <c r="F950" s="7"/>
      <c r="G950" s="6"/>
      <c r="H950" s="6"/>
      <c r="I950" s="8"/>
      <c r="J950" s="6"/>
      <c r="K950" s="6"/>
      <c r="L950" s="45"/>
      <c r="M950" s="6"/>
    </row>
    <row r="951" spans="1:13" ht="15" customHeight="1" x14ac:dyDescent="0.25">
      <c r="A951" s="43">
        <v>22052520180248</v>
      </c>
      <c r="C951" s="73" t="s">
        <v>41</v>
      </c>
      <c r="D951" s="6" t="s">
        <v>2</v>
      </c>
      <c r="E951" s="7" t="s">
        <v>74</v>
      </c>
      <c r="F951" s="7"/>
      <c r="G951" s="6"/>
      <c r="H951" s="6"/>
      <c r="I951" s="8"/>
      <c r="J951" s="6"/>
      <c r="K951" s="6"/>
      <c r="L951" s="45"/>
      <c r="M951" s="6"/>
    </row>
    <row r="952" spans="1:13" ht="15" customHeight="1" x14ac:dyDescent="0.25">
      <c r="A952" s="43">
        <v>22052520180249</v>
      </c>
      <c r="C952" s="73" t="s">
        <v>41</v>
      </c>
      <c r="D952" s="6" t="s">
        <v>2</v>
      </c>
      <c r="E952" s="7" t="s">
        <v>74</v>
      </c>
      <c r="F952" s="7"/>
      <c r="G952" s="6"/>
      <c r="H952" s="6"/>
      <c r="I952" s="8"/>
      <c r="J952" s="6"/>
      <c r="K952" s="6"/>
      <c r="L952" s="45"/>
      <c r="M952" s="6"/>
    </row>
    <row r="953" spans="1:13" ht="15" customHeight="1" x14ac:dyDescent="0.25">
      <c r="A953" s="43">
        <v>22052520180252</v>
      </c>
      <c r="C953" s="73" t="s">
        <v>41</v>
      </c>
      <c r="D953" s="6" t="s">
        <v>2</v>
      </c>
      <c r="E953" s="7" t="s">
        <v>74</v>
      </c>
      <c r="F953" s="7"/>
      <c r="G953" s="6"/>
      <c r="H953" s="6"/>
      <c r="I953" s="8"/>
      <c r="J953" s="6"/>
      <c r="K953" s="6"/>
      <c r="L953" s="45"/>
      <c r="M953" s="6"/>
    </row>
    <row r="954" spans="1:13" ht="15" customHeight="1" x14ac:dyDescent="0.25">
      <c r="A954" s="43">
        <v>22052520180257</v>
      </c>
      <c r="C954" s="73" t="s">
        <v>41</v>
      </c>
      <c r="D954" s="6" t="s">
        <v>2</v>
      </c>
      <c r="E954" s="7" t="s">
        <v>74</v>
      </c>
      <c r="F954" s="7"/>
      <c r="G954" s="6"/>
      <c r="H954" s="6"/>
      <c r="I954" s="8"/>
      <c r="J954" s="6"/>
      <c r="K954" s="6"/>
      <c r="L954" s="45"/>
      <c r="M954" s="6"/>
    </row>
    <row r="955" spans="1:13" ht="15" customHeight="1" x14ac:dyDescent="0.25">
      <c r="A955" s="43">
        <v>22052520180260</v>
      </c>
      <c r="C955" s="73" t="s">
        <v>41</v>
      </c>
      <c r="D955" s="6" t="s">
        <v>2</v>
      </c>
      <c r="E955" s="7" t="s">
        <v>74</v>
      </c>
      <c r="F955" s="7"/>
      <c r="G955" s="6"/>
      <c r="H955" s="6"/>
      <c r="I955" s="8"/>
      <c r="J955" s="6"/>
      <c r="K955" s="6"/>
      <c r="L955" s="45"/>
      <c r="M955" s="6"/>
    </row>
    <row r="956" spans="1:13" ht="15" customHeight="1" x14ac:dyDescent="0.25">
      <c r="A956" s="43">
        <v>22053520180166</v>
      </c>
      <c r="C956" s="73" t="s">
        <v>41</v>
      </c>
      <c r="D956" s="6" t="s">
        <v>2</v>
      </c>
      <c r="E956" s="7" t="s">
        <v>74</v>
      </c>
      <c r="F956" s="7"/>
      <c r="G956" s="6"/>
      <c r="H956" s="6"/>
      <c r="I956" s="8"/>
      <c r="J956" s="6"/>
      <c r="K956" s="6"/>
      <c r="L956" s="45"/>
      <c r="M956" s="6"/>
    </row>
    <row r="957" spans="1:13" ht="15" customHeight="1" x14ac:dyDescent="0.25">
      <c r="A957" s="43" t="s">
        <v>706</v>
      </c>
      <c r="C957" s="73" t="s">
        <v>41</v>
      </c>
      <c r="D957" s="6" t="s">
        <v>2</v>
      </c>
      <c r="E957" s="7" t="s">
        <v>74</v>
      </c>
      <c r="F957" s="7"/>
      <c r="G957" s="6"/>
      <c r="H957" s="6"/>
      <c r="I957" s="8"/>
      <c r="J957" s="6"/>
      <c r="K957" s="6"/>
      <c r="L957" s="45"/>
      <c r="M957" s="6"/>
    </row>
    <row r="958" spans="1:13" ht="15" hidden="1" customHeight="1" x14ac:dyDescent="0.25">
      <c r="A958" s="43">
        <v>19351523022432</v>
      </c>
      <c r="C958" s="73" t="s">
        <v>42</v>
      </c>
      <c r="D958" s="6" t="s">
        <v>2</v>
      </c>
      <c r="E958" s="7" t="s">
        <v>74</v>
      </c>
      <c r="F958" s="47"/>
      <c r="G958" s="6"/>
      <c r="H958" s="6"/>
      <c r="I958" s="8"/>
      <c r="J958" s="6"/>
      <c r="K958" s="6"/>
      <c r="L958" s="45"/>
      <c r="M958" s="6"/>
    </row>
    <row r="959" spans="1:13" ht="15" hidden="1" customHeight="1" x14ac:dyDescent="0.25">
      <c r="A959" s="43">
        <v>19352523020262</v>
      </c>
      <c r="C959" s="73" t="s">
        <v>42</v>
      </c>
      <c r="D959" s="6" t="s">
        <v>2</v>
      </c>
      <c r="E959" s="7" t="s">
        <v>74</v>
      </c>
      <c r="F959" s="47"/>
      <c r="G959" s="6"/>
      <c r="H959" s="6"/>
      <c r="I959" s="8"/>
      <c r="J959" s="6"/>
      <c r="K959" s="6"/>
      <c r="L959" s="45"/>
      <c r="M959" s="6"/>
    </row>
    <row r="960" spans="1:13" ht="15" hidden="1" customHeight="1" x14ac:dyDescent="0.25">
      <c r="A960" s="43">
        <v>19352523021633</v>
      </c>
      <c r="C960" s="73" t="s">
        <v>42</v>
      </c>
      <c r="D960" s="6" t="s">
        <v>2</v>
      </c>
      <c r="E960" s="7" t="s">
        <v>74</v>
      </c>
      <c r="F960" s="47"/>
      <c r="G960" s="6"/>
      <c r="H960" s="6"/>
      <c r="I960" s="8"/>
      <c r="J960" s="6"/>
      <c r="K960" s="6"/>
      <c r="L960" s="45"/>
      <c r="M960" s="6"/>
    </row>
    <row r="961" spans="1:13" ht="15" hidden="1" customHeight="1" x14ac:dyDescent="0.25">
      <c r="A961" s="43">
        <v>19352523021642</v>
      </c>
      <c r="C961" s="73" t="s">
        <v>42</v>
      </c>
      <c r="D961" s="6" t="s">
        <v>2</v>
      </c>
      <c r="E961" s="7" t="s">
        <v>74</v>
      </c>
      <c r="F961" s="47"/>
      <c r="G961" s="6"/>
      <c r="H961" s="6"/>
      <c r="I961" s="8"/>
      <c r="J961" s="6"/>
      <c r="K961" s="6"/>
      <c r="L961" s="45"/>
      <c r="M961" s="6"/>
    </row>
    <row r="962" spans="1:13" ht="15" hidden="1" customHeight="1" x14ac:dyDescent="0.25">
      <c r="A962" s="43">
        <v>19352523021739</v>
      </c>
      <c r="C962" s="73" t="s">
        <v>42</v>
      </c>
      <c r="D962" s="6" t="s">
        <v>2</v>
      </c>
      <c r="E962" s="7" t="s">
        <v>74</v>
      </c>
      <c r="F962" s="47"/>
      <c r="G962" s="6"/>
      <c r="H962" s="6"/>
      <c r="I962" s="8"/>
      <c r="J962" s="6"/>
      <c r="K962" s="6"/>
      <c r="L962" s="45"/>
      <c r="M962" s="6"/>
    </row>
    <row r="963" spans="1:13" ht="15" hidden="1" customHeight="1" x14ac:dyDescent="0.25">
      <c r="A963" s="43">
        <v>19352523021773</v>
      </c>
      <c r="C963" s="73" t="s">
        <v>42</v>
      </c>
      <c r="D963" s="6" t="s">
        <v>2</v>
      </c>
      <c r="E963" s="7" t="s">
        <v>74</v>
      </c>
      <c r="F963" s="47"/>
      <c r="G963" s="6"/>
      <c r="H963" s="6"/>
      <c r="I963" s="8"/>
      <c r="J963" s="6"/>
      <c r="K963" s="6"/>
      <c r="L963" s="45"/>
      <c r="M963" s="6"/>
    </row>
    <row r="964" spans="1:13" ht="15" hidden="1" customHeight="1" x14ac:dyDescent="0.25">
      <c r="A964" s="43">
        <v>19352523021821</v>
      </c>
      <c r="C964" s="73" t="s">
        <v>42</v>
      </c>
      <c r="D964" s="6" t="s">
        <v>2</v>
      </c>
      <c r="E964" s="7" t="s">
        <v>74</v>
      </c>
      <c r="F964" s="47"/>
      <c r="G964" s="6"/>
      <c r="H964" s="6"/>
      <c r="I964" s="8"/>
      <c r="J964" s="6"/>
      <c r="K964" s="6"/>
      <c r="L964" s="45"/>
      <c r="M964" s="6"/>
    </row>
    <row r="965" spans="1:13" ht="15" hidden="1" customHeight="1" x14ac:dyDescent="0.25">
      <c r="A965" s="43">
        <v>19352523021877</v>
      </c>
      <c r="C965" s="73" t="s">
        <v>42</v>
      </c>
      <c r="D965" s="6" t="s">
        <v>2</v>
      </c>
      <c r="E965" s="7" t="s">
        <v>74</v>
      </c>
      <c r="F965" s="47"/>
      <c r="G965" s="6"/>
      <c r="H965" s="6"/>
      <c r="I965" s="8"/>
      <c r="J965" s="6"/>
      <c r="K965" s="6"/>
      <c r="L965" s="45"/>
      <c r="M965" s="6"/>
    </row>
    <row r="966" spans="1:13" ht="15" hidden="1" customHeight="1" x14ac:dyDescent="0.25">
      <c r="A966" s="43">
        <v>19352523022315</v>
      </c>
      <c r="C966" s="73" t="s">
        <v>42</v>
      </c>
      <c r="D966" s="6" t="s">
        <v>2</v>
      </c>
      <c r="E966" s="7" t="s">
        <v>74</v>
      </c>
      <c r="F966" s="47"/>
      <c r="G966" s="6"/>
      <c r="H966" s="6"/>
      <c r="I966" s="8"/>
      <c r="J966" s="6"/>
      <c r="K966" s="6"/>
      <c r="L966" s="45"/>
      <c r="M966" s="6"/>
    </row>
    <row r="967" spans="1:13" ht="15" hidden="1" customHeight="1" x14ac:dyDescent="0.25">
      <c r="A967" s="43">
        <v>19352523022318</v>
      </c>
      <c r="C967" s="73" t="s">
        <v>42</v>
      </c>
      <c r="D967" s="6" t="s">
        <v>2</v>
      </c>
      <c r="E967" s="7" t="s">
        <v>74</v>
      </c>
      <c r="F967" s="47"/>
      <c r="G967" s="6"/>
      <c r="H967" s="6"/>
      <c r="I967" s="8"/>
      <c r="J967" s="6"/>
      <c r="K967" s="6"/>
      <c r="L967" s="45"/>
      <c r="M967" s="6"/>
    </row>
    <row r="968" spans="1:13" ht="15" hidden="1" customHeight="1" x14ac:dyDescent="0.25">
      <c r="A968" s="43">
        <v>19352523022553</v>
      </c>
      <c r="C968" s="73" t="s">
        <v>42</v>
      </c>
      <c r="D968" s="6" t="s">
        <v>2</v>
      </c>
      <c r="E968" s="7" t="s">
        <v>74</v>
      </c>
      <c r="F968" s="47"/>
      <c r="G968" s="6"/>
      <c r="H968" s="6"/>
      <c r="I968" s="8"/>
      <c r="J968" s="6"/>
      <c r="K968" s="6"/>
      <c r="L968" s="45"/>
      <c r="M968" s="6"/>
    </row>
    <row r="969" spans="1:13" ht="15" hidden="1" customHeight="1" x14ac:dyDescent="0.25">
      <c r="A969" s="43">
        <v>19352523022576</v>
      </c>
      <c r="C969" s="73" t="s">
        <v>42</v>
      </c>
      <c r="D969" s="6" t="s">
        <v>2</v>
      </c>
      <c r="E969" s="7" t="s">
        <v>74</v>
      </c>
      <c r="F969" s="47"/>
      <c r="G969" s="6"/>
      <c r="H969" s="6"/>
      <c r="I969" s="8"/>
      <c r="J969" s="6"/>
      <c r="K969" s="6"/>
      <c r="L969" s="45"/>
      <c r="M969" s="6"/>
    </row>
    <row r="970" spans="1:13" ht="15" hidden="1" customHeight="1" x14ac:dyDescent="0.25">
      <c r="A970" s="43">
        <v>19352523022609</v>
      </c>
      <c r="C970" s="73" t="s">
        <v>42</v>
      </c>
      <c r="D970" s="6" t="s">
        <v>2</v>
      </c>
      <c r="E970" s="7" t="s">
        <v>74</v>
      </c>
      <c r="F970" s="47"/>
      <c r="G970" s="6"/>
      <c r="H970" s="6"/>
      <c r="I970" s="8"/>
      <c r="J970" s="6"/>
      <c r="K970" s="6"/>
      <c r="L970" s="45"/>
      <c r="M970" s="6"/>
    </row>
    <row r="971" spans="1:13" ht="15" hidden="1" customHeight="1" x14ac:dyDescent="0.25">
      <c r="A971" s="43">
        <v>19352523022647</v>
      </c>
      <c r="C971" s="73" t="s">
        <v>42</v>
      </c>
      <c r="D971" s="6" t="s">
        <v>2</v>
      </c>
      <c r="E971" s="7" t="s">
        <v>74</v>
      </c>
      <c r="F971" s="47"/>
      <c r="G971" s="6"/>
      <c r="H971" s="6"/>
      <c r="I971" s="8"/>
      <c r="J971" s="6"/>
      <c r="K971" s="6"/>
      <c r="L971" s="45"/>
      <c r="M971" s="6"/>
    </row>
    <row r="972" spans="1:13" ht="15" hidden="1" customHeight="1" x14ac:dyDescent="0.25">
      <c r="A972" s="43">
        <v>19352523022676</v>
      </c>
      <c r="C972" s="73" t="s">
        <v>42</v>
      </c>
      <c r="D972" s="6" t="s">
        <v>2</v>
      </c>
      <c r="E972" s="7" t="s">
        <v>74</v>
      </c>
      <c r="F972" s="47"/>
      <c r="G972" s="6"/>
      <c r="H972" s="6"/>
      <c r="I972" s="8"/>
      <c r="J972" s="6"/>
      <c r="K972" s="6"/>
      <c r="L972" s="45"/>
      <c r="M972" s="6"/>
    </row>
    <row r="973" spans="1:13" ht="15" hidden="1" customHeight="1" x14ac:dyDescent="0.25">
      <c r="A973" s="43">
        <v>19353523020086</v>
      </c>
      <c r="C973" s="73" t="s">
        <v>42</v>
      </c>
      <c r="D973" s="6" t="s">
        <v>2</v>
      </c>
      <c r="E973" s="7" t="s">
        <v>74</v>
      </c>
      <c r="F973" s="47"/>
      <c r="G973" s="6"/>
      <c r="H973" s="6"/>
      <c r="I973" s="8"/>
      <c r="J973" s="6"/>
      <c r="K973" s="6"/>
      <c r="L973" s="45"/>
      <c r="M973" s="6"/>
    </row>
    <row r="974" spans="1:13" ht="15" hidden="1" customHeight="1" x14ac:dyDescent="0.25">
      <c r="A974" s="43">
        <v>19353523020095</v>
      </c>
      <c r="C974" s="73" t="s">
        <v>42</v>
      </c>
      <c r="D974" s="6" t="s">
        <v>2</v>
      </c>
      <c r="E974" s="7" t="s">
        <v>74</v>
      </c>
      <c r="F974" s="47"/>
      <c r="G974" s="6"/>
      <c r="H974" s="6"/>
      <c r="I974" s="8"/>
      <c r="J974" s="6"/>
      <c r="K974" s="6"/>
      <c r="L974" s="45"/>
      <c r="M974" s="6"/>
    </row>
    <row r="975" spans="1:13" ht="15" hidden="1" customHeight="1" x14ac:dyDescent="0.25">
      <c r="A975" s="43">
        <v>19353523020218</v>
      </c>
      <c r="C975" s="73" t="s">
        <v>42</v>
      </c>
      <c r="D975" s="6" t="s">
        <v>2</v>
      </c>
      <c r="E975" s="7" t="s">
        <v>74</v>
      </c>
      <c r="F975" s="47"/>
      <c r="G975" s="6"/>
      <c r="H975" s="6"/>
      <c r="I975" s="8"/>
      <c r="J975" s="6"/>
      <c r="K975" s="6"/>
      <c r="L975" s="45"/>
      <c r="M975" s="6"/>
    </row>
    <row r="976" spans="1:13" ht="15" hidden="1" customHeight="1" x14ac:dyDescent="0.25">
      <c r="A976" s="43">
        <v>19353523020760</v>
      </c>
      <c r="C976" s="73" t="s">
        <v>42</v>
      </c>
      <c r="D976" s="6" t="s">
        <v>2</v>
      </c>
      <c r="E976" s="7" t="s">
        <v>74</v>
      </c>
      <c r="F976" s="47"/>
      <c r="G976" s="6"/>
      <c r="H976" s="6"/>
      <c r="I976" s="8"/>
      <c r="J976" s="6"/>
      <c r="K976" s="6"/>
      <c r="L976" s="45"/>
      <c r="M976" s="6"/>
    </row>
    <row r="977" spans="1:13" ht="15" hidden="1" customHeight="1" x14ac:dyDescent="0.25">
      <c r="A977" s="43">
        <v>19353523021515</v>
      </c>
      <c r="C977" s="73" t="s">
        <v>42</v>
      </c>
      <c r="D977" s="6" t="s">
        <v>2</v>
      </c>
      <c r="E977" s="7" t="s">
        <v>74</v>
      </c>
      <c r="F977" s="47"/>
      <c r="G977" s="6"/>
      <c r="H977" s="6"/>
      <c r="I977" s="8"/>
      <c r="J977" s="6"/>
      <c r="K977" s="6"/>
      <c r="L977" s="45"/>
      <c r="M977" s="6"/>
    </row>
    <row r="978" spans="1:13" ht="15" hidden="1" customHeight="1" x14ac:dyDescent="0.25">
      <c r="A978" s="43">
        <v>19353523021523</v>
      </c>
      <c r="C978" s="73" t="s">
        <v>42</v>
      </c>
      <c r="D978" s="6" t="s">
        <v>2</v>
      </c>
      <c r="E978" s="7" t="s">
        <v>74</v>
      </c>
      <c r="F978" s="47"/>
      <c r="G978" s="6"/>
      <c r="H978" s="6"/>
      <c r="I978" s="8"/>
      <c r="J978" s="6"/>
      <c r="K978" s="6"/>
      <c r="L978" s="45"/>
      <c r="M978" s="6"/>
    </row>
    <row r="979" spans="1:13" ht="15" hidden="1" customHeight="1" x14ac:dyDescent="0.25">
      <c r="A979" s="43">
        <v>19353523021737</v>
      </c>
      <c r="C979" s="73" t="s">
        <v>42</v>
      </c>
      <c r="D979" s="6" t="s">
        <v>2</v>
      </c>
      <c r="E979" s="7" t="s">
        <v>74</v>
      </c>
      <c r="F979" s="47"/>
      <c r="G979" s="6"/>
      <c r="H979" s="6"/>
      <c r="I979" s="8"/>
      <c r="J979" s="6"/>
      <c r="K979" s="6"/>
      <c r="L979" s="45"/>
      <c r="M979" s="6"/>
    </row>
    <row r="980" spans="1:13" ht="15" hidden="1" customHeight="1" x14ac:dyDescent="0.25">
      <c r="A980" s="43">
        <v>19353523023756</v>
      </c>
      <c r="C980" s="73" t="s">
        <v>42</v>
      </c>
      <c r="D980" s="6" t="s">
        <v>2</v>
      </c>
      <c r="E980" s="7" t="s">
        <v>74</v>
      </c>
      <c r="F980" s="47"/>
      <c r="G980" s="6"/>
      <c r="H980" s="6"/>
      <c r="I980" s="8"/>
      <c r="J980" s="6"/>
      <c r="K980" s="6"/>
      <c r="L980" s="45"/>
      <c r="M980" s="6"/>
    </row>
    <row r="981" spans="1:13" ht="15" hidden="1" customHeight="1" x14ac:dyDescent="0.25">
      <c r="A981" s="43">
        <v>19353523023844</v>
      </c>
      <c r="C981" s="73" t="s">
        <v>42</v>
      </c>
      <c r="D981" s="6" t="s">
        <v>2</v>
      </c>
      <c r="E981" s="7" t="s">
        <v>74</v>
      </c>
      <c r="F981" s="47"/>
      <c r="G981" s="6"/>
      <c r="H981" s="6"/>
      <c r="I981" s="8"/>
      <c r="J981" s="6"/>
      <c r="K981" s="6"/>
      <c r="L981" s="45"/>
      <c r="M981" s="6"/>
    </row>
    <row r="982" spans="1:13" ht="15" hidden="1" customHeight="1" x14ac:dyDescent="0.25">
      <c r="A982" s="43">
        <v>19353523024010</v>
      </c>
      <c r="C982" s="73" t="s">
        <v>42</v>
      </c>
      <c r="D982" s="6" t="s">
        <v>2</v>
      </c>
      <c r="E982" s="7" t="s">
        <v>74</v>
      </c>
      <c r="F982" s="47"/>
      <c r="G982" s="6"/>
      <c r="H982" s="6"/>
      <c r="I982" s="8"/>
      <c r="J982" s="6"/>
      <c r="K982" s="6"/>
      <c r="L982" s="45"/>
      <c r="M982" s="6"/>
    </row>
    <row r="983" spans="1:13" ht="15" hidden="1" customHeight="1" x14ac:dyDescent="0.25">
      <c r="A983" s="43">
        <v>19353523024031</v>
      </c>
      <c r="C983" s="73" t="s">
        <v>42</v>
      </c>
      <c r="D983" s="6" t="s">
        <v>2</v>
      </c>
      <c r="E983" s="7" t="s">
        <v>74</v>
      </c>
      <c r="F983" s="47"/>
      <c r="G983" s="6"/>
      <c r="H983" s="6"/>
      <c r="I983" s="8"/>
      <c r="J983" s="6"/>
      <c r="K983" s="6"/>
      <c r="L983" s="45"/>
      <c r="M983" s="6"/>
    </row>
    <row r="984" spans="1:13" ht="15" hidden="1" customHeight="1" x14ac:dyDescent="0.25">
      <c r="A984" s="43">
        <v>19353523024034</v>
      </c>
      <c r="C984" s="73" t="s">
        <v>42</v>
      </c>
      <c r="D984" s="6" t="s">
        <v>2</v>
      </c>
      <c r="E984" s="7" t="s">
        <v>74</v>
      </c>
      <c r="F984" s="47"/>
      <c r="G984" s="6"/>
      <c r="H984" s="6"/>
      <c r="I984" s="8"/>
      <c r="J984" s="6"/>
      <c r="K984" s="6"/>
      <c r="L984" s="45"/>
      <c r="M984" s="6"/>
    </row>
    <row r="985" spans="1:13" ht="15" hidden="1" customHeight="1" x14ac:dyDescent="0.25">
      <c r="A985" s="43">
        <v>19353523024039</v>
      </c>
      <c r="C985" s="73" t="s">
        <v>42</v>
      </c>
      <c r="D985" s="6" t="s">
        <v>2</v>
      </c>
      <c r="E985" s="7" t="s">
        <v>74</v>
      </c>
      <c r="F985" s="47"/>
      <c r="G985" s="6"/>
      <c r="H985" s="6"/>
      <c r="I985" s="8"/>
      <c r="J985" s="6"/>
      <c r="K985" s="6"/>
      <c r="L985" s="45"/>
      <c r="M985" s="6"/>
    </row>
    <row r="986" spans="1:13" ht="15" hidden="1" customHeight="1" x14ac:dyDescent="0.25">
      <c r="A986" s="43">
        <v>19353523024042</v>
      </c>
      <c r="C986" s="73" t="s">
        <v>42</v>
      </c>
      <c r="D986" s="6" t="s">
        <v>2</v>
      </c>
      <c r="E986" s="7" t="s">
        <v>74</v>
      </c>
      <c r="F986" s="47"/>
      <c r="G986" s="6"/>
      <c r="H986" s="6"/>
      <c r="I986" s="8"/>
      <c r="J986" s="6"/>
      <c r="K986" s="6"/>
      <c r="L986" s="45"/>
      <c r="M986" s="6"/>
    </row>
    <row r="987" spans="1:13" ht="15" hidden="1" customHeight="1" x14ac:dyDescent="0.25">
      <c r="A987" s="43">
        <v>19353523024047</v>
      </c>
      <c r="C987" s="73" t="s">
        <v>42</v>
      </c>
      <c r="D987" s="6" t="s">
        <v>2</v>
      </c>
      <c r="E987" s="7" t="s">
        <v>74</v>
      </c>
      <c r="F987" s="47"/>
      <c r="G987" s="6"/>
      <c r="H987" s="6"/>
      <c r="I987" s="8"/>
      <c r="J987" s="6"/>
      <c r="K987" s="6"/>
      <c r="L987" s="45"/>
      <c r="M987" s="6"/>
    </row>
    <row r="988" spans="1:13" ht="15" hidden="1" customHeight="1" x14ac:dyDescent="0.25">
      <c r="A988" s="43">
        <v>19353523024081</v>
      </c>
      <c r="C988" s="73" t="s">
        <v>42</v>
      </c>
      <c r="D988" s="6" t="s">
        <v>2</v>
      </c>
      <c r="E988" s="7" t="s">
        <v>74</v>
      </c>
      <c r="F988" s="47"/>
      <c r="G988" s="6"/>
      <c r="H988" s="6"/>
      <c r="I988" s="8"/>
      <c r="J988" s="6"/>
      <c r="K988" s="6"/>
      <c r="L988" s="45"/>
      <c r="M988" s="6"/>
    </row>
    <row r="989" spans="1:13" ht="15" hidden="1" customHeight="1" x14ac:dyDescent="0.25">
      <c r="A989" s="43">
        <v>19353523024112</v>
      </c>
      <c r="C989" s="73" t="s">
        <v>42</v>
      </c>
      <c r="D989" s="6" t="s">
        <v>2</v>
      </c>
      <c r="E989" s="7" t="s">
        <v>74</v>
      </c>
      <c r="F989" s="47"/>
      <c r="G989" s="6"/>
      <c r="H989" s="6"/>
      <c r="I989" s="8"/>
      <c r="J989" s="6"/>
      <c r="K989" s="6"/>
      <c r="L989" s="45"/>
      <c r="M989" s="6"/>
    </row>
    <row r="990" spans="1:13" ht="15" hidden="1" customHeight="1" x14ac:dyDescent="0.25">
      <c r="A990" s="43">
        <v>19353523024140</v>
      </c>
      <c r="C990" s="73" t="s">
        <v>42</v>
      </c>
      <c r="D990" s="6" t="s">
        <v>2</v>
      </c>
      <c r="E990" s="7" t="s">
        <v>74</v>
      </c>
      <c r="F990" s="47"/>
      <c r="G990" s="6"/>
      <c r="H990" s="6"/>
      <c r="I990" s="8"/>
      <c r="J990" s="6"/>
      <c r="K990" s="6"/>
      <c r="L990" s="45"/>
      <c r="M990" s="6"/>
    </row>
    <row r="991" spans="1:13" ht="15" hidden="1" customHeight="1" x14ac:dyDescent="0.25">
      <c r="A991" s="43">
        <v>19353523024154</v>
      </c>
      <c r="C991" s="73" t="s">
        <v>42</v>
      </c>
      <c r="D991" s="6" t="s">
        <v>2</v>
      </c>
      <c r="E991" s="7" t="s">
        <v>74</v>
      </c>
      <c r="F991" s="47"/>
      <c r="G991" s="6"/>
      <c r="H991" s="6"/>
      <c r="I991" s="8"/>
      <c r="J991" s="6"/>
      <c r="K991" s="6"/>
      <c r="L991" s="45"/>
      <c r="M991" s="6"/>
    </row>
    <row r="992" spans="1:13" ht="15" hidden="1" customHeight="1" x14ac:dyDescent="0.25">
      <c r="A992" s="43">
        <v>19353523024166</v>
      </c>
      <c r="C992" s="73" t="s">
        <v>42</v>
      </c>
      <c r="D992" s="6" t="s">
        <v>2</v>
      </c>
      <c r="E992" s="7" t="s">
        <v>74</v>
      </c>
      <c r="F992" s="47"/>
      <c r="G992" s="6"/>
      <c r="H992" s="6"/>
      <c r="I992" s="8"/>
      <c r="J992" s="6"/>
      <c r="K992" s="6"/>
      <c r="L992" s="45"/>
      <c r="M992" s="6"/>
    </row>
    <row r="993" spans="1:13" ht="15" hidden="1" customHeight="1" x14ac:dyDescent="0.25">
      <c r="A993" s="43">
        <v>19354523020063</v>
      </c>
      <c r="C993" s="73" t="s">
        <v>42</v>
      </c>
      <c r="D993" s="6" t="s">
        <v>2</v>
      </c>
      <c r="E993" s="7" t="s">
        <v>74</v>
      </c>
      <c r="F993" s="47"/>
      <c r="G993" s="6"/>
      <c r="H993" s="6"/>
      <c r="I993" s="8"/>
      <c r="J993" s="6"/>
      <c r="K993" s="6"/>
      <c r="L993" s="45"/>
      <c r="M993" s="6"/>
    </row>
    <row r="994" spans="1:13" ht="15" hidden="1" customHeight="1" x14ac:dyDescent="0.25">
      <c r="A994" s="43">
        <v>19354523020074</v>
      </c>
      <c r="C994" s="73" t="s">
        <v>42</v>
      </c>
      <c r="D994" s="6" t="s">
        <v>2</v>
      </c>
      <c r="E994" s="7" t="s">
        <v>74</v>
      </c>
      <c r="F994" s="47"/>
      <c r="G994" s="6"/>
      <c r="H994" s="6"/>
      <c r="I994" s="8"/>
      <c r="J994" s="6"/>
      <c r="K994" s="6"/>
      <c r="L994" s="45"/>
      <c r="M994" s="6"/>
    </row>
    <row r="995" spans="1:13" ht="15" hidden="1" customHeight="1" x14ac:dyDescent="0.25">
      <c r="A995" s="43">
        <v>19354523020088</v>
      </c>
      <c r="C995" s="73" t="s">
        <v>42</v>
      </c>
      <c r="D995" s="6" t="s">
        <v>2</v>
      </c>
      <c r="E995" s="7" t="s">
        <v>74</v>
      </c>
      <c r="F995" s="47"/>
      <c r="G995" s="6"/>
      <c r="H995" s="6"/>
      <c r="I995" s="8"/>
      <c r="J995" s="6"/>
      <c r="K995" s="6"/>
      <c r="L995" s="45"/>
      <c r="M995" s="6"/>
    </row>
    <row r="996" spans="1:13" ht="15" hidden="1" customHeight="1" x14ac:dyDescent="0.25">
      <c r="A996" s="43">
        <v>19354523020103</v>
      </c>
      <c r="C996" s="73" t="s">
        <v>42</v>
      </c>
      <c r="D996" s="6" t="s">
        <v>2</v>
      </c>
      <c r="E996" s="7" t="s">
        <v>74</v>
      </c>
      <c r="F996" s="7"/>
      <c r="G996" s="6"/>
      <c r="H996" s="6"/>
      <c r="I996" s="8"/>
      <c r="J996" s="6"/>
      <c r="K996" s="6"/>
      <c r="L996" s="45"/>
      <c r="M996" s="6"/>
    </row>
    <row r="997" spans="1:13" ht="15" hidden="1" customHeight="1" x14ac:dyDescent="0.25">
      <c r="A997" s="43">
        <v>19354523020134</v>
      </c>
      <c r="C997" s="73" t="s">
        <v>42</v>
      </c>
      <c r="D997" s="6" t="s">
        <v>2</v>
      </c>
      <c r="E997" s="7" t="s">
        <v>74</v>
      </c>
      <c r="F997" s="47"/>
      <c r="G997" s="6"/>
      <c r="H997" s="6"/>
      <c r="I997" s="8"/>
      <c r="J997" s="6"/>
      <c r="K997" s="6"/>
      <c r="L997" s="45"/>
      <c r="M997" s="6"/>
    </row>
    <row r="998" spans="1:13" ht="15" hidden="1" customHeight="1" x14ac:dyDescent="0.25">
      <c r="A998" s="43">
        <v>19354523020159</v>
      </c>
      <c r="C998" s="73" t="s">
        <v>42</v>
      </c>
      <c r="D998" s="6" t="s">
        <v>2</v>
      </c>
      <c r="E998" s="7" t="s">
        <v>74</v>
      </c>
      <c r="F998" s="47"/>
      <c r="G998" s="6"/>
      <c r="H998" s="6"/>
      <c r="I998" s="8"/>
      <c r="J998" s="6"/>
      <c r="K998" s="6"/>
      <c r="L998" s="45"/>
      <c r="M998" s="6"/>
    </row>
    <row r="999" spans="1:13" ht="15" hidden="1" customHeight="1" x14ac:dyDescent="0.25">
      <c r="A999" s="43">
        <v>19354523020168</v>
      </c>
      <c r="C999" s="73" t="s">
        <v>42</v>
      </c>
      <c r="D999" s="6" t="s">
        <v>2</v>
      </c>
      <c r="E999" s="7" t="s">
        <v>74</v>
      </c>
      <c r="F999" s="47"/>
      <c r="G999" s="6"/>
      <c r="H999" s="6"/>
      <c r="I999" s="8"/>
      <c r="J999" s="6"/>
      <c r="K999" s="6"/>
      <c r="L999" s="45"/>
      <c r="M999" s="6"/>
    </row>
    <row r="1000" spans="1:13" ht="15" hidden="1" customHeight="1" x14ac:dyDescent="0.25">
      <c r="A1000" s="43">
        <v>19354523020351</v>
      </c>
      <c r="C1000" s="73" t="s">
        <v>42</v>
      </c>
      <c r="D1000" s="6" t="s">
        <v>2</v>
      </c>
      <c r="E1000" s="7" t="s">
        <v>74</v>
      </c>
      <c r="F1000" s="47"/>
      <c r="G1000" s="6"/>
      <c r="H1000" s="6"/>
      <c r="I1000" s="8"/>
      <c r="J1000" s="6"/>
      <c r="K1000" s="6"/>
      <c r="L1000" s="45"/>
      <c r="M1000" s="6"/>
    </row>
    <row r="1001" spans="1:13" ht="15" hidden="1" customHeight="1" x14ac:dyDescent="0.25">
      <c r="A1001" s="43">
        <v>19354523020511</v>
      </c>
      <c r="C1001" s="73" t="s">
        <v>42</v>
      </c>
      <c r="D1001" s="6" t="s">
        <v>2</v>
      </c>
      <c r="E1001" s="7" t="s">
        <v>74</v>
      </c>
      <c r="F1001" s="47"/>
      <c r="G1001" s="6"/>
      <c r="H1001" s="6"/>
      <c r="I1001" s="8"/>
      <c r="J1001" s="6"/>
      <c r="K1001" s="6"/>
      <c r="L1001" s="45"/>
      <c r="M1001" s="6"/>
    </row>
    <row r="1002" spans="1:13" ht="15" hidden="1" customHeight="1" x14ac:dyDescent="0.25">
      <c r="A1002" s="43">
        <v>19354523020623</v>
      </c>
      <c r="C1002" s="73" t="s">
        <v>42</v>
      </c>
      <c r="D1002" s="6" t="s">
        <v>2</v>
      </c>
      <c r="E1002" s="7" t="s">
        <v>74</v>
      </c>
      <c r="F1002" s="47"/>
      <c r="G1002" s="6"/>
      <c r="H1002" s="6"/>
      <c r="I1002" s="8"/>
      <c r="J1002" s="6"/>
      <c r="K1002" s="6"/>
      <c r="L1002" s="45"/>
      <c r="M1002" s="6"/>
    </row>
    <row r="1003" spans="1:13" ht="15" hidden="1" customHeight="1" x14ac:dyDescent="0.25">
      <c r="A1003" s="43">
        <v>19354523020641</v>
      </c>
      <c r="C1003" s="73" t="s">
        <v>42</v>
      </c>
      <c r="D1003" s="6" t="s">
        <v>2</v>
      </c>
      <c r="E1003" s="7" t="s">
        <v>74</v>
      </c>
      <c r="F1003" s="47"/>
      <c r="G1003" s="6"/>
      <c r="H1003" s="6"/>
      <c r="I1003" s="8"/>
      <c r="J1003" s="6"/>
      <c r="K1003" s="6"/>
      <c r="L1003" s="45"/>
      <c r="M1003" s="6"/>
    </row>
    <row r="1004" spans="1:13" ht="15" hidden="1" customHeight="1" x14ac:dyDescent="0.25">
      <c r="A1004" s="43">
        <v>19355523020248</v>
      </c>
      <c r="C1004" s="73" t="s">
        <v>42</v>
      </c>
      <c r="D1004" s="6" t="s">
        <v>2</v>
      </c>
      <c r="E1004" s="7" t="s">
        <v>74</v>
      </c>
      <c r="F1004" s="47"/>
      <c r="G1004" s="6"/>
      <c r="H1004" s="6"/>
      <c r="I1004" s="8"/>
      <c r="J1004" s="6"/>
      <c r="K1004" s="6"/>
      <c r="L1004" s="45"/>
      <c r="M1004" s="6"/>
    </row>
    <row r="1005" spans="1:13" ht="15" hidden="1" customHeight="1" x14ac:dyDescent="0.25">
      <c r="A1005" s="43">
        <v>19355523022240</v>
      </c>
      <c r="C1005" s="73" t="s">
        <v>42</v>
      </c>
      <c r="D1005" s="6" t="s">
        <v>2</v>
      </c>
      <c r="E1005" s="7" t="s">
        <v>74</v>
      </c>
      <c r="F1005" s="47"/>
      <c r="G1005" s="6"/>
      <c r="H1005" s="6"/>
      <c r="I1005" s="8"/>
      <c r="J1005" s="6"/>
      <c r="K1005" s="6"/>
      <c r="L1005" s="45"/>
      <c r="M1005" s="6"/>
    </row>
    <row r="1006" spans="1:13" ht="15" hidden="1" customHeight="1" x14ac:dyDescent="0.25">
      <c r="A1006" s="43">
        <v>21319523022053</v>
      </c>
      <c r="C1006" s="73" t="s">
        <v>42</v>
      </c>
      <c r="D1006" s="6" t="s">
        <v>2</v>
      </c>
      <c r="E1006" s="7" t="s">
        <v>74</v>
      </c>
      <c r="F1006" s="47"/>
      <c r="G1006" s="6"/>
      <c r="H1006" s="6"/>
      <c r="I1006" s="8"/>
      <c r="J1006" s="6"/>
      <c r="K1006" s="6"/>
      <c r="L1006" s="45"/>
      <c r="M1006" s="6"/>
    </row>
    <row r="1007" spans="1:13" ht="15" hidden="1" customHeight="1" x14ac:dyDescent="0.25">
      <c r="A1007" s="43">
        <v>22147523023935</v>
      </c>
      <c r="C1007" s="73" t="s">
        <v>42</v>
      </c>
      <c r="D1007" s="6" t="s">
        <v>2</v>
      </c>
      <c r="E1007" s="7" t="s">
        <v>74</v>
      </c>
      <c r="F1007" s="47"/>
      <c r="G1007" s="6"/>
      <c r="H1007" s="6"/>
      <c r="I1007" s="8"/>
      <c r="J1007" s="6"/>
      <c r="K1007" s="6"/>
      <c r="L1007" s="45"/>
      <c r="M1007" s="6"/>
    </row>
    <row r="1008" spans="1:13" ht="15" hidden="1" customHeight="1" x14ac:dyDescent="0.25">
      <c r="A1008" s="43">
        <v>22147523024148</v>
      </c>
      <c r="C1008" s="73" t="s">
        <v>42</v>
      </c>
      <c r="D1008" s="6" t="s">
        <v>2</v>
      </c>
      <c r="E1008" s="7" t="s">
        <v>74</v>
      </c>
      <c r="F1008" s="47"/>
      <c r="G1008" s="6"/>
      <c r="H1008" s="6"/>
      <c r="I1008" s="8"/>
      <c r="J1008" s="6"/>
      <c r="K1008" s="6"/>
      <c r="L1008" s="45"/>
      <c r="M1008" s="6"/>
    </row>
    <row r="1009" spans="1:13" ht="15" hidden="1" customHeight="1" x14ac:dyDescent="0.25">
      <c r="A1009" s="43">
        <v>22147523024171</v>
      </c>
      <c r="C1009" s="73" t="s">
        <v>42</v>
      </c>
      <c r="D1009" s="6" t="s">
        <v>2</v>
      </c>
      <c r="E1009" s="7" t="s">
        <v>74</v>
      </c>
      <c r="F1009" s="47"/>
      <c r="G1009" s="6"/>
      <c r="H1009" s="6"/>
      <c r="I1009" s="8"/>
      <c r="J1009" s="6"/>
      <c r="K1009" s="6"/>
      <c r="L1009" s="45"/>
      <c r="M1009" s="6"/>
    </row>
    <row r="1010" spans="1:13" ht="15" hidden="1" customHeight="1" x14ac:dyDescent="0.25">
      <c r="A1010" s="43">
        <v>22147523024295</v>
      </c>
      <c r="C1010" s="73" t="s">
        <v>42</v>
      </c>
      <c r="D1010" s="6" t="s">
        <v>2</v>
      </c>
      <c r="E1010" s="7" t="s">
        <v>74</v>
      </c>
      <c r="F1010" s="47"/>
      <c r="G1010" s="6"/>
      <c r="H1010" s="6"/>
      <c r="I1010" s="8"/>
      <c r="J1010" s="6"/>
      <c r="K1010" s="6"/>
      <c r="L1010" s="45"/>
      <c r="M1010" s="6"/>
    </row>
    <row r="1011" spans="1:13" ht="15" hidden="1" customHeight="1" x14ac:dyDescent="0.25">
      <c r="A1011" s="43">
        <v>22147523024315</v>
      </c>
      <c r="C1011" s="73" t="s">
        <v>42</v>
      </c>
      <c r="D1011" s="6" t="s">
        <v>2</v>
      </c>
      <c r="E1011" s="7" t="s">
        <v>74</v>
      </c>
      <c r="F1011" s="47"/>
      <c r="G1011" s="6"/>
      <c r="H1011" s="6"/>
      <c r="I1011" s="8"/>
      <c r="J1011" s="6"/>
      <c r="K1011" s="6"/>
      <c r="L1011" s="45"/>
      <c r="M1011" s="6"/>
    </row>
    <row r="1012" spans="1:13" ht="15" hidden="1" customHeight="1" x14ac:dyDescent="0.25">
      <c r="A1012" s="43">
        <v>22147523024573</v>
      </c>
      <c r="C1012" s="73" t="s">
        <v>42</v>
      </c>
      <c r="D1012" s="6" t="s">
        <v>2</v>
      </c>
      <c r="E1012" s="7" t="s">
        <v>74</v>
      </c>
      <c r="F1012" s="47"/>
      <c r="G1012" s="6"/>
      <c r="H1012" s="6"/>
      <c r="I1012" s="8"/>
      <c r="J1012" s="6"/>
      <c r="K1012" s="6"/>
      <c r="L1012" s="45"/>
      <c r="M1012" s="6"/>
    </row>
    <row r="1013" spans="1:13" ht="15" hidden="1" customHeight="1" x14ac:dyDescent="0.25">
      <c r="A1013" s="43">
        <v>22148523020404</v>
      </c>
      <c r="C1013" s="73" t="s">
        <v>42</v>
      </c>
      <c r="D1013" s="6" t="s">
        <v>2</v>
      </c>
      <c r="E1013" s="7" t="s">
        <v>74</v>
      </c>
      <c r="F1013" s="47"/>
      <c r="G1013" s="6"/>
      <c r="H1013" s="6"/>
      <c r="I1013" s="8"/>
      <c r="J1013" s="6"/>
      <c r="K1013" s="6"/>
      <c r="L1013" s="45"/>
      <c r="M1013" s="6"/>
    </row>
    <row r="1014" spans="1:13" ht="15" hidden="1" customHeight="1" x14ac:dyDescent="0.25">
      <c r="A1014" s="43">
        <v>22148523020437</v>
      </c>
      <c r="C1014" s="73" t="s">
        <v>42</v>
      </c>
      <c r="D1014" s="6" t="s">
        <v>2</v>
      </c>
      <c r="E1014" s="7" t="s">
        <v>74</v>
      </c>
      <c r="F1014" s="47"/>
      <c r="G1014" s="6"/>
      <c r="H1014" s="6"/>
      <c r="I1014" s="8"/>
      <c r="J1014" s="6"/>
      <c r="K1014" s="6"/>
      <c r="L1014" s="45"/>
      <c r="M1014" s="6"/>
    </row>
    <row r="1015" spans="1:13" ht="15" hidden="1" customHeight="1" x14ac:dyDescent="0.25">
      <c r="A1015" s="43">
        <v>22148523020578</v>
      </c>
      <c r="C1015" s="73" t="s">
        <v>42</v>
      </c>
      <c r="D1015" s="6" t="s">
        <v>2</v>
      </c>
      <c r="E1015" s="7" t="s">
        <v>74</v>
      </c>
      <c r="F1015" s="47"/>
      <c r="G1015" s="6"/>
      <c r="H1015" s="6"/>
      <c r="I1015" s="8"/>
      <c r="J1015" s="6"/>
      <c r="K1015" s="6"/>
      <c r="L1015" s="45"/>
      <c r="M1015" s="6"/>
    </row>
    <row r="1016" spans="1:13" ht="15" hidden="1" customHeight="1" x14ac:dyDescent="0.25">
      <c r="A1016" s="43">
        <v>22148523020609</v>
      </c>
      <c r="C1016" s="73" t="s">
        <v>42</v>
      </c>
      <c r="D1016" s="6" t="s">
        <v>2</v>
      </c>
      <c r="E1016" s="7" t="s">
        <v>74</v>
      </c>
      <c r="F1016" s="47"/>
      <c r="G1016" s="6"/>
      <c r="H1016" s="6"/>
      <c r="I1016" s="8"/>
      <c r="J1016" s="6"/>
      <c r="K1016" s="6"/>
      <c r="L1016" s="45"/>
      <c r="M1016" s="6"/>
    </row>
    <row r="1017" spans="1:13" ht="15" hidden="1" customHeight="1" x14ac:dyDescent="0.25">
      <c r="A1017" s="43">
        <v>22148523020626</v>
      </c>
      <c r="C1017" s="73" t="s">
        <v>42</v>
      </c>
      <c r="D1017" s="6" t="s">
        <v>2</v>
      </c>
      <c r="E1017" s="7" t="s">
        <v>74</v>
      </c>
      <c r="F1017" s="47"/>
      <c r="G1017" s="6"/>
      <c r="H1017" s="6"/>
      <c r="I1017" s="8"/>
      <c r="J1017" s="6"/>
      <c r="K1017" s="6"/>
      <c r="L1017" s="45"/>
      <c r="M1017" s="6"/>
    </row>
    <row r="1018" spans="1:13" ht="15" hidden="1" customHeight="1" x14ac:dyDescent="0.25">
      <c r="A1018" s="43">
        <v>22148523020627</v>
      </c>
      <c r="C1018" s="73" t="s">
        <v>42</v>
      </c>
      <c r="D1018" s="6" t="s">
        <v>2</v>
      </c>
      <c r="E1018" s="7" t="s">
        <v>74</v>
      </c>
      <c r="F1018" s="47"/>
      <c r="G1018" s="6"/>
      <c r="H1018" s="6"/>
      <c r="I1018" s="8"/>
      <c r="J1018" s="6"/>
      <c r="K1018" s="6"/>
      <c r="L1018" s="45"/>
      <c r="M1018" s="6"/>
    </row>
    <row r="1019" spans="1:13" ht="15" hidden="1" customHeight="1" x14ac:dyDescent="0.25">
      <c r="A1019" s="43">
        <v>22148523020648</v>
      </c>
      <c r="C1019" s="73" t="s">
        <v>42</v>
      </c>
      <c r="D1019" s="6" t="s">
        <v>2</v>
      </c>
      <c r="E1019" s="7" t="s">
        <v>74</v>
      </c>
      <c r="F1019" s="47"/>
      <c r="G1019" s="6"/>
      <c r="H1019" s="6"/>
      <c r="I1019" s="8"/>
      <c r="J1019" s="6"/>
      <c r="K1019" s="6"/>
      <c r="L1019" s="45"/>
      <c r="M1019" s="6"/>
    </row>
    <row r="1020" spans="1:13" ht="15" hidden="1" customHeight="1" x14ac:dyDescent="0.25">
      <c r="A1020" s="43">
        <v>22148523020783</v>
      </c>
      <c r="C1020" s="73" t="s">
        <v>42</v>
      </c>
      <c r="D1020" s="6" t="s">
        <v>2</v>
      </c>
      <c r="E1020" s="7" t="s">
        <v>74</v>
      </c>
      <c r="F1020" s="47"/>
      <c r="G1020" s="6"/>
      <c r="H1020" s="6"/>
      <c r="I1020" s="8"/>
      <c r="J1020" s="6"/>
      <c r="K1020" s="6"/>
      <c r="L1020" s="45"/>
      <c r="M1020" s="6"/>
    </row>
    <row r="1021" spans="1:13" ht="15" hidden="1" customHeight="1" x14ac:dyDescent="0.25">
      <c r="A1021" s="43">
        <v>22151523026448</v>
      </c>
      <c r="C1021" s="73" t="s">
        <v>42</v>
      </c>
      <c r="D1021" s="6" t="s">
        <v>2</v>
      </c>
      <c r="E1021" s="7" t="s">
        <v>74</v>
      </c>
      <c r="F1021" s="47"/>
      <c r="G1021" s="6"/>
      <c r="H1021" s="6"/>
      <c r="I1021" s="8"/>
      <c r="J1021" s="6"/>
      <c r="K1021" s="6"/>
      <c r="L1021" s="45"/>
      <c r="M1021" s="6"/>
    </row>
    <row r="1022" spans="1:13" ht="15" hidden="1" customHeight="1" x14ac:dyDescent="0.25">
      <c r="A1022" s="43">
        <v>22151523027384</v>
      </c>
      <c r="C1022" s="73" t="s">
        <v>42</v>
      </c>
      <c r="D1022" s="6" t="s">
        <v>2</v>
      </c>
      <c r="E1022" s="7" t="s">
        <v>74</v>
      </c>
      <c r="F1022" s="7"/>
      <c r="G1022" s="6"/>
      <c r="H1022" s="6"/>
      <c r="I1022" s="8"/>
      <c r="J1022" s="6"/>
      <c r="K1022" s="6"/>
      <c r="L1022" s="45"/>
      <c r="M1022" s="6"/>
    </row>
    <row r="1023" spans="1:13" ht="15" hidden="1" customHeight="1" x14ac:dyDescent="0.25">
      <c r="A1023" s="43">
        <v>22151523027597</v>
      </c>
      <c r="C1023" s="73" t="s">
        <v>42</v>
      </c>
      <c r="D1023" s="6" t="s">
        <v>2</v>
      </c>
      <c r="E1023" s="7" t="s">
        <v>74</v>
      </c>
      <c r="F1023" s="47"/>
      <c r="G1023" s="6"/>
      <c r="H1023" s="6"/>
      <c r="I1023" s="8"/>
      <c r="J1023" s="6"/>
      <c r="K1023" s="6"/>
      <c r="L1023" s="45"/>
      <c r="M1023" s="6"/>
    </row>
    <row r="1024" spans="1:13" ht="15" hidden="1" customHeight="1" x14ac:dyDescent="0.25">
      <c r="A1024" s="43">
        <v>22151523027765</v>
      </c>
      <c r="C1024" s="73" t="s">
        <v>42</v>
      </c>
      <c r="D1024" s="6" t="s">
        <v>2</v>
      </c>
      <c r="E1024" s="7" t="s">
        <v>74</v>
      </c>
      <c r="F1024" s="47"/>
      <c r="G1024" s="6"/>
      <c r="H1024" s="6"/>
      <c r="I1024" s="8"/>
      <c r="J1024" s="6"/>
      <c r="K1024" s="6"/>
      <c r="L1024" s="45"/>
      <c r="M1024" s="6"/>
    </row>
    <row r="1025" spans="1:13" ht="15" hidden="1" customHeight="1" x14ac:dyDescent="0.25">
      <c r="A1025" s="43">
        <v>22152523020170</v>
      </c>
      <c r="C1025" s="73" t="s">
        <v>42</v>
      </c>
      <c r="D1025" s="6" t="s">
        <v>2</v>
      </c>
      <c r="E1025" s="7" t="s">
        <v>74</v>
      </c>
      <c r="F1025" s="47"/>
      <c r="G1025" s="6"/>
      <c r="H1025" s="6"/>
      <c r="I1025" s="8"/>
      <c r="J1025" s="6"/>
      <c r="K1025" s="6"/>
      <c r="L1025" s="45"/>
      <c r="M1025" s="6"/>
    </row>
    <row r="1026" spans="1:13" ht="15" hidden="1" customHeight="1" x14ac:dyDescent="0.25">
      <c r="A1026" s="43">
        <v>22152523024784</v>
      </c>
      <c r="C1026" s="73" t="s">
        <v>42</v>
      </c>
      <c r="D1026" s="6" t="s">
        <v>2</v>
      </c>
      <c r="E1026" s="7" t="s">
        <v>74</v>
      </c>
      <c r="F1026" s="47"/>
      <c r="G1026" s="6"/>
      <c r="H1026" s="6"/>
      <c r="I1026" s="8"/>
      <c r="J1026" s="6"/>
      <c r="K1026" s="6"/>
      <c r="L1026" s="45"/>
      <c r="M1026" s="6"/>
    </row>
    <row r="1027" spans="1:13" ht="15" hidden="1" customHeight="1" x14ac:dyDescent="0.25">
      <c r="A1027" s="43">
        <v>22175523022835</v>
      </c>
      <c r="C1027" s="73" t="s">
        <v>42</v>
      </c>
      <c r="D1027" s="6" t="s">
        <v>2</v>
      </c>
      <c r="E1027" s="7" t="s">
        <v>76</v>
      </c>
      <c r="F1027" s="47"/>
      <c r="G1027" s="6"/>
      <c r="H1027" s="6"/>
      <c r="I1027" s="8"/>
      <c r="J1027" s="6"/>
      <c r="K1027" s="6"/>
      <c r="L1027" s="45"/>
      <c r="M1027" s="6"/>
    </row>
    <row r="1028" spans="1:13" ht="15" hidden="1" customHeight="1" x14ac:dyDescent="0.25">
      <c r="A1028" s="43">
        <v>22175523023142</v>
      </c>
      <c r="C1028" s="73" t="s">
        <v>42</v>
      </c>
      <c r="D1028" s="6" t="s">
        <v>2</v>
      </c>
      <c r="E1028" s="7" t="s">
        <v>74</v>
      </c>
      <c r="F1028" s="47"/>
      <c r="G1028" s="6"/>
      <c r="H1028" s="6"/>
      <c r="I1028" s="8"/>
      <c r="J1028" s="6"/>
      <c r="K1028" s="6"/>
      <c r="L1028" s="45"/>
      <c r="M1028" s="6"/>
    </row>
    <row r="1029" spans="1:13" ht="15" hidden="1" customHeight="1" x14ac:dyDescent="0.25">
      <c r="A1029" s="43">
        <v>22175523023584</v>
      </c>
      <c r="C1029" s="73" t="s">
        <v>42</v>
      </c>
      <c r="D1029" s="6" t="s">
        <v>2</v>
      </c>
      <c r="E1029" s="7" t="s">
        <v>74</v>
      </c>
      <c r="F1029" s="47"/>
      <c r="G1029" s="6"/>
      <c r="H1029" s="6"/>
      <c r="I1029" s="8"/>
      <c r="J1029" s="6"/>
      <c r="K1029" s="6"/>
      <c r="L1029" s="45"/>
      <c r="M1029" s="6"/>
    </row>
    <row r="1030" spans="1:13" ht="15" hidden="1" customHeight="1" x14ac:dyDescent="0.25">
      <c r="A1030" s="43">
        <v>22194523023651</v>
      </c>
      <c r="C1030" s="73" t="s">
        <v>42</v>
      </c>
      <c r="D1030" s="6" t="s">
        <v>2</v>
      </c>
      <c r="E1030" s="7" t="s">
        <v>74</v>
      </c>
      <c r="F1030" s="47"/>
      <c r="G1030" s="6"/>
      <c r="H1030" s="6"/>
      <c r="I1030" s="8"/>
      <c r="J1030" s="6"/>
      <c r="K1030" s="6"/>
      <c r="L1030" s="45"/>
      <c r="M1030" s="6"/>
    </row>
    <row r="1031" spans="1:13" ht="15" hidden="1" customHeight="1" x14ac:dyDescent="0.25">
      <c r="A1031" s="43">
        <v>22194523024847</v>
      </c>
      <c r="C1031" s="73" t="s">
        <v>42</v>
      </c>
      <c r="D1031" s="6" t="s">
        <v>2</v>
      </c>
      <c r="E1031" s="7" t="s">
        <v>74</v>
      </c>
      <c r="F1031" s="47"/>
      <c r="G1031" s="6"/>
      <c r="H1031" s="6"/>
      <c r="I1031" s="8"/>
      <c r="J1031" s="6"/>
      <c r="K1031" s="6"/>
      <c r="L1031" s="45"/>
      <c r="M1031" s="6"/>
    </row>
    <row r="1032" spans="1:13" ht="15" hidden="1" customHeight="1" x14ac:dyDescent="0.25">
      <c r="A1032" s="43">
        <v>22194523025565</v>
      </c>
      <c r="C1032" s="73" t="s">
        <v>42</v>
      </c>
      <c r="D1032" s="6" t="s">
        <v>2</v>
      </c>
      <c r="E1032" s="7" t="s">
        <v>74</v>
      </c>
      <c r="F1032" s="47"/>
      <c r="G1032" s="6"/>
      <c r="H1032" s="6"/>
      <c r="I1032" s="8"/>
      <c r="J1032" s="6"/>
      <c r="K1032" s="6"/>
      <c r="L1032" s="45"/>
      <c r="M1032" s="6"/>
    </row>
    <row r="1033" spans="1:13" ht="15" hidden="1" customHeight="1" x14ac:dyDescent="0.25">
      <c r="A1033" s="43">
        <v>22195523020747</v>
      </c>
      <c r="C1033" s="73" t="s">
        <v>42</v>
      </c>
      <c r="D1033" s="6" t="s">
        <v>2</v>
      </c>
      <c r="E1033" s="7" t="s">
        <v>74</v>
      </c>
      <c r="F1033" s="47"/>
      <c r="G1033" s="6"/>
      <c r="H1033" s="6"/>
      <c r="I1033" s="8"/>
      <c r="J1033" s="6"/>
      <c r="K1033" s="6"/>
      <c r="L1033" s="45"/>
      <c r="M1033" s="6"/>
    </row>
    <row r="1034" spans="1:13" ht="15" hidden="1" customHeight="1" x14ac:dyDescent="0.25">
      <c r="A1034" s="43">
        <v>22195523021229</v>
      </c>
      <c r="C1034" s="73" t="s">
        <v>42</v>
      </c>
      <c r="D1034" s="6" t="s">
        <v>2</v>
      </c>
      <c r="E1034" s="7" t="s">
        <v>74</v>
      </c>
      <c r="F1034" s="47"/>
      <c r="G1034" s="6"/>
      <c r="H1034" s="6"/>
      <c r="I1034" s="8"/>
      <c r="J1034" s="6"/>
      <c r="K1034" s="6"/>
      <c r="L1034" s="45"/>
      <c r="M1034" s="6"/>
    </row>
    <row r="1035" spans="1:13" ht="15" hidden="1" customHeight="1" x14ac:dyDescent="0.25">
      <c r="A1035" s="43">
        <v>22195523021589</v>
      </c>
      <c r="C1035" s="73" t="s">
        <v>42</v>
      </c>
      <c r="D1035" s="6" t="s">
        <v>2</v>
      </c>
      <c r="E1035" s="7" t="s">
        <v>74</v>
      </c>
      <c r="F1035" s="47"/>
      <c r="G1035" s="6"/>
      <c r="H1035" s="6"/>
      <c r="I1035" s="8"/>
      <c r="J1035" s="6"/>
      <c r="K1035" s="6"/>
      <c r="L1035" s="45"/>
      <c r="M1035" s="6"/>
    </row>
    <row r="1036" spans="1:13" ht="15" hidden="1" customHeight="1" x14ac:dyDescent="0.25">
      <c r="A1036" s="43">
        <v>22196523020815</v>
      </c>
      <c r="C1036" s="73" t="s">
        <v>42</v>
      </c>
      <c r="D1036" s="6" t="s">
        <v>2</v>
      </c>
      <c r="E1036" s="7" t="s">
        <v>74</v>
      </c>
      <c r="F1036" s="47"/>
      <c r="G1036" s="6"/>
      <c r="H1036" s="6"/>
      <c r="I1036" s="8"/>
      <c r="J1036" s="6"/>
      <c r="K1036" s="6"/>
      <c r="L1036" s="45"/>
      <c r="M1036" s="6"/>
    </row>
    <row r="1037" spans="1:13" ht="15" hidden="1" customHeight="1" x14ac:dyDescent="0.25">
      <c r="A1037" s="43">
        <v>22196523021559</v>
      </c>
      <c r="C1037" s="73" t="s">
        <v>42</v>
      </c>
      <c r="D1037" s="6" t="s">
        <v>2</v>
      </c>
      <c r="E1037" s="7" t="s">
        <v>74</v>
      </c>
      <c r="F1037" s="47"/>
      <c r="G1037" s="6"/>
      <c r="H1037" s="6"/>
      <c r="I1037" s="8"/>
      <c r="J1037" s="6"/>
      <c r="K1037" s="6"/>
      <c r="L1037" s="45"/>
      <c r="M1037" s="6"/>
    </row>
    <row r="1038" spans="1:13" ht="15" hidden="1" customHeight="1" x14ac:dyDescent="0.25">
      <c r="A1038" s="43">
        <v>22196523024345</v>
      </c>
      <c r="C1038" s="73" t="s">
        <v>42</v>
      </c>
      <c r="D1038" s="6" t="s">
        <v>2</v>
      </c>
      <c r="E1038" s="7" t="s">
        <v>74</v>
      </c>
      <c r="F1038" s="47"/>
      <c r="G1038" s="6"/>
      <c r="H1038" s="6"/>
      <c r="I1038" s="8"/>
      <c r="J1038" s="6"/>
      <c r="K1038" s="6"/>
      <c r="L1038" s="45"/>
      <c r="M1038" s="6"/>
    </row>
    <row r="1039" spans="1:13" ht="15" hidden="1" customHeight="1" x14ac:dyDescent="0.25">
      <c r="A1039" s="43">
        <v>22196523024496</v>
      </c>
      <c r="C1039" s="73" t="s">
        <v>42</v>
      </c>
      <c r="D1039" s="6" t="s">
        <v>2</v>
      </c>
      <c r="E1039" s="7" t="s">
        <v>76</v>
      </c>
      <c r="F1039" s="47" t="s">
        <v>101</v>
      </c>
      <c r="G1039" s="6"/>
      <c r="H1039" s="6"/>
      <c r="I1039" s="8"/>
      <c r="J1039" s="6"/>
      <c r="K1039" s="6"/>
      <c r="L1039" s="45"/>
      <c r="M1039" s="6"/>
    </row>
    <row r="1040" spans="1:13" ht="15" hidden="1" customHeight="1" x14ac:dyDescent="0.25">
      <c r="A1040" s="43">
        <v>22196523024548</v>
      </c>
      <c r="C1040" s="73" t="s">
        <v>42</v>
      </c>
      <c r="D1040" s="6" t="s">
        <v>2</v>
      </c>
      <c r="E1040" s="7" t="s">
        <v>74</v>
      </c>
      <c r="F1040" s="47"/>
      <c r="G1040" s="6"/>
      <c r="H1040" s="6"/>
      <c r="I1040" s="8"/>
      <c r="J1040" s="6"/>
      <c r="K1040" s="6"/>
      <c r="L1040" s="45"/>
      <c r="M1040" s="6"/>
    </row>
    <row r="1041" spans="1:13" ht="15" hidden="1" customHeight="1" x14ac:dyDescent="0.25">
      <c r="A1041" s="43">
        <v>22196523024590</v>
      </c>
      <c r="C1041" s="73" t="s">
        <v>42</v>
      </c>
      <c r="D1041" s="6" t="s">
        <v>2</v>
      </c>
      <c r="E1041" s="7" t="s">
        <v>74</v>
      </c>
      <c r="F1041" s="47"/>
      <c r="G1041" s="6"/>
      <c r="H1041" s="6"/>
      <c r="I1041" s="8"/>
      <c r="J1041" s="6"/>
      <c r="K1041" s="6"/>
      <c r="L1041" s="45"/>
      <c r="M1041" s="6"/>
    </row>
    <row r="1042" spans="1:13" ht="15" hidden="1" customHeight="1" x14ac:dyDescent="0.25">
      <c r="A1042" s="43">
        <v>22196523025929</v>
      </c>
      <c r="C1042" s="73" t="s">
        <v>42</v>
      </c>
      <c r="D1042" s="6" t="s">
        <v>2</v>
      </c>
      <c r="E1042" s="7" t="s">
        <v>74</v>
      </c>
      <c r="F1042" s="47"/>
      <c r="G1042" s="6"/>
      <c r="H1042" s="6"/>
      <c r="I1042" s="8"/>
      <c r="J1042" s="6"/>
      <c r="K1042" s="6"/>
      <c r="L1042" s="45"/>
      <c r="M1042" s="6"/>
    </row>
    <row r="1043" spans="1:13" ht="15" hidden="1" customHeight="1" x14ac:dyDescent="0.25">
      <c r="A1043" s="43">
        <v>22221523023623</v>
      </c>
      <c r="C1043" s="73" t="s">
        <v>42</v>
      </c>
      <c r="D1043" s="6" t="s">
        <v>2</v>
      </c>
      <c r="E1043" s="7" t="s">
        <v>74</v>
      </c>
      <c r="F1043" s="47"/>
      <c r="G1043" s="6"/>
      <c r="H1043" s="6"/>
      <c r="I1043" s="8"/>
      <c r="J1043" s="6"/>
      <c r="K1043" s="6"/>
      <c r="L1043" s="45"/>
      <c r="M1043" s="6"/>
    </row>
    <row r="1044" spans="1:13" ht="15" hidden="1" customHeight="1" x14ac:dyDescent="0.25">
      <c r="A1044" s="43">
        <v>22221523023752</v>
      </c>
      <c r="C1044" s="73" t="s">
        <v>42</v>
      </c>
      <c r="D1044" s="6" t="s">
        <v>2</v>
      </c>
      <c r="E1044" s="7" t="s">
        <v>74</v>
      </c>
      <c r="F1044" s="47"/>
      <c r="G1044" s="6"/>
      <c r="H1044" s="6"/>
      <c r="I1044" s="8"/>
      <c r="J1044" s="6"/>
      <c r="K1044" s="6"/>
      <c r="L1044" s="45"/>
      <c r="M1044" s="6"/>
    </row>
    <row r="1045" spans="1:13" ht="15" hidden="1" customHeight="1" x14ac:dyDescent="0.25">
      <c r="A1045" s="43">
        <v>22221523024065</v>
      </c>
      <c r="C1045" s="73" t="s">
        <v>42</v>
      </c>
      <c r="D1045" s="6" t="s">
        <v>2</v>
      </c>
      <c r="E1045" s="7" t="s">
        <v>74</v>
      </c>
      <c r="F1045" s="47"/>
      <c r="G1045" s="6"/>
      <c r="H1045" s="6"/>
      <c r="I1045" s="8"/>
      <c r="J1045" s="6"/>
      <c r="K1045" s="6"/>
      <c r="L1045" s="45"/>
      <c r="M1045" s="6"/>
    </row>
    <row r="1046" spans="1:13" ht="15" hidden="1" customHeight="1" x14ac:dyDescent="0.25">
      <c r="A1046" s="43">
        <v>22221523024086</v>
      </c>
      <c r="C1046" s="73" t="s">
        <v>42</v>
      </c>
      <c r="D1046" s="6" t="s">
        <v>2</v>
      </c>
      <c r="E1046" s="7" t="s">
        <v>74</v>
      </c>
      <c r="F1046" s="47"/>
      <c r="G1046" s="6"/>
      <c r="H1046" s="6"/>
      <c r="I1046" s="8"/>
      <c r="J1046" s="6"/>
      <c r="K1046" s="6"/>
      <c r="L1046" s="45"/>
      <c r="M1046" s="6"/>
    </row>
    <row r="1047" spans="1:13" ht="15" hidden="1" customHeight="1" x14ac:dyDescent="0.25">
      <c r="A1047" s="43">
        <v>22221523024214</v>
      </c>
      <c r="C1047" s="73" t="s">
        <v>42</v>
      </c>
      <c r="D1047" s="6" t="s">
        <v>2</v>
      </c>
      <c r="E1047" s="7" t="s">
        <v>74</v>
      </c>
      <c r="F1047" s="47"/>
      <c r="G1047" s="6"/>
      <c r="H1047" s="6"/>
      <c r="I1047" s="8"/>
      <c r="J1047" s="6"/>
      <c r="K1047" s="6"/>
      <c r="L1047" s="45"/>
      <c r="M1047" s="6"/>
    </row>
    <row r="1048" spans="1:13" ht="15" hidden="1" customHeight="1" x14ac:dyDescent="0.25">
      <c r="A1048" s="43">
        <v>22222523025098</v>
      </c>
      <c r="C1048" s="73" t="s">
        <v>42</v>
      </c>
      <c r="D1048" s="6" t="s">
        <v>2</v>
      </c>
      <c r="E1048" s="7" t="s">
        <v>74</v>
      </c>
      <c r="F1048" s="7"/>
      <c r="G1048" s="6"/>
      <c r="H1048" s="6"/>
      <c r="I1048" s="8"/>
      <c r="J1048" s="6"/>
      <c r="K1048" s="6"/>
      <c r="L1048" s="45"/>
      <c r="M1048" s="6"/>
    </row>
    <row r="1049" spans="1:13" ht="15" hidden="1" customHeight="1" x14ac:dyDescent="0.25">
      <c r="A1049" s="43">
        <v>22222523025211</v>
      </c>
      <c r="C1049" s="73" t="s">
        <v>42</v>
      </c>
      <c r="D1049" s="6" t="s">
        <v>2</v>
      </c>
      <c r="E1049" s="7" t="s">
        <v>74</v>
      </c>
      <c r="F1049" s="7"/>
      <c r="G1049" s="6"/>
      <c r="H1049" s="6"/>
      <c r="I1049" s="8"/>
      <c r="J1049" s="6"/>
      <c r="K1049" s="6"/>
      <c r="L1049" s="45"/>
      <c r="M1049" s="6"/>
    </row>
    <row r="1050" spans="1:13" ht="15" hidden="1" customHeight="1" x14ac:dyDescent="0.25">
      <c r="A1050" s="43">
        <v>22222523025214</v>
      </c>
      <c r="C1050" s="73" t="s">
        <v>42</v>
      </c>
      <c r="D1050" s="6" t="s">
        <v>2</v>
      </c>
      <c r="E1050" s="7" t="s">
        <v>74</v>
      </c>
      <c r="F1050" s="7"/>
      <c r="G1050" s="6"/>
      <c r="H1050" s="6"/>
      <c r="I1050" s="8"/>
      <c r="J1050" s="6"/>
      <c r="K1050" s="6"/>
      <c r="L1050" s="45"/>
      <c r="M1050" s="6"/>
    </row>
    <row r="1051" spans="1:13" ht="15" hidden="1" customHeight="1" x14ac:dyDescent="0.25">
      <c r="A1051" s="43">
        <v>22222523025227</v>
      </c>
      <c r="C1051" s="73" t="s">
        <v>42</v>
      </c>
      <c r="D1051" s="6" t="s">
        <v>2</v>
      </c>
      <c r="E1051" s="7" t="s">
        <v>74</v>
      </c>
      <c r="F1051" s="7"/>
      <c r="G1051" s="6"/>
      <c r="H1051" s="6"/>
      <c r="I1051" s="8"/>
      <c r="J1051" s="6"/>
      <c r="K1051" s="6"/>
      <c r="L1051" s="45"/>
      <c r="M1051" s="6"/>
    </row>
    <row r="1052" spans="1:13" ht="15" hidden="1" customHeight="1" x14ac:dyDescent="0.25">
      <c r="A1052" s="43">
        <v>22223523021084</v>
      </c>
      <c r="C1052" s="73" t="s">
        <v>42</v>
      </c>
      <c r="D1052" s="6" t="s">
        <v>2</v>
      </c>
      <c r="E1052" s="7" t="s">
        <v>74</v>
      </c>
      <c r="F1052" s="7"/>
      <c r="G1052" s="6"/>
      <c r="H1052" s="6"/>
      <c r="I1052" s="8"/>
      <c r="J1052" s="6"/>
      <c r="K1052" s="6"/>
      <c r="L1052" s="45"/>
      <c r="M1052" s="6"/>
    </row>
    <row r="1053" spans="1:13" ht="15" hidden="1" customHeight="1" x14ac:dyDescent="0.25">
      <c r="A1053" s="43">
        <v>22223523021404</v>
      </c>
      <c r="C1053" s="73" t="s">
        <v>42</v>
      </c>
      <c r="D1053" s="6" t="s">
        <v>2</v>
      </c>
      <c r="E1053" s="7" t="s">
        <v>74</v>
      </c>
      <c r="F1053" s="7"/>
      <c r="G1053" s="6"/>
      <c r="H1053" s="6"/>
      <c r="I1053" s="8"/>
      <c r="J1053" s="6"/>
      <c r="K1053" s="6"/>
      <c r="L1053" s="45"/>
      <c r="M1053" s="6"/>
    </row>
    <row r="1054" spans="1:13" ht="15" hidden="1" customHeight="1" x14ac:dyDescent="0.25">
      <c r="A1054" s="43">
        <v>22223523021602</v>
      </c>
      <c r="C1054" s="73" t="s">
        <v>42</v>
      </c>
      <c r="D1054" s="6" t="s">
        <v>2</v>
      </c>
      <c r="E1054" s="7" t="s">
        <v>74</v>
      </c>
      <c r="F1054" s="7"/>
      <c r="G1054" s="6"/>
      <c r="H1054" s="6"/>
      <c r="I1054" s="8"/>
      <c r="J1054" s="6"/>
      <c r="K1054" s="6"/>
      <c r="L1054" s="45"/>
      <c r="M1054" s="6"/>
    </row>
    <row r="1055" spans="1:13" ht="15" hidden="1" customHeight="1" x14ac:dyDescent="0.25">
      <c r="A1055" s="43">
        <v>22223523021605</v>
      </c>
      <c r="C1055" s="73" t="s">
        <v>42</v>
      </c>
      <c r="D1055" s="6" t="s">
        <v>2</v>
      </c>
      <c r="E1055" s="7" t="s">
        <v>74</v>
      </c>
      <c r="F1055" s="7"/>
      <c r="G1055" s="6"/>
      <c r="H1055" s="6"/>
      <c r="I1055" s="8"/>
      <c r="J1055" s="6"/>
      <c r="K1055" s="6"/>
      <c r="L1055" s="45"/>
      <c r="M1055" s="6"/>
    </row>
    <row r="1056" spans="1:13" ht="15" hidden="1" customHeight="1" x14ac:dyDescent="0.25">
      <c r="A1056" s="43">
        <v>22223523021736</v>
      </c>
      <c r="C1056" s="73" t="s">
        <v>42</v>
      </c>
      <c r="D1056" s="6" t="s">
        <v>2</v>
      </c>
      <c r="E1056" s="7" t="s">
        <v>74</v>
      </c>
      <c r="F1056" s="7"/>
      <c r="G1056" s="6"/>
      <c r="H1056" s="6"/>
      <c r="I1056" s="8"/>
      <c r="J1056" s="6"/>
      <c r="K1056" s="6"/>
      <c r="L1056" s="45"/>
      <c r="M1056" s="6"/>
    </row>
    <row r="1057" spans="1:13" ht="15" hidden="1" customHeight="1" x14ac:dyDescent="0.25">
      <c r="A1057" s="43">
        <v>22223523022011</v>
      </c>
      <c r="C1057" s="73" t="s">
        <v>42</v>
      </c>
      <c r="D1057" s="6" t="s">
        <v>2</v>
      </c>
      <c r="E1057" s="7" t="s">
        <v>74</v>
      </c>
      <c r="F1057" s="7"/>
      <c r="G1057" s="6"/>
      <c r="H1057" s="6"/>
      <c r="I1057" s="8"/>
      <c r="J1057" s="6"/>
      <c r="K1057" s="6"/>
      <c r="L1057" s="45"/>
      <c r="M1057" s="6"/>
    </row>
    <row r="1058" spans="1:13" ht="15" hidden="1" customHeight="1" x14ac:dyDescent="0.25">
      <c r="A1058" s="43">
        <v>22223523022241</v>
      </c>
      <c r="C1058" s="73" t="s">
        <v>42</v>
      </c>
      <c r="D1058" s="6" t="s">
        <v>2</v>
      </c>
      <c r="E1058" s="7" t="s">
        <v>74</v>
      </c>
      <c r="F1058" s="7"/>
      <c r="G1058" s="6"/>
      <c r="H1058" s="6"/>
      <c r="I1058" s="8"/>
      <c r="J1058" s="6"/>
      <c r="K1058" s="6"/>
      <c r="L1058" s="45"/>
      <c r="M1058" s="6"/>
    </row>
    <row r="1059" spans="1:13" ht="15" hidden="1" customHeight="1" x14ac:dyDescent="0.25">
      <c r="A1059" s="43">
        <v>22223523022389</v>
      </c>
      <c r="C1059" s="73" t="s">
        <v>42</v>
      </c>
      <c r="D1059" s="6" t="s">
        <v>2</v>
      </c>
      <c r="E1059" s="7" t="s">
        <v>74</v>
      </c>
      <c r="F1059" s="7"/>
      <c r="G1059" s="6"/>
      <c r="H1059" s="6"/>
      <c r="I1059" s="8"/>
      <c r="J1059" s="6"/>
      <c r="K1059" s="6"/>
      <c r="L1059" s="45"/>
      <c r="M1059" s="6"/>
    </row>
    <row r="1060" spans="1:13" ht="15" hidden="1" customHeight="1" x14ac:dyDescent="0.25">
      <c r="A1060" s="43">
        <v>22223523022501</v>
      </c>
      <c r="C1060" s="73" t="s">
        <v>42</v>
      </c>
      <c r="D1060" s="6" t="s">
        <v>2</v>
      </c>
      <c r="E1060" s="7" t="s">
        <v>74</v>
      </c>
      <c r="F1060" s="7"/>
      <c r="G1060" s="6"/>
      <c r="H1060" s="6"/>
      <c r="I1060" s="8"/>
      <c r="J1060" s="6"/>
      <c r="K1060" s="6"/>
      <c r="L1060" s="45"/>
      <c r="M1060" s="6"/>
    </row>
    <row r="1061" spans="1:13" ht="15" hidden="1" customHeight="1" x14ac:dyDescent="0.25">
      <c r="A1061" s="43">
        <v>22229523023273</v>
      </c>
      <c r="C1061" s="73" t="s">
        <v>42</v>
      </c>
      <c r="D1061" s="6" t="s">
        <v>2</v>
      </c>
      <c r="E1061" s="7" t="s">
        <v>76</v>
      </c>
      <c r="F1061" s="7" t="s">
        <v>101</v>
      </c>
      <c r="G1061" s="6"/>
      <c r="H1061" s="6"/>
      <c r="I1061" s="8"/>
      <c r="J1061" s="6"/>
      <c r="K1061" s="6"/>
      <c r="L1061" s="45"/>
      <c r="M1061" s="6"/>
    </row>
    <row r="1062" spans="1:13" ht="15" hidden="1" customHeight="1" x14ac:dyDescent="0.25">
      <c r="A1062" s="43">
        <v>22284523021858</v>
      </c>
      <c r="C1062" s="73" t="s">
        <v>42</v>
      </c>
      <c r="D1062" s="6" t="s">
        <v>2</v>
      </c>
      <c r="E1062" s="7" t="s">
        <v>74</v>
      </c>
      <c r="F1062" s="7"/>
      <c r="G1062" s="6"/>
      <c r="H1062" s="6"/>
      <c r="I1062" s="8"/>
      <c r="J1062" s="6"/>
      <c r="K1062" s="6"/>
      <c r="L1062" s="45"/>
      <c r="M1062" s="6"/>
    </row>
    <row r="1063" spans="1:13" ht="15" hidden="1" customHeight="1" x14ac:dyDescent="0.25">
      <c r="A1063" s="43">
        <v>22284523022699</v>
      </c>
      <c r="C1063" s="73" t="s">
        <v>42</v>
      </c>
      <c r="D1063" s="6" t="s">
        <v>2</v>
      </c>
      <c r="E1063" s="7" t="s">
        <v>74</v>
      </c>
      <c r="F1063" s="7"/>
      <c r="G1063" s="6"/>
      <c r="H1063" s="6"/>
      <c r="I1063" s="8"/>
      <c r="J1063" s="6"/>
      <c r="K1063" s="6"/>
      <c r="L1063" s="45"/>
      <c r="M1063" s="6"/>
    </row>
    <row r="1064" spans="1:13" ht="15" hidden="1" customHeight="1" x14ac:dyDescent="0.25">
      <c r="A1064" s="43">
        <v>22221523024677</v>
      </c>
      <c r="C1064" s="73" t="s">
        <v>42</v>
      </c>
      <c r="D1064" s="6" t="s">
        <v>2</v>
      </c>
      <c r="E1064" s="7" t="s">
        <v>74</v>
      </c>
      <c r="F1064" s="47"/>
      <c r="G1064" s="6"/>
      <c r="H1064" s="6"/>
      <c r="I1064" s="8"/>
      <c r="J1064" s="6"/>
      <c r="K1064" s="6"/>
      <c r="L1064" s="45"/>
      <c r="M1064" s="6"/>
    </row>
    <row r="1065" spans="1:13" ht="15" hidden="1" customHeight="1" x14ac:dyDescent="0.25">
      <c r="A1065" s="43">
        <v>22222523025141</v>
      </c>
      <c r="C1065" s="73" t="s">
        <v>42</v>
      </c>
      <c r="D1065" s="6" t="s">
        <v>2</v>
      </c>
      <c r="E1065" s="7" t="s">
        <v>74</v>
      </c>
      <c r="F1065" s="47"/>
      <c r="G1065" s="6"/>
      <c r="H1065" s="6"/>
      <c r="I1065" s="8"/>
      <c r="J1065" s="6"/>
      <c r="K1065" s="6"/>
      <c r="L1065" s="45"/>
      <c r="M1065" s="6"/>
    </row>
    <row r="1066" spans="1:13" ht="15" hidden="1" customHeight="1" x14ac:dyDescent="0.25">
      <c r="A1066" s="43">
        <v>22222523025191</v>
      </c>
      <c r="C1066" s="73" t="s">
        <v>42</v>
      </c>
      <c r="D1066" s="6" t="s">
        <v>2</v>
      </c>
      <c r="E1066" s="7" t="s">
        <v>74</v>
      </c>
      <c r="F1066" s="47"/>
      <c r="G1066" s="6"/>
      <c r="H1066" s="6"/>
      <c r="I1066" s="8"/>
      <c r="J1066" s="6"/>
      <c r="K1066" s="6"/>
      <c r="L1066" s="45"/>
      <c r="M1066" s="6"/>
    </row>
    <row r="1067" spans="1:13" ht="15" hidden="1" customHeight="1" x14ac:dyDescent="0.25">
      <c r="A1067" s="43">
        <v>22222523025296</v>
      </c>
      <c r="C1067" s="73" t="s">
        <v>42</v>
      </c>
      <c r="D1067" s="6" t="s">
        <v>2</v>
      </c>
      <c r="E1067" s="7" t="s">
        <v>74</v>
      </c>
      <c r="F1067" s="47"/>
      <c r="G1067" s="6"/>
      <c r="H1067" s="6"/>
      <c r="I1067" s="8"/>
      <c r="J1067" s="6"/>
      <c r="K1067" s="6"/>
      <c r="L1067" s="45"/>
      <c r="M1067" s="6"/>
    </row>
    <row r="1068" spans="1:13" ht="15" hidden="1" customHeight="1" x14ac:dyDescent="0.25">
      <c r="A1068" s="43">
        <v>22222523025310</v>
      </c>
      <c r="C1068" s="73" t="s">
        <v>42</v>
      </c>
      <c r="D1068" s="6" t="s">
        <v>2</v>
      </c>
      <c r="E1068" s="7" t="s">
        <v>74</v>
      </c>
      <c r="F1068" s="47"/>
      <c r="G1068" s="6"/>
      <c r="H1068" s="6"/>
      <c r="I1068" s="8"/>
      <c r="J1068" s="6"/>
      <c r="K1068" s="6"/>
      <c r="L1068" s="45"/>
      <c r="M1068" s="6"/>
    </row>
    <row r="1069" spans="1:13" ht="15" hidden="1" customHeight="1" x14ac:dyDescent="0.25">
      <c r="A1069" s="43">
        <v>22223523021227</v>
      </c>
      <c r="C1069" s="73" t="s">
        <v>42</v>
      </c>
      <c r="D1069" s="6" t="s">
        <v>2</v>
      </c>
      <c r="E1069" s="7" t="s">
        <v>74</v>
      </c>
      <c r="F1069" s="47"/>
      <c r="G1069" s="6"/>
      <c r="H1069" s="6"/>
      <c r="I1069" s="8"/>
      <c r="J1069" s="6"/>
      <c r="K1069" s="6"/>
      <c r="L1069" s="45"/>
      <c r="M1069" s="6"/>
    </row>
    <row r="1070" spans="1:13" ht="15" hidden="1" customHeight="1" x14ac:dyDescent="0.25">
      <c r="A1070" s="43">
        <v>22223523021486</v>
      </c>
      <c r="C1070" s="73" t="s">
        <v>42</v>
      </c>
      <c r="D1070" s="6" t="s">
        <v>2</v>
      </c>
      <c r="E1070" s="7" t="s">
        <v>74</v>
      </c>
      <c r="F1070" s="47"/>
      <c r="G1070" s="6"/>
      <c r="H1070" s="6"/>
      <c r="I1070" s="8"/>
      <c r="J1070" s="6"/>
      <c r="K1070" s="6"/>
      <c r="L1070" s="45"/>
      <c r="M1070" s="6"/>
    </row>
    <row r="1071" spans="1:13" ht="15" hidden="1" customHeight="1" x14ac:dyDescent="0.25">
      <c r="A1071" s="43">
        <v>22223523021489</v>
      </c>
      <c r="C1071" s="73" t="s">
        <v>42</v>
      </c>
      <c r="D1071" s="6" t="s">
        <v>2</v>
      </c>
      <c r="E1071" s="7" t="s">
        <v>74</v>
      </c>
      <c r="F1071" s="47"/>
      <c r="G1071" s="6"/>
      <c r="H1071" s="6"/>
      <c r="I1071" s="8"/>
      <c r="J1071" s="6"/>
      <c r="K1071" s="6"/>
      <c r="L1071" s="45"/>
      <c r="M1071" s="6"/>
    </row>
    <row r="1072" spans="1:13" ht="15" hidden="1" customHeight="1" x14ac:dyDescent="0.25">
      <c r="A1072" s="43">
        <v>22223523021795</v>
      </c>
      <c r="C1072" s="73" t="s">
        <v>42</v>
      </c>
      <c r="D1072" s="6" t="s">
        <v>2</v>
      </c>
      <c r="E1072" s="7" t="s">
        <v>74</v>
      </c>
      <c r="F1072" s="47"/>
      <c r="G1072" s="6"/>
      <c r="H1072" s="6"/>
      <c r="I1072" s="8"/>
      <c r="J1072" s="6"/>
      <c r="K1072" s="6"/>
      <c r="L1072" s="45"/>
      <c r="M1072" s="6"/>
    </row>
    <row r="1073" spans="1:13" ht="15" hidden="1" customHeight="1" x14ac:dyDescent="0.25">
      <c r="A1073" s="43">
        <v>22223523021915</v>
      </c>
      <c r="C1073" s="73" t="s">
        <v>42</v>
      </c>
      <c r="D1073" s="6" t="s">
        <v>2</v>
      </c>
      <c r="E1073" s="7" t="s">
        <v>74</v>
      </c>
      <c r="F1073" s="47"/>
      <c r="G1073" s="6"/>
      <c r="H1073" s="6"/>
      <c r="I1073" s="8"/>
      <c r="J1073" s="6"/>
      <c r="K1073" s="6"/>
      <c r="L1073" s="45"/>
      <c r="M1073" s="6"/>
    </row>
    <row r="1074" spans="1:13" ht="15" hidden="1" customHeight="1" x14ac:dyDescent="0.25">
      <c r="A1074" s="43">
        <v>22223523022146</v>
      </c>
      <c r="C1074" s="73" t="s">
        <v>42</v>
      </c>
      <c r="D1074" s="6" t="s">
        <v>2</v>
      </c>
      <c r="E1074" s="7" t="s">
        <v>74</v>
      </c>
      <c r="F1074" s="47"/>
      <c r="G1074" s="6"/>
      <c r="H1074" s="6"/>
      <c r="I1074" s="8"/>
      <c r="J1074" s="6"/>
      <c r="K1074" s="6"/>
      <c r="L1074" s="45"/>
      <c r="M1074" s="6"/>
    </row>
    <row r="1075" spans="1:13" ht="15" hidden="1" customHeight="1" x14ac:dyDescent="0.25">
      <c r="A1075" s="43" t="s">
        <v>707</v>
      </c>
      <c r="C1075" s="73" t="s">
        <v>42</v>
      </c>
      <c r="D1075" s="6" t="s">
        <v>2</v>
      </c>
      <c r="E1075" s="7" t="s">
        <v>76</v>
      </c>
      <c r="F1075" s="47"/>
      <c r="G1075" s="6"/>
      <c r="H1075" s="6"/>
      <c r="I1075" s="8"/>
      <c r="J1075" s="6"/>
      <c r="K1075" s="6" t="s">
        <v>708</v>
      </c>
      <c r="L1075" s="45"/>
      <c r="M1075" s="6"/>
    </row>
    <row r="1076" spans="1:13" ht="15" hidden="1" customHeight="1" x14ac:dyDescent="0.25">
      <c r="A1076" s="43" t="s">
        <v>709</v>
      </c>
      <c r="C1076" s="73" t="s">
        <v>37</v>
      </c>
      <c r="D1076" s="6" t="s">
        <v>2</v>
      </c>
      <c r="E1076" s="7" t="s">
        <v>74</v>
      </c>
      <c r="F1076" s="7"/>
      <c r="G1076" s="6"/>
      <c r="H1076" s="6"/>
      <c r="I1076" s="8"/>
      <c r="J1076" s="6"/>
      <c r="K1076" s="6"/>
      <c r="L1076" s="45"/>
      <c r="M1076" s="6"/>
    </row>
    <row r="1077" spans="1:13" ht="15" hidden="1" customHeight="1" x14ac:dyDescent="0.25">
      <c r="A1077" s="43" t="s">
        <v>710</v>
      </c>
      <c r="C1077" s="73" t="s">
        <v>47</v>
      </c>
      <c r="D1077" s="6" t="s">
        <v>2</v>
      </c>
      <c r="E1077" s="7" t="s">
        <v>76</v>
      </c>
      <c r="F1077" s="7"/>
      <c r="G1077" s="6"/>
      <c r="H1077" s="6"/>
      <c r="I1077" s="8"/>
      <c r="J1077" s="6"/>
      <c r="K1077" s="6"/>
      <c r="L1077" s="45"/>
      <c r="M1077" s="6"/>
    </row>
    <row r="1078" spans="1:13" ht="15" hidden="1" customHeight="1" x14ac:dyDescent="0.25">
      <c r="A1078" s="43" t="s">
        <v>711</v>
      </c>
      <c r="C1078" s="73" t="s">
        <v>47</v>
      </c>
      <c r="D1078" s="6" t="s">
        <v>2</v>
      </c>
      <c r="E1078" s="7" t="s">
        <v>74</v>
      </c>
      <c r="F1078" s="7"/>
      <c r="G1078" s="6"/>
      <c r="H1078" s="6"/>
      <c r="I1078" s="8"/>
      <c r="J1078" s="6"/>
      <c r="K1078" s="6"/>
      <c r="L1078" s="45"/>
      <c r="M1078" s="6"/>
    </row>
    <row r="1079" spans="1:13" ht="15" hidden="1" customHeight="1" x14ac:dyDescent="0.25">
      <c r="A1079" s="43" t="s">
        <v>712</v>
      </c>
      <c r="C1079" s="73" t="s">
        <v>47</v>
      </c>
      <c r="D1079" s="6" t="s">
        <v>2</v>
      </c>
      <c r="E1079" s="7" t="s">
        <v>74</v>
      </c>
      <c r="F1079" s="47"/>
      <c r="G1079" s="6"/>
      <c r="H1079" s="6"/>
      <c r="I1079" s="8"/>
      <c r="J1079" s="6"/>
      <c r="K1079" s="6"/>
      <c r="L1079" s="45"/>
      <c r="M1079" s="6"/>
    </row>
    <row r="1080" spans="1:13" ht="15" hidden="1" customHeight="1" x14ac:dyDescent="0.25">
      <c r="A1080" s="43" t="s">
        <v>713</v>
      </c>
      <c r="C1080" s="73" t="s">
        <v>47</v>
      </c>
      <c r="D1080" s="6" t="s">
        <v>2</v>
      </c>
      <c r="E1080" s="7" t="s">
        <v>74</v>
      </c>
      <c r="F1080" s="47"/>
      <c r="G1080" s="6"/>
      <c r="H1080" s="6"/>
      <c r="I1080" s="8"/>
      <c r="J1080" s="6"/>
      <c r="K1080" s="6"/>
      <c r="L1080" s="45"/>
      <c r="M1080" s="6"/>
    </row>
    <row r="1081" spans="1:13" ht="15" hidden="1" customHeight="1" x14ac:dyDescent="0.25">
      <c r="A1081" s="43" t="s">
        <v>714</v>
      </c>
      <c r="C1081" s="73" t="s">
        <v>47</v>
      </c>
      <c r="D1081" s="6" t="s">
        <v>2</v>
      </c>
      <c r="E1081" s="7" t="s">
        <v>74</v>
      </c>
      <c r="F1081" s="47"/>
      <c r="G1081" s="6"/>
      <c r="H1081" s="6"/>
      <c r="I1081" s="8"/>
      <c r="J1081" s="6"/>
      <c r="K1081" s="6"/>
      <c r="L1081" s="45"/>
      <c r="M1081" s="6"/>
    </row>
    <row r="1082" spans="1:13" ht="15" hidden="1" customHeight="1" x14ac:dyDescent="0.25">
      <c r="A1082" s="43" t="s">
        <v>715</v>
      </c>
      <c r="C1082" s="73" t="s">
        <v>47</v>
      </c>
      <c r="D1082" s="6" t="s">
        <v>2</v>
      </c>
      <c r="E1082" s="7" t="s">
        <v>74</v>
      </c>
      <c r="F1082" s="47"/>
      <c r="G1082" s="6"/>
      <c r="H1082" s="6"/>
      <c r="I1082" s="8"/>
      <c r="J1082" s="6"/>
      <c r="K1082" s="6"/>
      <c r="L1082" s="45"/>
      <c r="M1082" s="6"/>
    </row>
    <row r="1083" spans="1:13" ht="15" hidden="1" customHeight="1" x14ac:dyDescent="0.25">
      <c r="A1083" s="43" t="s">
        <v>716</v>
      </c>
      <c r="C1083" s="73" t="s">
        <v>47</v>
      </c>
      <c r="D1083" s="6" t="s">
        <v>2</v>
      </c>
      <c r="E1083" s="7" t="s">
        <v>74</v>
      </c>
      <c r="F1083" s="7"/>
      <c r="G1083" s="6"/>
      <c r="H1083" s="6"/>
      <c r="I1083" s="8"/>
      <c r="J1083" s="6"/>
      <c r="K1083" s="6"/>
      <c r="L1083" s="45"/>
      <c r="M1083" s="6"/>
    </row>
    <row r="1084" spans="1:13" ht="15" hidden="1" customHeight="1" x14ac:dyDescent="0.25">
      <c r="A1084" s="43" t="s">
        <v>717</v>
      </c>
      <c r="C1084" s="73" t="s">
        <v>47</v>
      </c>
      <c r="D1084" s="6" t="s">
        <v>2</v>
      </c>
      <c r="E1084" s="7" t="s">
        <v>74</v>
      </c>
      <c r="F1084" s="47"/>
      <c r="G1084" s="6"/>
      <c r="H1084" s="6"/>
      <c r="I1084" s="8"/>
      <c r="J1084" s="6"/>
      <c r="K1084" s="6"/>
      <c r="L1084" s="45"/>
      <c r="M1084" s="6"/>
    </row>
    <row r="1085" spans="1:13" ht="15" hidden="1" customHeight="1" x14ac:dyDescent="0.25">
      <c r="A1085" s="43" t="s">
        <v>718</v>
      </c>
      <c r="C1085" s="73" t="s">
        <v>47</v>
      </c>
      <c r="D1085" s="6" t="s">
        <v>2</v>
      </c>
      <c r="E1085" s="7" t="s">
        <v>76</v>
      </c>
      <c r="F1085" s="7"/>
      <c r="G1085" s="6"/>
      <c r="H1085" s="6"/>
      <c r="I1085" s="8"/>
      <c r="J1085" s="6"/>
      <c r="K1085" s="6"/>
      <c r="L1085" s="45"/>
      <c r="M1085" s="6"/>
    </row>
    <row r="1086" spans="1:13" ht="15" hidden="1" customHeight="1" x14ac:dyDescent="0.25">
      <c r="A1086" s="43" t="s">
        <v>719</v>
      </c>
      <c r="C1086" s="73" t="s">
        <v>47</v>
      </c>
      <c r="D1086" s="6" t="s">
        <v>2</v>
      </c>
      <c r="E1086" s="7" t="s">
        <v>74</v>
      </c>
      <c r="F1086" s="47"/>
      <c r="G1086" s="6"/>
      <c r="H1086" s="6"/>
      <c r="I1086" s="8"/>
      <c r="J1086" s="6"/>
      <c r="K1086" s="6"/>
      <c r="L1086" s="45"/>
      <c r="M1086" s="6"/>
    </row>
    <row r="1087" spans="1:13" ht="15" hidden="1" customHeight="1" x14ac:dyDescent="0.25">
      <c r="A1087" s="43" t="s">
        <v>720</v>
      </c>
      <c r="C1087" s="73" t="s">
        <v>47</v>
      </c>
      <c r="D1087" s="6" t="s">
        <v>2</v>
      </c>
      <c r="E1087" s="7" t="s">
        <v>74</v>
      </c>
      <c r="F1087" s="7"/>
      <c r="G1087" s="6"/>
      <c r="H1087" s="6"/>
      <c r="I1087" s="8"/>
      <c r="J1087" s="6"/>
      <c r="K1087" s="6"/>
      <c r="L1087" s="45"/>
      <c r="M1087" s="6"/>
    </row>
    <row r="1088" spans="1:13" ht="15" hidden="1" customHeight="1" x14ac:dyDescent="0.25">
      <c r="A1088" s="43" t="s">
        <v>721</v>
      </c>
      <c r="C1088" s="73" t="s">
        <v>47</v>
      </c>
      <c r="D1088" s="6" t="s">
        <v>2</v>
      </c>
      <c r="E1088" s="7" t="s">
        <v>74</v>
      </c>
      <c r="F1088" s="7"/>
      <c r="G1088" s="6"/>
      <c r="H1088" s="6"/>
      <c r="I1088" s="8"/>
      <c r="J1088" s="6"/>
      <c r="K1088" s="6"/>
      <c r="L1088" s="45"/>
      <c r="M1088" s="6"/>
    </row>
    <row r="1089" spans="1:13" ht="15" hidden="1" customHeight="1" x14ac:dyDescent="0.25">
      <c r="A1089" s="43" t="s">
        <v>722</v>
      </c>
      <c r="C1089" s="73" t="s">
        <v>47</v>
      </c>
      <c r="D1089" s="6" t="s">
        <v>2</v>
      </c>
      <c r="E1089" s="7" t="s">
        <v>74</v>
      </c>
      <c r="F1089" s="7"/>
      <c r="G1089" s="6"/>
      <c r="H1089" s="6"/>
      <c r="I1089" s="8"/>
      <c r="J1089" s="6"/>
      <c r="K1089" s="6"/>
      <c r="L1089" s="45"/>
      <c r="M1089" s="6"/>
    </row>
    <row r="1090" spans="1:13" ht="15" hidden="1" customHeight="1" x14ac:dyDescent="0.25">
      <c r="A1090" s="43" t="s">
        <v>723</v>
      </c>
      <c r="C1090" s="73" t="s">
        <v>47</v>
      </c>
      <c r="D1090" s="6" t="s">
        <v>2</v>
      </c>
      <c r="E1090" s="7" t="s">
        <v>74</v>
      </c>
      <c r="F1090" s="7"/>
      <c r="G1090" s="6"/>
      <c r="H1090" s="6"/>
      <c r="I1090" s="8"/>
      <c r="J1090" s="6"/>
      <c r="K1090" s="6"/>
      <c r="L1090" s="45"/>
      <c r="M1090" s="6"/>
    </row>
    <row r="1091" spans="1:13" ht="15" hidden="1" customHeight="1" x14ac:dyDescent="0.25">
      <c r="A1091" s="43" t="s">
        <v>724</v>
      </c>
      <c r="C1091" s="73" t="s">
        <v>47</v>
      </c>
      <c r="D1091" s="6" t="s">
        <v>2</v>
      </c>
      <c r="E1091" s="7" t="s">
        <v>74</v>
      </c>
      <c r="F1091" s="7"/>
      <c r="G1091" s="6"/>
      <c r="H1091" s="6"/>
      <c r="I1091" s="8"/>
      <c r="J1091" s="6"/>
      <c r="K1091" s="6"/>
      <c r="L1091" s="45"/>
      <c r="M1091" s="6"/>
    </row>
    <row r="1092" spans="1:13" ht="15" hidden="1" customHeight="1" x14ac:dyDescent="0.25">
      <c r="A1092" s="43" t="s">
        <v>725</v>
      </c>
      <c r="C1092" s="73" t="s">
        <v>47</v>
      </c>
      <c r="D1092" s="6" t="s">
        <v>2</v>
      </c>
      <c r="E1092" s="7" t="s">
        <v>74</v>
      </c>
      <c r="F1092" s="7"/>
      <c r="G1092" s="6"/>
      <c r="H1092" s="6"/>
      <c r="I1092" s="8"/>
      <c r="J1092" s="6"/>
      <c r="K1092" s="6"/>
      <c r="L1092" s="45"/>
      <c r="M1092" s="6"/>
    </row>
    <row r="1093" spans="1:13" ht="15" hidden="1" customHeight="1" x14ac:dyDescent="0.25">
      <c r="A1093" s="43">
        <v>22147523023858</v>
      </c>
      <c r="C1093" s="73" t="s">
        <v>42</v>
      </c>
      <c r="D1093" s="6" t="s">
        <v>2</v>
      </c>
      <c r="E1093" s="7" t="s">
        <v>76</v>
      </c>
      <c r="F1093" s="47" t="s">
        <v>25</v>
      </c>
      <c r="G1093" s="6"/>
      <c r="H1093" s="6"/>
      <c r="I1093" s="8"/>
      <c r="J1093" s="6"/>
      <c r="K1093" s="6"/>
      <c r="L1093" s="45"/>
      <c r="M1093" s="6"/>
    </row>
    <row r="1094" spans="1:13" ht="15" hidden="1" customHeight="1" x14ac:dyDescent="0.25">
      <c r="A1094" s="43">
        <v>22294524700112</v>
      </c>
      <c r="B1094" t="s">
        <v>726</v>
      </c>
      <c r="C1094" s="73" t="s">
        <v>31</v>
      </c>
      <c r="D1094" s="6" t="s">
        <v>2</v>
      </c>
      <c r="E1094" s="7" t="s">
        <v>74</v>
      </c>
      <c r="F1094" s="7"/>
      <c r="G1094" s="6"/>
      <c r="H1094" s="6"/>
      <c r="I1094" s="8"/>
      <c r="J1094" s="6"/>
      <c r="K1094" s="6"/>
      <c r="L1094" s="45"/>
      <c r="M1094" s="6"/>
    </row>
    <row r="1095" spans="1:13" ht="15" hidden="1" customHeight="1" x14ac:dyDescent="0.25">
      <c r="A1095" s="43">
        <v>22293524700813</v>
      </c>
      <c r="B1095" t="s">
        <v>727</v>
      </c>
      <c r="C1095" s="73" t="s">
        <v>31</v>
      </c>
      <c r="D1095" s="6" t="s">
        <v>2</v>
      </c>
      <c r="E1095" s="7" t="s">
        <v>74</v>
      </c>
      <c r="F1095" s="7"/>
      <c r="G1095" s="6"/>
      <c r="H1095" s="6"/>
      <c r="I1095" s="8"/>
      <c r="J1095" s="6"/>
      <c r="K1095" s="6"/>
      <c r="L1095" s="45"/>
      <c r="M1095" s="6"/>
    </row>
  </sheetData>
  <sortState xmlns:xlrd2="http://schemas.microsoft.com/office/spreadsheetml/2017/richdata2" ref="A2:L1045">
    <sortCondition ref="C591:C1045"/>
  </sortState>
  <dataValidations disablePrompts="1" count="1">
    <dataValidation allowBlank="1" showInputMessage="1" showErrorMessage="1" sqref="G284:G735 G3:G27" xr:uid="{00000000-0002-0000-01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17BFF-B624-4E6A-9444-FE4F27451D8A}">
  <sheetPr>
    <tabColor rgb="FF6666FF"/>
  </sheetPr>
  <dimension ref="A1:AB441"/>
  <sheetViews>
    <sheetView workbookViewId="0">
      <selection activeCell="A3" sqref="A3"/>
    </sheetView>
  </sheetViews>
  <sheetFormatPr defaultRowHeight="15" x14ac:dyDescent="0.25"/>
  <cols>
    <col min="1" max="1" width="23.7109375" bestFit="1" customWidth="1"/>
    <col min="2" max="2" width="51.85546875" bestFit="1" customWidth="1"/>
    <col min="3" max="3" width="11.85546875" bestFit="1" customWidth="1"/>
    <col min="4" max="4" width="140.28515625" bestFit="1" customWidth="1"/>
    <col min="5" max="5" width="121.5703125" bestFit="1" customWidth="1"/>
    <col min="6" max="6" width="33.42578125" customWidth="1"/>
    <col min="7" max="7" width="33.85546875" bestFit="1" customWidth="1"/>
    <col min="8" max="8" width="6.5703125" bestFit="1" customWidth="1"/>
    <col min="9" max="9" width="4.85546875" bestFit="1" customWidth="1"/>
    <col min="10" max="18" width="11.85546875" bestFit="1" customWidth="1"/>
    <col min="19" max="19" width="12.42578125" bestFit="1" customWidth="1"/>
    <col min="20" max="20" width="11.85546875" bestFit="1" customWidth="1"/>
    <col min="21" max="21" width="12.42578125" bestFit="1" customWidth="1"/>
    <col min="22" max="22" width="7.42578125" bestFit="1" customWidth="1"/>
    <col min="23" max="25" width="4.85546875" bestFit="1" customWidth="1"/>
    <col min="26" max="26" width="4.140625" bestFit="1" customWidth="1"/>
    <col min="27" max="27" width="4.5703125" bestFit="1" customWidth="1"/>
  </cols>
  <sheetData>
    <row r="1" spans="1:28" x14ac:dyDescent="0.25">
      <c r="A1" s="192" t="s">
        <v>728</v>
      </c>
      <c r="B1" s="193"/>
      <c r="C1" s="193"/>
    </row>
    <row r="2" spans="1:28" x14ac:dyDescent="0.25">
      <c r="A2" s="108" t="s">
        <v>729</v>
      </c>
      <c r="B2" s="108" t="s">
        <v>730</v>
      </c>
      <c r="C2" s="109" t="s">
        <v>731</v>
      </c>
      <c r="D2" s="115" t="s">
        <v>63</v>
      </c>
      <c r="E2" s="108" t="s">
        <v>732</v>
      </c>
      <c r="F2" s="108" t="s">
        <v>733</v>
      </c>
      <c r="G2" s="108" t="s">
        <v>734</v>
      </c>
      <c r="H2" s="108" t="s">
        <v>735</v>
      </c>
      <c r="I2" s="108" t="s">
        <v>736</v>
      </c>
      <c r="J2" s="108" t="s">
        <v>737</v>
      </c>
      <c r="K2" s="108" t="s">
        <v>738</v>
      </c>
      <c r="L2" s="108" t="s">
        <v>739</v>
      </c>
      <c r="M2" s="108" t="s">
        <v>740</v>
      </c>
      <c r="N2" s="108" t="s">
        <v>741</v>
      </c>
      <c r="O2" s="108" t="s">
        <v>742</v>
      </c>
      <c r="P2" s="108" t="s">
        <v>743</v>
      </c>
      <c r="Q2" s="108" t="s">
        <v>744</v>
      </c>
      <c r="R2" s="108" t="s">
        <v>745</v>
      </c>
      <c r="S2" s="108" t="s">
        <v>746</v>
      </c>
      <c r="T2" s="108" t="s">
        <v>747</v>
      </c>
      <c r="U2" s="108" t="s">
        <v>748</v>
      </c>
      <c r="V2" s="108" t="s">
        <v>749</v>
      </c>
      <c r="W2" s="110" t="s">
        <v>750</v>
      </c>
      <c r="X2" s="110" t="s">
        <v>751</v>
      </c>
      <c r="Y2" s="110" t="s">
        <v>752</v>
      </c>
      <c r="Z2" s="110" t="s">
        <v>753</v>
      </c>
      <c r="AA2" s="110" t="s">
        <v>754</v>
      </c>
      <c r="AB2" s="110" t="s">
        <v>755</v>
      </c>
    </row>
    <row r="3" spans="1:28" x14ac:dyDescent="0.25">
      <c r="A3" t="s">
        <v>756</v>
      </c>
      <c r="B3" t="s">
        <v>757</v>
      </c>
      <c r="C3">
        <v>0</v>
      </c>
      <c r="D3" t="s">
        <v>758</v>
      </c>
      <c r="E3" t="s">
        <v>36</v>
      </c>
      <c r="F3" t="s">
        <v>759</v>
      </c>
      <c r="G3" t="s">
        <v>760</v>
      </c>
      <c r="H3" t="s">
        <v>761</v>
      </c>
      <c r="I3" t="s">
        <v>762</v>
      </c>
      <c r="J3" t="s">
        <v>763</v>
      </c>
      <c r="K3">
        <v>0</v>
      </c>
      <c r="L3">
        <v>0</v>
      </c>
      <c r="M3">
        <v>0</v>
      </c>
      <c r="N3">
        <v>22.54</v>
      </c>
      <c r="O3">
        <v>22.54</v>
      </c>
      <c r="P3">
        <v>22.54</v>
      </c>
      <c r="Q3">
        <v>22.54</v>
      </c>
      <c r="R3">
        <v>22.54</v>
      </c>
      <c r="S3">
        <v>22.54</v>
      </c>
      <c r="T3">
        <v>22.54</v>
      </c>
      <c r="U3">
        <v>22.54</v>
      </c>
      <c r="V3">
        <v>22.54</v>
      </c>
      <c r="W3" s="6" t="s">
        <v>764</v>
      </c>
      <c r="X3" s="6" t="s">
        <v>765</v>
      </c>
      <c r="Y3" s="6" t="s">
        <v>766</v>
      </c>
      <c r="Z3" s="6" t="s">
        <v>767</v>
      </c>
      <c r="AA3" s="6" t="s">
        <v>61</v>
      </c>
      <c r="AB3" s="6" t="s">
        <v>768</v>
      </c>
    </row>
    <row r="4" spans="1:28" x14ac:dyDescent="0.25">
      <c r="A4" t="s">
        <v>756</v>
      </c>
      <c r="B4" t="s">
        <v>757</v>
      </c>
      <c r="C4">
        <v>0</v>
      </c>
      <c r="D4" t="s">
        <v>769</v>
      </c>
      <c r="E4" t="s">
        <v>36</v>
      </c>
      <c r="F4" t="s">
        <v>770</v>
      </c>
      <c r="G4" t="s">
        <v>760</v>
      </c>
      <c r="H4" t="s">
        <v>761</v>
      </c>
      <c r="I4" t="s">
        <v>762</v>
      </c>
      <c r="J4" t="s">
        <v>763</v>
      </c>
      <c r="K4">
        <v>22.54</v>
      </c>
      <c r="L4">
        <v>22.54</v>
      </c>
      <c r="M4">
        <v>22.54</v>
      </c>
      <c r="N4">
        <v>22.54</v>
      </c>
      <c r="O4">
        <v>22.54</v>
      </c>
      <c r="P4">
        <v>22.54</v>
      </c>
      <c r="Q4">
        <v>22.54</v>
      </c>
      <c r="R4">
        <v>22.54</v>
      </c>
      <c r="S4">
        <v>22.54</v>
      </c>
      <c r="T4">
        <v>22.54</v>
      </c>
      <c r="U4">
        <v>22.54</v>
      </c>
      <c r="V4">
        <v>22.54</v>
      </c>
      <c r="W4" s="6" t="s">
        <v>764</v>
      </c>
      <c r="X4" s="6" t="s">
        <v>765</v>
      </c>
      <c r="Y4" s="6" t="s">
        <v>766</v>
      </c>
      <c r="Z4" s="6" t="s">
        <v>767</v>
      </c>
      <c r="AA4" s="6" t="s">
        <v>61</v>
      </c>
      <c r="AB4" s="6" t="s">
        <v>768</v>
      </c>
    </row>
    <row r="5" spans="1:28" x14ac:dyDescent="0.25">
      <c r="A5" t="s">
        <v>756</v>
      </c>
      <c r="B5" t="s">
        <v>757</v>
      </c>
      <c r="C5">
        <v>0</v>
      </c>
      <c r="D5" t="s">
        <v>771</v>
      </c>
      <c r="E5" t="s">
        <v>36</v>
      </c>
      <c r="F5" t="s">
        <v>772</v>
      </c>
      <c r="G5" t="s">
        <v>760</v>
      </c>
      <c r="H5" t="s">
        <v>761</v>
      </c>
      <c r="I5" t="s">
        <v>762</v>
      </c>
      <c r="J5" t="s">
        <v>763</v>
      </c>
      <c r="K5">
        <v>0</v>
      </c>
      <c r="L5">
        <v>0</v>
      </c>
      <c r="M5">
        <v>0</v>
      </c>
      <c r="N5">
        <v>22.54</v>
      </c>
      <c r="O5">
        <v>22.54</v>
      </c>
      <c r="P5">
        <v>22.54</v>
      </c>
      <c r="Q5">
        <v>22.54</v>
      </c>
      <c r="R5">
        <v>22.54</v>
      </c>
      <c r="S5">
        <v>22.54</v>
      </c>
      <c r="T5">
        <v>22.54</v>
      </c>
      <c r="U5">
        <v>22.54</v>
      </c>
      <c r="V5">
        <v>22.54</v>
      </c>
      <c r="W5" s="6" t="s">
        <v>764</v>
      </c>
      <c r="X5" s="6" t="s">
        <v>765</v>
      </c>
      <c r="Y5" s="6" t="s">
        <v>766</v>
      </c>
      <c r="Z5" s="6" t="s">
        <v>767</v>
      </c>
      <c r="AA5" s="6" t="s">
        <v>61</v>
      </c>
      <c r="AB5" s="6" t="s">
        <v>768</v>
      </c>
    </row>
    <row r="6" spans="1:28" x14ac:dyDescent="0.25">
      <c r="A6" t="s">
        <v>756</v>
      </c>
      <c r="B6" t="s">
        <v>757</v>
      </c>
      <c r="C6">
        <v>0</v>
      </c>
      <c r="D6" t="s">
        <v>773</v>
      </c>
      <c r="E6" t="s">
        <v>36</v>
      </c>
      <c r="F6" t="s">
        <v>774</v>
      </c>
      <c r="G6" t="s">
        <v>760</v>
      </c>
      <c r="H6" t="s">
        <v>761</v>
      </c>
      <c r="I6" t="s">
        <v>762</v>
      </c>
      <c r="J6" t="s">
        <v>763</v>
      </c>
      <c r="K6">
        <v>22.54</v>
      </c>
      <c r="L6">
        <v>22.54</v>
      </c>
      <c r="M6">
        <v>22.54</v>
      </c>
      <c r="N6">
        <v>22.54</v>
      </c>
      <c r="O6">
        <v>22.54</v>
      </c>
      <c r="P6">
        <v>22.54</v>
      </c>
      <c r="Q6">
        <v>22.54</v>
      </c>
      <c r="R6">
        <v>22.54</v>
      </c>
      <c r="S6">
        <v>22.54</v>
      </c>
      <c r="T6">
        <v>22.54</v>
      </c>
      <c r="U6">
        <v>22.54</v>
      </c>
      <c r="V6">
        <v>22.54</v>
      </c>
      <c r="W6" s="6" t="s">
        <v>764</v>
      </c>
      <c r="X6" s="6" t="s">
        <v>765</v>
      </c>
      <c r="Y6" s="6" t="s">
        <v>766</v>
      </c>
      <c r="Z6" s="6" t="s">
        <v>767</v>
      </c>
      <c r="AA6" s="6" t="s">
        <v>61</v>
      </c>
      <c r="AB6" s="6" t="s">
        <v>768</v>
      </c>
    </row>
    <row r="7" spans="1:28" x14ac:dyDescent="0.25">
      <c r="A7" t="s">
        <v>756</v>
      </c>
      <c r="B7" t="s">
        <v>757</v>
      </c>
      <c r="C7">
        <v>0</v>
      </c>
      <c r="D7" t="s">
        <v>775</v>
      </c>
      <c r="E7" t="s">
        <v>36</v>
      </c>
      <c r="F7" t="s">
        <v>776</v>
      </c>
      <c r="G7" t="s">
        <v>760</v>
      </c>
      <c r="H7" t="s">
        <v>761</v>
      </c>
      <c r="I7" t="s">
        <v>762</v>
      </c>
      <c r="J7" t="s">
        <v>763</v>
      </c>
      <c r="K7">
        <v>0</v>
      </c>
      <c r="L7">
        <v>0</v>
      </c>
      <c r="M7">
        <v>0</v>
      </c>
      <c r="N7">
        <v>22.54</v>
      </c>
      <c r="O7">
        <v>22.54</v>
      </c>
      <c r="P7">
        <v>22.54</v>
      </c>
      <c r="Q7">
        <v>22.54</v>
      </c>
      <c r="R7">
        <v>22.54</v>
      </c>
      <c r="S7">
        <v>22.54</v>
      </c>
      <c r="T7">
        <v>22.54</v>
      </c>
      <c r="U7">
        <v>22.54</v>
      </c>
      <c r="V7">
        <v>22.54</v>
      </c>
      <c r="W7" s="6" t="s">
        <v>764</v>
      </c>
      <c r="X7" s="6" t="s">
        <v>765</v>
      </c>
      <c r="Y7" s="6" t="s">
        <v>766</v>
      </c>
      <c r="Z7" s="6" t="s">
        <v>767</v>
      </c>
      <c r="AA7" s="6" t="s">
        <v>61</v>
      </c>
      <c r="AB7" s="6" t="s">
        <v>768</v>
      </c>
    </row>
    <row r="8" spans="1:28" x14ac:dyDescent="0.25">
      <c r="A8" t="s">
        <v>756</v>
      </c>
      <c r="B8" t="s">
        <v>757</v>
      </c>
      <c r="C8">
        <v>0</v>
      </c>
      <c r="D8" t="s">
        <v>777</v>
      </c>
      <c r="E8" t="s">
        <v>36</v>
      </c>
      <c r="F8" t="s">
        <v>778</v>
      </c>
      <c r="G8" t="s">
        <v>760</v>
      </c>
      <c r="H8" t="s">
        <v>761</v>
      </c>
      <c r="I8" t="s">
        <v>762</v>
      </c>
      <c r="J8" t="s">
        <v>763</v>
      </c>
      <c r="K8">
        <v>0</v>
      </c>
      <c r="L8">
        <v>0</v>
      </c>
      <c r="M8">
        <v>0</v>
      </c>
      <c r="N8">
        <v>22.54</v>
      </c>
      <c r="O8">
        <v>22.54</v>
      </c>
      <c r="P8">
        <v>22.54</v>
      </c>
      <c r="Q8">
        <v>22.54</v>
      </c>
      <c r="R8">
        <v>22.54</v>
      </c>
      <c r="S8">
        <v>22.54</v>
      </c>
      <c r="T8">
        <v>22.54</v>
      </c>
      <c r="U8">
        <v>22.54</v>
      </c>
      <c r="V8">
        <v>22.54</v>
      </c>
      <c r="W8" s="6" t="s">
        <v>764</v>
      </c>
      <c r="X8" s="6" t="s">
        <v>765</v>
      </c>
      <c r="Y8" s="6" t="s">
        <v>766</v>
      </c>
      <c r="Z8" s="6" t="s">
        <v>767</v>
      </c>
      <c r="AA8" s="6" t="s">
        <v>61</v>
      </c>
      <c r="AB8" s="6" t="s">
        <v>768</v>
      </c>
    </row>
    <row r="9" spans="1:28" x14ac:dyDescent="0.25">
      <c r="A9" t="s">
        <v>756</v>
      </c>
      <c r="B9" t="s">
        <v>757</v>
      </c>
      <c r="C9">
        <v>0</v>
      </c>
      <c r="D9" t="s">
        <v>779</v>
      </c>
      <c r="E9" t="s">
        <v>36</v>
      </c>
      <c r="F9" t="s">
        <v>780</v>
      </c>
      <c r="G9" t="s">
        <v>760</v>
      </c>
      <c r="H9" t="s">
        <v>761</v>
      </c>
      <c r="I9" t="s">
        <v>762</v>
      </c>
      <c r="J9" t="s">
        <v>763</v>
      </c>
      <c r="K9">
        <v>0</v>
      </c>
      <c r="L9">
        <v>0</v>
      </c>
      <c r="M9">
        <v>0</v>
      </c>
      <c r="N9">
        <v>22.54</v>
      </c>
      <c r="O9">
        <v>22.54</v>
      </c>
      <c r="P9">
        <v>22.54</v>
      </c>
      <c r="Q9">
        <v>22.54</v>
      </c>
      <c r="R9">
        <v>22.54</v>
      </c>
      <c r="S9">
        <v>22.54</v>
      </c>
      <c r="T9">
        <v>22.54</v>
      </c>
      <c r="U9">
        <v>22.54</v>
      </c>
      <c r="V9">
        <v>22.54</v>
      </c>
      <c r="W9" s="6" t="s">
        <v>764</v>
      </c>
      <c r="X9" s="6" t="s">
        <v>765</v>
      </c>
      <c r="Y9" s="6" t="s">
        <v>766</v>
      </c>
      <c r="Z9" s="6" t="s">
        <v>767</v>
      </c>
      <c r="AA9" s="6" t="s">
        <v>61</v>
      </c>
      <c r="AB9" s="6" t="s">
        <v>768</v>
      </c>
    </row>
    <row r="10" spans="1:28" x14ac:dyDescent="0.25">
      <c r="A10" t="s">
        <v>756</v>
      </c>
      <c r="B10" t="s">
        <v>757</v>
      </c>
      <c r="C10">
        <v>0</v>
      </c>
      <c r="D10" t="s">
        <v>781</v>
      </c>
      <c r="E10" t="s">
        <v>36</v>
      </c>
      <c r="F10" t="s">
        <v>782</v>
      </c>
      <c r="G10" t="s">
        <v>760</v>
      </c>
      <c r="H10" t="s">
        <v>761</v>
      </c>
      <c r="I10" t="s">
        <v>762</v>
      </c>
      <c r="J10" t="s">
        <v>763</v>
      </c>
      <c r="K10">
        <v>0</v>
      </c>
      <c r="L10">
        <v>0</v>
      </c>
      <c r="M10">
        <v>22.54</v>
      </c>
      <c r="N10">
        <v>22.54</v>
      </c>
      <c r="O10">
        <v>22.54</v>
      </c>
      <c r="P10">
        <v>22.54</v>
      </c>
      <c r="Q10">
        <v>22.54</v>
      </c>
      <c r="R10">
        <v>22.54</v>
      </c>
      <c r="S10">
        <v>22.54</v>
      </c>
      <c r="T10">
        <v>22.54</v>
      </c>
      <c r="U10">
        <v>22.54</v>
      </c>
      <c r="V10">
        <v>0</v>
      </c>
      <c r="W10" s="6" t="s">
        <v>764</v>
      </c>
      <c r="X10" s="6" t="s">
        <v>765</v>
      </c>
      <c r="Y10" s="6" t="s">
        <v>766</v>
      </c>
      <c r="Z10" s="6" t="s">
        <v>767</v>
      </c>
      <c r="AA10" s="6" t="s">
        <v>61</v>
      </c>
      <c r="AB10" s="6" t="s">
        <v>768</v>
      </c>
    </row>
    <row r="11" spans="1:28" x14ac:dyDescent="0.25">
      <c r="A11" t="s">
        <v>756</v>
      </c>
      <c r="B11" t="s">
        <v>757</v>
      </c>
      <c r="C11">
        <v>0</v>
      </c>
      <c r="D11" t="s">
        <v>783</v>
      </c>
      <c r="E11" t="s">
        <v>36</v>
      </c>
      <c r="F11" t="s">
        <v>784</v>
      </c>
      <c r="G11" t="s">
        <v>760</v>
      </c>
      <c r="H11" t="s">
        <v>761</v>
      </c>
      <c r="I11" t="s">
        <v>762</v>
      </c>
      <c r="J11" t="s">
        <v>763</v>
      </c>
      <c r="K11">
        <v>0</v>
      </c>
      <c r="L11">
        <v>0</v>
      </c>
      <c r="M11">
        <v>0</v>
      </c>
      <c r="N11">
        <v>22.54</v>
      </c>
      <c r="O11">
        <v>22.54</v>
      </c>
      <c r="P11">
        <v>22.54</v>
      </c>
      <c r="Q11">
        <v>22.54</v>
      </c>
      <c r="R11">
        <v>22.54</v>
      </c>
      <c r="S11">
        <v>22.54</v>
      </c>
      <c r="T11">
        <v>22.54</v>
      </c>
      <c r="U11">
        <v>22.54</v>
      </c>
      <c r="V11">
        <v>22.54</v>
      </c>
      <c r="W11" s="6" t="s">
        <v>764</v>
      </c>
      <c r="X11" s="6" t="s">
        <v>765</v>
      </c>
      <c r="Y11" s="6" t="s">
        <v>766</v>
      </c>
      <c r="Z11" s="6" t="s">
        <v>767</v>
      </c>
      <c r="AA11" s="6" t="s">
        <v>61</v>
      </c>
      <c r="AB11" s="6" t="s">
        <v>768</v>
      </c>
    </row>
    <row r="12" spans="1:28" x14ac:dyDescent="0.25">
      <c r="A12" t="s">
        <v>756</v>
      </c>
      <c r="B12" t="s">
        <v>757</v>
      </c>
      <c r="C12">
        <v>0</v>
      </c>
      <c r="D12" t="s">
        <v>785</v>
      </c>
      <c r="E12" t="s">
        <v>36</v>
      </c>
      <c r="F12" t="s">
        <v>786</v>
      </c>
      <c r="G12" t="s">
        <v>760</v>
      </c>
      <c r="H12" t="s">
        <v>761</v>
      </c>
      <c r="I12" t="s">
        <v>762</v>
      </c>
      <c r="J12" t="s">
        <v>763</v>
      </c>
      <c r="K12">
        <v>0</v>
      </c>
      <c r="L12">
        <v>0</v>
      </c>
      <c r="M12">
        <v>0</v>
      </c>
      <c r="N12">
        <v>22.54</v>
      </c>
      <c r="O12">
        <v>22.54</v>
      </c>
      <c r="P12">
        <v>22.54</v>
      </c>
      <c r="Q12">
        <v>22.54</v>
      </c>
      <c r="R12">
        <v>22.54</v>
      </c>
      <c r="S12">
        <v>22.54</v>
      </c>
      <c r="T12">
        <v>22.54</v>
      </c>
      <c r="U12">
        <v>22.54</v>
      </c>
      <c r="V12">
        <v>22.54</v>
      </c>
      <c r="W12" s="6" t="s">
        <v>764</v>
      </c>
      <c r="X12" s="6" t="s">
        <v>765</v>
      </c>
      <c r="Y12" s="6" t="s">
        <v>766</v>
      </c>
      <c r="Z12" s="6" t="s">
        <v>767</v>
      </c>
      <c r="AA12" s="6" t="s">
        <v>61</v>
      </c>
      <c r="AB12" s="6" t="s">
        <v>768</v>
      </c>
    </row>
    <row r="13" spans="1:28" x14ac:dyDescent="0.25">
      <c r="A13" t="s">
        <v>756</v>
      </c>
      <c r="B13" t="s">
        <v>757</v>
      </c>
      <c r="C13">
        <v>0</v>
      </c>
      <c r="D13" t="s">
        <v>787</v>
      </c>
      <c r="E13" t="s">
        <v>36</v>
      </c>
      <c r="F13" t="s">
        <v>788</v>
      </c>
      <c r="G13" t="s">
        <v>760</v>
      </c>
      <c r="H13" t="s">
        <v>761</v>
      </c>
      <c r="I13" t="s">
        <v>762</v>
      </c>
      <c r="J13" t="s">
        <v>763</v>
      </c>
      <c r="K13">
        <v>0</v>
      </c>
      <c r="L13">
        <v>0</v>
      </c>
      <c r="M13">
        <v>0</v>
      </c>
      <c r="N13">
        <v>22.54</v>
      </c>
      <c r="O13">
        <v>22.54</v>
      </c>
      <c r="P13">
        <v>22.54</v>
      </c>
      <c r="Q13">
        <v>22.54</v>
      </c>
      <c r="R13">
        <v>22.54</v>
      </c>
      <c r="S13">
        <v>22.54</v>
      </c>
      <c r="T13">
        <v>22.54</v>
      </c>
      <c r="U13">
        <v>22.54</v>
      </c>
      <c r="V13">
        <v>22.54</v>
      </c>
      <c r="W13" s="6" t="s">
        <v>764</v>
      </c>
      <c r="X13" s="6" t="s">
        <v>765</v>
      </c>
      <c r="Y13" s="6" t="s">
        <v>766</v>
      </c>
      <c r="Z13" s="6" t="s">
        <v>767</v>
      </c>
      <c r="AA13" s="6" t="s">
        <v>61</v>
      </c>
      <c r="AB13" s="6" t="s">
        <v>768</v>
      </c>
    </row>
    <row r="14" spans="1:28" x14ac:dyDescent="0.25">
      <c r="A14" t="s">
        <v>756</v>
      </c>
      <c r="B14" t="s">
        <v>757</v>
      </c>
      <c r="C14">
        <v>0</v>
      </c>
      <c r="D14" t="s">
        <v>789</v>
      </c>
      <c r="E14" t="s">
        <v>36</v>
      </c>
      <c r="F14" t="s">
        <v>790</v>
      </c>
      <c r="G14" t="s">
        <v>760</v>
      </c>
      <c r="H14" t="s">
        <v>761</v>
      </c>
      <c r="I14" t="s">
        <v>762</v>
      </c>
      <c r="J14" t="s">
        <v>763</v>
      </c>
      <c r="K14">
        <v>0</v>
      </c>
      <c r="L14">
        <v>22.54</v>
      </c>
      <c r="M14">
        <v>22.54</v>
      </c>
      <c r="N14">
        <v>22.54</v>
      </c>
      <c r="O14">
        <v>22.54</v>
      </c>
      <c r="P14">
        <v>22.54</v>
      </c>
      <c r="Q14">
        <v>22.54</v>
      </c>
      <c r="R14">
        <v>22.54</v>
      </c>
      <c r="S14">
        <v>22.54</v>
      </c>
      <c r="T14">
        <v>22.54</v>
      </c>
      <c r="U14">
        <v>22.54</v>
      </c>
      <c r="V14">
        <v>22.54</v>
      </c>
      <c r="W14" s="6" t="s">
        <v>764</v>
      </c>
      <c r="X14" s="6" t="s">
        <v>765</v>
      </c>
      <c r="Y14" s="6" t="s">
        <v>766</v>
      </c>
      <c r="Z14" s="6" t="s">
        <v>767</v>
      </c>
      <c r="AA14" s="6" t="s">
        <v>61</v>
      </c>
      <c r="AB14" s="6" t="s">
        <v>768</v>
      </c>
    </row>
    <row r="15" spans="1:28" x14ac:dyDescent="0.25">
      <c r="A15" t="s">
        <v>756</v>
      </c>
      <c r="B15" t="s">
        <v>757</v>
      </c>
      <c r="C15">
        <v>0</v>
      </c>
      <c r="D15" t="s">
        <v>791</v>
      </c>
      <c r="E15" t="s">
        <v>36</v>
      </c>
      <c r="F15" t="s">
        <v>792</v>
      </c>
      <c r="G15" t="s">
        <v>760</v>
      </c>
      <c r="H15" t="s">
        <v>761</v>
      </c>
      <c r="I15" t="s">
        <v>762</v>
      </c>
      <c r="J15" t="s">
        <v>763</v>
      </c>
      <c r="K15">
        <v>0</v>
      </c>
      <c r="L15">
        <v>0</v>
      </c>
      <c r="M15">
        <v>0</v>
      </c>
      <c r="N15">
        <v>22.54</v>
      </c>
      <c r="O15">
        <v>22.54</v>
      </c>
      <c r="P15">
        <v>22.54</v>
      </c>
      <c r="Q15">
        <v>22.54</v>
      </c>
      <c r="R15">
        <v>22.54</v>
      </c>
      <c r="S15">
        <v>22.54</v>
      </c>
      <c r="T15">
        <v>22.54</v>
      </c>
      <c r="U15">
        <v>22.54</v>
      </c>
      <c r="V15">
        <v>22.54</v>
      </c>
      <c r="W15" s="6" t="s">
        <v>764</v>
      </c>
      <c r="X15" s="6" t="s">
        <v>765</v>
      </c>
      <c r="Y15" s="6" t="s">
        <v>766</v>
      </c>
      <c r="Z15" s="6" t="s">
        <v>767</v>
      </c>
      <c r="AA15" s="6" t="s">
        <v>61</v>
      </c>
      <c r="AB15" s="6" t="s">
        <v>768</v>
      </c>
    </row>
    <row r="16" spans="1:28" x14ac:dyDescent="0.25">
      <c r="A16" t="s">
        <v>756</v>
      </c>
      <c r="B16" t="s">
        <v>757</v>
      </c>
      <c r="C16">
        <v>0</v>
      </c>
      <c r="D16" t="s">
        <v>793</v>
      </c>
      <c r="E16" t="s">
        <v>36</v>
      </c>
      <c r="F16" t="s">
        <v>794</v>
      </c>
      <c r="G16" t="s">
        <v>760</v>
      </c>
      <c r="H16" t="s">
        <v>761</v>
      </c>
      <c r="I16" t="s">
        <v>762</v>
      </c>
      <c r="J16" t="s">
        <v>763</v>
      </c>
      <c r="K16">
        <v>0</v>
      </c>
      <c r="L16">
        <v>0</v>
      </c>
      <c r="M16">
        <v>22.54</v>
      </c>
      <c r="N16">
        <v>22.54</v>
      </c>
      <c r="O16">
        <v>22.54</v>
      </c>
      <c r="P16">
        <v>22.54</v>
      </c>
      <c r="Q16">
        <v>22.54</v>
      </c>
      <c r="R16">
        <v>22.54</v>
      </c>
      <c r="S16">
        <v>22.54</v>
      </c>
      <c r="T16">
        <v>22.54</v>
      </c>
      <c r="U16">
        <v>22.54</v>
      </c>
      <c r="V16">
        <v>22.54</v>
      </c>
      <c r="W16" s="6" t="s">
        <v>764</v>
      </c>
      <c r="X16" s="6" t="s">
        <v>765</v>
      </c>
      <c r="Y16" s="6" t="s">
        <v>766</v>
      </c>
      <c r="Z16" s="6" t="s">
        <v>767</v>
      </c>
      <c r="AA16" s="6" t="s">
        <v>61</v>
      </c>
      <c r="AB16" s="6" t="s">
        <v>768</v>
      </c>
    </row>
    <row r="17" spans="1:28" x14ac:dyDescent="0.25">
      <c r="A17" t="s">
        <v>756</v>
      </c>
      <c r="B17" t="s">
        <v>757</v>
      </c>
      <c r="C17">
        <v>0</v>
      </c>
      <c r="D17" t="s">
        <v>795</v>
      </c>
      <c r="E17" t="s">
        <v>36</v>
      </c>
      <c r="F17" t="s">
        <v>796</v>
      </c>
      <c r="G17" t="s">
        <v>760</v>
      </c>
      <c r="H17" t="s">
        <v>761</v>
      </c>
      <c r="I17" t="s">
        <v>762</v>
      </c>
      <c r="J17" t="s">
        <v>763</v>
      </c>
      <c r="K17">
        <v>22.54</v>
      </c>
      <c r="L17">
        <v>22.54</v>
      </c>
      <c r="M17">
        <v>22.54</v>
      </c>
      <c r="N17">
        <v>22.54</v>
      </c>
      <c r="O17">
        <v>22.54</v>
      </c>
      <c r="P17">
        <v>22.54</v>
      </c>
      <c r="Q17">
        <v>22.54</v>
      </c>
      <c r="R17">
        <v>22.54</v>
      </c>
      <c r="S17">
        <v>22.54</v>
      </c>
      <c r="T17">
        <v>22.54</v>
      </c>
      <c r="U17">
        <v>22.54</v>
      </c>
      <c r="V17">
        <v>22.54</v>
      </c>
      <c r="W17" s="6" t="s">
        <v>764</v>
      </c>
      <c r="X17" s="6" t="s">
        <v>765</v>
      </c>
      <c r="Y17" s="6" t="s">
        <v>766</v>
      </c>
      <c r="Z17" s="6" t="s">
        <v>767</v>
      </c>
      <c r="AA17" s="6" t="s">
        <v>61</v>
      </c>
      <c r="AB17" s="6" t="s">
        <v>768</v>
      </c>
    </row>
    <row r="18" spans="1:28" x14ac:dyDescent="0.25">
      <c r="A18" t="s">
        <v>756</v>
      </c>
      <c r="B18" t="s">
        <v>757</v>
      </c>
      <c r="C18">
        <v>0</v>
      </c>
      <c r="D18" t="s">
        <v>797</v>
      </c>
      <c r="E18" t="s">
        <v>36</v>
      </c>
      <c r="F18" t="s">
        <v>798</v>
      </c>
      <c r="G18" t="s">
        <v>760</v>
      </c>
      <c r="H18" t="s">
        <v>761</v>
      </c>
      <c r="I18" t="s">
        <v>762</v>
      </c>
      <c r="J18" t="s">
        <v>763</v>
      </c>
      <c r="K18">
        <v>22.54</v>
      </c>
      <c r="L18">
        <v>22.54</v>
      </c>
      <c r="M18">
        <v>22.54</v>
      </c>
      <c r="N18">
        <v>22.54</v>
      </c>
      <c r="O18">
        <v>22.54</v>
      </c>
      <c r="P18">
        <v>22.54</v>
      </c>
      <c r="Q18">
        <v>22.54</v>
      </c>
      <c r="R18">
        <v>22.54</v>
      </c>
      <c r="S18">
        <v>22.54</v>
      </c>
      <c r="T18">
        <v>22.54</v>
      </c>
      <c r="U18">
        <v>22.54</v>
      </c>
      <c r="V18">
        <v>22.54</v>
      </c>
      <c r="W18" s="6" t="s">
        <v>764</v>
      </c>
      <c r="X18" s="6" t="s">
        <v>765</v>
      </c>
      <c r="Y18" s="6" t="s">
        <v>766</v>
      </c>
      <c r="Z18" s="6" t="s">
        <v>767</v>
      </c>
      <c r="AA18" s="6" t="s">
        <v>61</v>
      </c>
      <c r="AB18" s="6" t="s">
        <v>768</v>
      </c>
    </row>
    <row r="19" spans="1:28" x14ac:dyDescent="0.25">
      <c r="A19" t="s">
        <v>756</v>
      </c>
      <c r="B19" t="s">
        <v>757</v>
      </c>
      <c r="C19">
        <v>0</v>
      </c>
      <c r="D19" t="s">
        <v>799</v>
      </c>
      <c r="E19" t="s">
        <v>36</v>
      </c>
      <c r="F19" t="s">
        <v>800</v>
      </c>
      <c r="G19" t="s">
        <v>760</v>
      </c>
      <c r="H19" t="s">
        <v>761</v>
      </c>
      <c r="I19" t="s">
        <v>762</v>
      </c>
      <c r="J19" t="s">
        <v>763</v>
      </c>
      <c r="K19">
        <v>0</v>
      </c>
      <c r="L19">
        <v>0</v>
      </c>
      <c r="M19">
        <v>0</v>
      </c>
      <c r="N19">
        <v>22.54</v>
      </c>
      <c r="O19">
        <v>22.54</v>
      </c>
      <c r="P19">
        <v>22.54</v>
      </c>
      <c r="Q19">
        <v>22.54</v>
      </c>
      <c r="R19">
        <v>22.54</v>
      </c>
      <c r="S19">
        <v>22.54</v>
      </c>
      <c r="T19">
        <v>22.54</v>
      </c>
      <c r="U19">
        <v>22.54</v>
      </c>
      <c r="V19">
        <v>22.54</v>
      </c>
      <c r="W19" s="6" t="s">
        <v>764</v>
      </c>
      <c r="X19" s="6" t="s">
        <v>765</v>
      </c>
      <c r="Y19" s="6" t="s">
        <v>766</v>
      </c>
      <c r="Z19" s="6" t="s">
        <v>767</v>
      </c>
      <c r="AA19" s="6" t="s">
        <v>61</v>
      </c>
      <c r="AB19" s="6" t="s">
        <v>768</v>
      </c>
    </row>
    <row r="20" spans="1:28" x14ac:dyDescent="0.25">
      <c r="A20" t="s">
        <v>756</v>
      </c>
      <c r="B20" t="s">
        <v>757</v>
      </c>
      <c r="C20">
        <v>0</v>
      </c>
      <c r="D20" t="s">
        <v>801</v>
      </c>
      <c r="E20" t="s">
        <v>36</v>
      </c>
      <c r="F20" t="s">
        <v>802</v>
      </c>
      <c r="G20" t="s">
        <v>760</v>
      </c>
      <c r="H20" t="s">
        <v>761</v>
      </c>
      <c r="I20" t="s">
        <v>762</v>
      </c>
      <c r="J20" t="s">
        <v>763</v>
      </c>
      <c r="K20">
        <v>0</v>
      </c>
      <c r="L20">
        <v>0</v>
      </c>
      <c r="M20">
        <v>22.54</v>
      </c>
      <c r="N20">
        <v>22.54</v>
      </c>
      <c r="O20">
        <v>22.54</v>
      </c>
      <c r="P20">
        <v>22.54</v>
      </c>
      <c r="Q20">
        <v>22.54</v>
      </c>
      <c r="R20">
        <v>22.54</v>
      </c>
      <c r="S20">
        <v>22.54</v>
      </c>
      <c r="T20">
        <v>22.54</v>
      </c>
      <c r="U20">
        <v>22.54</v>
      </c>
      <c r="V20">
        <v>22.54</v>
      </c>
      <c r="W20" s="6" t="s">
        <v>764</v>
      </c>
      <c r="X20" s="6" t="s">
        <v>765</v>
      </c>
      <c r="Y20" s="6" t="s">
        <v>766</v>
      </c>
      <c r="Z20" s="6" t="s">
        <v>767</v>
      </c>
      <c r="AA20" s="6" t="s">
        <v>61</v>
      </c>
      <c r="AB20" s="6" t="s">
        <v>768</v>
      </c>
    </row>
    <row r="21" spans="1:28" x14ac:dyDescent="0.25">
      <c r="A21" t="s">
        <v>756</v>
      </c>
      <c r="B21" t="s">
        <v>757</v>
      </c>
      <c r="C21">
        <v>0</v>
      </c>
      <c r="D21" t="s">
        <v>803</v>
      </c>
      <c r="E21" t="s">
        <v>36</v>
      </c>
      <c r="F21" t="s">
        <v>804</v>
      </c>
      <c r="G21" t="s">
        <v>760</v>
      </c>
      <c r="H21" t="s">
        <v>761</v>
      </c>
      <c r="I21" t="s">
        <v>762</v>
      </c>
      <c r="J21" t="s">
        <v>763</v>
      </c>
      <c r="K21">
        <v>0</v>
      </c>
      <c r="L21">
        <v>0</v>
      </c>
      <c r="M21">
        <v>0</v>
      </c>
      <c r="N21">
        <v>22.54</v>
      </c>
      <c r="O21">
        <v>22.54</v>
      </c>
      <c r="P21">
        <v>22.54</v>
      </c>
      <c r="Q21">
        <v>22.54</v>
      </c>
      <c r="R21">
        <v>22.54</v>
      </c>
      <c r="S21">
        <v>22.54</v>
      </c>
      <c r="T21">
        <v>22.54</v>
      </c>
      <c r="U21">
        <v>22.54</v>
      </c>
      <c r="V21">
        <v>22.54</v>
      </c>
      <c r="W21" s="6" t="s">
        <v>764</v>
      </c>
      <c r="X21" s="6" t="s">
        <v>765</v>
      </c>
      <c r="Y21" s="6" t="s">
        <v>766</v>
      </c>
      <c r="Z21" s="6" t="s">
        <v>767</v>
      </c>
      <c r="AA21" s="6" t="s">
        <v>61</v>
      </c>
      <c r="AB21" s="6" t="s">
        <v>768</v>
      </c>
    </row>
    <row r="22" spans="1:28" x14ac:dyDescent="0.25">
      <c r="A22" t="s">
        <v>756</v>
      </c>
      <c r="B22" t="s">
        <v>757</v>
      </c>
      <c r="C22">
        <v>0</v>
      </c>
      <c r="D22" t="s">
        <v>805</v>
      </c>
      <c r="E22" t="s">
        <v>806</v>
      </c>
      <c r="F22" t="s">
        <v>807</v>
      </c>
      <c r="G22" t="s">
        <v>760</v>
      </c>
      <c r="H22" t="s">
        <v>761</v>
      </c>
      <c r="I22" t="s">
        <v>762</v>
      </c>
      <c r="J22" t="s">
        <v>763</v>
      </c>
      <c r="K22">
        <v>90.41</v>
      </c>
      <c r="L22">
        <v>90.41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 s="6" t="s">
        <v>764</v>
      </c>
      <c r="X22" s="6" t="s">
        <v>765</v>
      </c>
      <c r="Y22" s="6" t="s">
        <v>766</v>
      </c>
      <c r="Z22" s="6" t="s">
        <v>767</v>
      </c>
      <c r="AA22" s="6" t="s">
        <v>61</v>
      </c>
      <c r="AB22" s="6" t="s">
        <v>768</v>
      </c>
    </row>
    <row r="23" spans="1:28" x14ac:dyDescent="0.25">
      <c r="A23" t="s">
        <v>756</v>
      </c>
      <c r="B23" t="s">
        <v>757</v>
      </c>
      <c r="C23">
        <v>0</v>
      </c>
      <c r="D23" t="s">
        <v>808</v>
      </c>
      <c r="E23" t="s">
        <v>806</v>
      </c>
      <c r="F23" t="s">
        <v>809</v>
      </c>
      <c r="G23" t="s">
        <v>760</v>
      </c>
      <c r="H23" t="s">
        <v>761</v>
      </c>
      <c r="I23" t="s">
        <v>762</v>
      </c>
      <c r="J23" t="s">
        <v>763</v>
      </c>
      <c r="K23">
        <v>0</v>
      </c>
      <c r="L23">
        <v>0</v>
      </c>
      <c r="M23">
        <v>0</v>
      </c>
      <c r="N23">
        <v>0</v>
      </c>
      <c r="O23">
        <v>90.41</v>
      </c>
      <c r="P23">
        <v>90.41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s="6" t="s">
        <v>764</v>
      </c>
      <c r="X23" s="6" t="s">
        <v>765</v>
      </c>
      <c r="Y23" s="6" t="s">
        <v>766</v>
      </c>
      <c r="Z23" s="6" t="s">
        <v>767</v>
      </c>
      <c r="AA23" s="6" t="s">
        <v>61</v>
      </c>
      <c r="AB23" s="6" t="s">
        <v>768</v>
      </c>
    </row>
    <row r="24" spans="1:28" x14ac:dyDescent="0.25">
      <c r="A24" t="s">
        <v>756</v>
      </c>
      <c r="B24" t="s">
        <v>757</v>
      </c>
      <c r="C24">
        <v>0</v>
      </c>
      <c r="D24" t="s">
        <v>810</v>
      </c>
      <c r="E24" t="s">
        <v>806</v>
      </c>
      <c r="F24" t="s">
        <v>811</v>
      </c>
      <c r="G24" t="s">
        <v>760</v>
      </c>
      <c r="H24" t="s">
        <v>761</v>
      </c>
      <c r="I24" t="s">
        <v>762</v>
      </c>
      <c r="J24" t="s">
        <v>763</v>
      </c>
      <c r="K24">
        <v>90.41</v>
      </c>
      <c r="L24">
        <v>90.41</v>
      </c>
      <c r="M24">
        <v>90.41</v>
      </c>
      <c r="N24">
        <v>90.41</v>
      </c>
      <c r="O24">
        <v>90.41</v>
      </c>
      <c r="P24">
        <v>90.41</v>
      </c>
      <c r="Q24">
        <v>90.41</v>
      </c>
      <c r="R24">
        <v>90.41</v>
      </c>
      <c r="S24">
        <v>90.41</v>
      </c>
      <c r="T24">
        <v>90.41</v>
      </c>
      <c r="U24">
        <v>90.41</v>
      </c>
      <c r="V24">
        <v>90.41</v>
      </c>
      <c r="W24" s="6" t="s">
        <v>764</v>
      </c>
      <c r="X24" s="6" t="s">
        <v>765</v>
      </c>
      <c r="Y24" s="6" t="s">
        <v>766</v>
      </c>
      <c r="Z24" s="6" t="s">
        <v>767</v>
      </c>
      <c r="AA24" s="6" t="s">
        <v>61</v>
      </c>
      <c r="AB24" s="6" t="s">
        <v>768</v>
      </c>
    </row>
    <row r="25" spans="1:28" x14ac:dyDescent="0.25">
      <c r="A25" t="s">
        <v>756</v>
      </c>
      <c r="B25" t="s">
        <v>757</v>
      </c>
      <c r="C25">
        <v>0</v>
      </c>
      <c r="D25" t="s">
        <v>812</v>
      </c>
      <c r="E25" t="s">
        <v>806</v>
      </c>
      <c r="F25" t="s">
        <v>813</v>
      </c>
      <c r="G25" t="s">
        <v>760</v>
      </c>
      <c r="H25" t="s">
        <v>761</v>
      </c>
      <c r="I25" t="s">
        <v>762</v>
      </c>
      <c r="J25" t="s">
        <v>763</v>
      </c>
      <c r="K25">
        <v>90.41</v>
      </c>
      <c r="L25">
        <v>90.41</v>
      </c>
      <c r="M25">
        <v>90.41</v>
      </c>
      <c r="N25">
        <v>90.41</v>
      </c>
      <c r="O25">
        <v>90.41</v>
      </c>
      <c r="P25">
        <v>90.41</v>
      </c>
      <c r="Q25">
        <v>90.41</v>
      </c>
      <c r="R25">
        <v>90.41</v>
      </c>
      <c r="S25">
        <v>90.41</v>
      </c>
      <c r="T25">
        <v>90.41</v>
      </c>
      <c r="U25">
        <v>90.41</v>
      </c>
      <c r="V25">
        <v>90.41</v>
      </c>
      <c r="W25" s="6" t="s">
        <v>764</v>
      </c>
      <c r="X25" s="6" t="s">
        <v>765</v>
      </c>
      <c r="Y25" s="6" t="s">
        <v>766</v>
      </c>
      <c r="Z25" s="6" t="s">
        <v>767</v>
      </c>
      <c r="AA25" s="6" t="s">
        <v>61</v>
      </c>
      <c r="AB25" s="6" t="s">
        <v>768</v>
      </c>
    </row>
    <row r="26" spans="1:28" x14ac:dyDescent="0.25">
      <c r="A26" t="s">
        <v>756</v>
      </c>
      <c r="B26" t="s">
        <v>757</v>
      </c>
      <c r="C26">
        <v>0</v>
      </c>
      <c r="D26" t="s">
        <v>814</v>
      </c>
      <c r="E26" t="s">
        <v>806</v>
      </c>
      <c r="F26" t="s">
        <v>815</v>
      </c>
      <c r="G26" t="s">
        <v>760</v>
      </c>
      <c r="H26" t="s">
        <v>761</v>
      </c>
      <c r="I26" t="s">
        <v>762</v>
      </c>
      <c r="J26" t="s">
        <v>763</v>
      </c>
      <c r="K26">
        <v>90.41</v>
      </c>
      <c r="L26">
        <v>90.41</v>
      </c>
      <c r="M26">
        <v>90.41</v>
      </c>
      <c r="N26">
        <v>90.41</v>
      </c>
      <c r="O26">
        <v>90.41</v>
      </c>
      <c r="P26">
        <v>90.41</v>
      </c>
      <c r="Q26">
        <v>90.41</v>
      </c>
      <c r="R26">
        <v>90.41</v>
      </c>
      <c r="S26">
        <v>90.41</v>
      </c>
      <c r="T26">
        <v>90.41</v>
      </c>
      <c r="U26">
        <v>90.41</v>
      </c>
      <c r="V26">
        <v>90.41</v>
      </c>
      <c r="W26" s="6" t="s">
        <v>764</v>
      </c>
      <c r="X26" s="6" t="s">
        <v>765</v>
      </c>
      <c r="Y26" s="6" t="s">
        <v>766</v>
      </c>
      <c r="Z26" s="6" t="s">
        <v>767</v>
      </c>
      <c r="AA26" s="6" t="s">
        <v>61</v>
      </c>
      <c r="AB26" s="6" t="s">
        <v>768</v>
      </c>
    </row>
    <row r="27" spans="1:28" x14ac:dyDescent="0.25">
      <c r="A27" t="s">
        <v>756</v>
      </c>
      <c r="B27" t="s">
        <v>757</v>
      </c>
      <c r="C27">
        <v>0</v>
      </c>
      <c r="D27" t="s">
        <v>816</v>
      </c>
      <c r="E27" t="s">
        <v>806</v>
      </c>
      <c r="F27" t="s">
        <v>817</v>
      </c>
      <c r="G27" t="s">
        <v>760</v>
      </c>
      <c r="H27" t="s">
        <v>761</v>
      </c>
      <c r="I27" t="s">
        <v>762</v>
      </c>
      <c r="J27" t="s">
        <v>763</v>
      </c>
      <c r="K27">
        <v>90.41</v>
      </c>
      <c r="L27">
        <v>90.41</v>
      </c>
      <c r="M27">
        <v>90.41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 s="6" t="s">
        <v>764</v>
      </c>
      <c r="X27" s="6" t="s">
        <v>765</v>
      </c>
      <c r="Y27" s="6" t="s">
        <v>766</v>
      </c>
      <c r="Z27" s="6" t="s">
        <v>767</v>
      </c>
      <c r="AA27" s="6" t="s">
        <v>61</v>
      </c>
      <c r="AB27" s="6" t="s">
        <v>768</v>
      </c>
    </row>
    <row r="28" spans="1:28" x14ac:dyDescent="0.25">
      <c r="A28" t="s">
        <v>756</v>
      </c>
      <c r="B28" t="s">
        <v>757</v>
      </c>
      <c r="C28">
        <v>0</v>
      </c>
      <c r="D28" t="s">
        <v>818</v>
      </c>
      <c r="E28" t="s">
        <v>806</v>
      </c>
      <c r="F28" t="s">
        <v>819</v>
      </c>
      <c r="G28" t="s">
        <v>760</v>
      </c>
      <c r="H28" t="s">
        <v>761</v>
      </c>
      <c r="I28" t="s">
        <v>762</v>
      </c>
      <c r="J28" t="s">
        <v>763</v>
      </c>
      <c r="K28">
        <v>90.41</v>
      </c>
      <c r="L28">
        <v>90.41</v>
      </c>
      <c r="M28">
        <v>90.41</v>
      </c>
      <c r="N28">
        <v>90.41</v>
      </c>
      <c r="O28">
        <v>90.41</v>
      </c>
      <c r="P28">
        <v>90.41</v>
      </c>
      <c r="Q28">
        <v>90.41</v>
      </c>
      <c r="R28">
        <v>90.41</v>
      </c>
      <c r="S28">
        <v>90.41</v>
      </c>
      <c r="T28">
        <v>90.41</v>
      </c>
      <c r="U28">
        <v>90.41</v>
      </c>
      <c r="V28">
        <v>90.41</v>
      </c>
      <c r="W28" s="6" t="s">
        <v>764</v>
      </c>
      <c r="X28" s="6" t="s">
        <v>765</v>
      </c>
      <c r="Y28" s="6" t="s">
        <v>766</v>
      </c>
      <c r="Z28" s="6" t="s">
        <v>767</v>
      </c>
      <c r="AA28" s="6" t="s">
        <v>61</v>
      </c>
      <c r="AB28" s="6" t="s">
        <v>768</v>
      </c>
    </row>
    <row r="29" spans="1:28" x14ac:dyDescent="0.25">
      <c r="A29" t="s">
        <v>756</v>
      </c>
      <c r="B29" t="s">
        <v>757</v>
      </c>
      <c r="C29">
        <v>0</v>
      </c>
      <c r="D29" t="s">
        <v>820</v>
      </c>
      <c r="E29" t="s">
        <v>806</v>
      </c>
      <c r="F29" t="s">
        <v>821</v>
      </c>
      <c r="G29" t="s">
        <v>760</v>
      </c>
      <c r="H29" t="s">
        <v>761</v>
      </c>
      <c r="I29" t="s">
        <v>762</v>
      </c>
      <c r="J29" t="s">
        <v>763</v>
      </c>
      <c r="K29">
        <v>90.41</v>
      </c>
      <c r="L29">
        <v>90.41</v>
      </c>
      <c r="M29">
        <v>90.41</v>
      </c>
      <c r="N29">
        <v>90.41</v>
      </c>
      <c r="O29">
        <v>90.41</v>
      </c>
      <c r="P29">
        <v>90.41</v>
      </c>
      <c r="Q29">
        <v>90.41</v>
      </c>
      <c r="R29">
        <v>90.41</v>
      </c>
      <c r="S29">
        <v>90.41</v>
      </c>
      <c r="T29">
        <v>90.41</v>
      </c>
      <c r="U29">
        <v>90.41</v>
      </c>
      <c r="V29">
        <v>90.41</v>
      </c>
      <c r="W29" s="6" t="s">
        <v>764</v>
      </c>
      <c r="X29" s="6" t="s">
        <v>765</v>
      </c>
      <c r="Y29" s="6" t="s">
        <v>766</v>
      </c>
      <c r="Z29" s="6" t="s">
        <v>767</v>
      </c>
      <c r="AA29" s="6" t="s">
        <v>61</v>
      </c>
      <c r="AB29" s="6" t="s">
        <v>768</v>
      </c>
    </row>
    <row r="30" spans="1:28" x14ac:dyDescent="0.25">
      <c r="A30" t="s">
        <v>756</v>
      </c>
      <c r="B30" t="s">
        <v>757</v>
      </c>
      <c r="C30">
        <v>0</v>
      </c>
      <c r="D30" t="s">
        <v>822</v>
      </c>
      <c r="E30" t="s">
        <v>806</v>
      </c>
      <c r="F30" t="s">
        <v>823</v>
      </c>
      <c r="G30" t="s">
        <v>760</v>
      </c>
      <c r="H30" t="s">
        <v>761</v>
      </c>
      <c r="I30" t="s">
        <v>762</v>
      </c>
      <c r="J30" t="s">
        <v>763</v>
      </c>
      <c r="K30">
        <v>90.41</v>
      </c>
      <c r="L30">
        <v>90.41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 s="6" t="s">
        <v>764</v>
      </c>
      <c r="X30" s="6" t="s">
        <v>765</v>
      </c>
      <c r="Y30" s="6" t="s">
        <v>766</v>
      </c>
      <c r="Z30" s="6" t="s">
        <v>767</v>
      </c>
      <c r="AA30" s="6" t="s">
        <v>61</v>
      </c>
      <c r="AB30" s="6" t="s">
        <v>768</v>
      </c>
    </row>
    <row r="31" spans="1:28" x14ac:dyDescent="0.25">
      <c r="A31" t="s">
        <v>756</v>
      </c>
      <c r="B31" t="s">
        <v>757</v>
      </c>
      <c r="C31">
        <v>0</v>
      </c>
      <c r="D31" t="s">
        <v>824</v>
      </c>
      <c r="E31" t="s">
        <v>806</v>
      </c>
      <c r="F31" t="s">
        <v>825</v>
      </c>
      <c r="G31" t="s">
        <v>760</v>
      </c>
      <c r="H31" t="s">
        <v>761</v>
      </c>
      <c r="I31" t="s">
        <v>762</v>
      </c>
      <c r="J31" t="s">
        <v>763</v>
      </c>
      <c r="K31">
        <v>90.41</v>
      </c>
      <c r="L31">
        <v>90.41</v>
      </c>
      <c r="M31">
        <v>90.41</v>
      </c>
      <c r="N31">
        <v>90.41</v>
      </c>
      <c r="O31">
        <v>90.41</v>
      </c>
      <c r="P31">
        <v>90.41</v>
      </c>
      <c r="Q31">
        <v>90.41</v>
      </c>
      <c r="R31">
        <v>90.41</v>
      </c>
      <c r="S31">
        <v>90.41</v>
      </c>
      <c r="T31">
        <v>90.41</v>
      </c>
      <c r="U31">
        <v>90.41</v>
      </c>
      <c r="V31">
        <v>90.41</v>
      </c>
      <c r="W31" s="6" t="s">
        <v>764</v>
      </c>
      <c r="X31" s="6" t="s">
        <v>765</v>
      </c>
      <c r="Y31" s="6" t="s">
        <v>766</v>
      </c>
      <c r="Z31" s="6" t="s">
        <v>767</v>
      </c>
      <c r="AA31" s="6" t="s">
        <v>61</v>
      </c>
      <c r="AB31" s="6" t="s">
        <v>768</v>
      </c>
    </row>
    <row r="32" spans="1:28" x14ac:dyDescent="0.25">
      <c r="A32" t="s">
        <v>756</v>
      </c>
      <c r="B32" t="s">
        <v>757</v>
      </c>
      <c r="C32">
        <v>0</v>
      </c>
      <c r="D32" t="s">
        <v>826</v>
      </c>
      <c r="E32" t="s">
        <v>806</v>
      </c>
      <c r="F32" t="s">
        <v>827</v>
      </c>
      <c r="G32" t="s">
        <v>760</v>
      </c>
      <c r="H32" t="s">
        <v>761</v>
      </c>
      <c r="I32" t="s">
        <v>762</v>
      </c>
      <c r="J32" t="s">
        <v>763</v>
      </c>
      <c r="K32">
        <v>90.41</v>
      </c>
      <c r="L32">
        <v>90.41</v>
      </c>
      <c r="M32">
        <v>90.41</v>
      </c>
      <c r="N32">
        <v>90.41</v>
      </c>
      <c r="O32">
        <v>90.41</v>
      </c>
      <c r="P32">
        <v>90.41</v>
      </c>
      <c r="Q32">
        <v>90.41</v>
      </c>
      <c r="R32">
        <v>90.41</v>
      </c>
      <c r="S32">
        <v>90.41</v>
      </c>
      <c r="T32">
        <v>90.41</v>
      </c>
      <c r="U32">
        <v>90.41</v>
      </c>
      <c r="V32">
        <v>90.41</v>
      </c>
      <c r="W32" s="6" t="s">
        <v>764</v>
      </c>
      <c r="X32" s="6" t="s">
        <v>765</v>
      </c>
      <c r="Y32" s="6" t="s">
        <v>766</v>
      </c>
      <c r="Z32" s="6" t="s">
        <v>767</v>
      </c>
      <c r="AA32" s="6" t="s">
        <v>61</v>
      </c>
      <c r="AB32" s="6" t="s">
        <v>768</v>
      </c>
    </row>
    <row r="33" spans="1:28" x14ac:dyDescent="0.25">
      <c r="A33" t="s">
        <v>756</v>
      </c>
      <c r="B33" t="s">
        <v>757</v>
      </c>
      <c r="C33">
        <v>0</v>
      </c>
      <c r="D33" t="s">
        <v>828</v>
      </c>
      <c r="E33" t="s">
        <v>806</v>
      </c>
      <c r="F33" t="s">
        <v>829</v>
      </c>
      <c r="G33" t="s">
        <v>760</v>
      </c>
      <c r="H33" t="s">
        <v>761</v>
      </c>
      <c r="I33" t="s">
        <v>762</v>
      </c>
      <c r="J33" t="s">
        <v>763</v>
      </c>
      <c r="K33">
        <v>90.41</v>
      </c>
      <c r="L33">
        <v>90.41</v>
      </c>
      <c r="M33">
        <v>90.41</v>
      </c>
      <c r="N33">
        <v>90.41</v>
      </c>
      <c r="O33">
        <v>90.41</v>
      </c>
      <c r="P33">
        <v>90.41</v>
      </c>
      <c r="Q33">
        <v>90.41</v>
      </c>
      <c r="R33">
        <v>90.41</v>
      </c>
      <c r="S33">
        <v>90.41</v>
      </c>
      <c r="T33">
        <v>90.41</v>
      </c>
      <c r="U33">
        <v>90.41</v>
      </c>
      <c r="V33">
        <v>90.41</v>
      </c>
      <c r="W33" s="6" t="s">
        <v>764</v>
      </c>
      <c r="X33" s="6" t="s">
        <v>765</v>
      </c>
      <c r="Y33" s="6" t="s">
        <v>766</v>
      </c>
      <c r="Z33" s="6" t="s">
        <v>767</v>
      </c>
      <c r="AA33" s="6" t="s">
        <v>61</v>
      </c>
      <c r="AB33" s="6" t="s">
        <v>768</v>
      </c>
    </row>
    <row r="34" spans="1:28" x14ac:dyDescent="0.25">
      <c r="A34" t="s">
        <v>756</v>
      </c>
      <c r="B34" t="s">
        <v>757</v>
      </c>
      <c r="C34">
        <v>0</v>
      </c>
      <c r="D34" t="s">
        <v>830</v>
      </c>
      <c r="E34" t="s">
        <v>806</v>
      </c>
      <c r="F34" t="s">
        <v>831</v>
      </c>
      <c r="G34" t="s">
        <v>760</v>
      </c>
      <c r="H34" t="s">
        <v>761</v>
      </c>
      <c r="I34" t="s">
        <v>762</v>
      </c>
      <c r="J34" t="s">
        <v>763</v>
      </c>
      <c r="K34">
        <v>90.41</v>
      </c>
      <c r="L34">
        <v>90.41</v>
      </c>
      <c r="M34">
        <v>90.41</v>
      </c>
      <c r="N34">
        <v>90.41</v>
      </c>
      <c r="O34">
        <v>90.41</v>
      </c>
      <c r="P34">
        <v>90.41</v>
      </c>
      <c r="Q34">
        <v>90.41</v>
      </c>
      <c r="R34">
        <v>90.41</v>
      </c>
      <c r="S34">
        <v>90.41</v>
      </c>
      <c r="T34">
        <v>90.41</v>
      </c>
      <c r="U34">
        <v>90.41</v>
      </c>
      <c r="V34">
        <v>90.41</v>
      </c>
      <c r="W34" s="6" t="s">
        <v>764</v>
      </c>
      <c r="X34" s="6" t="s">
        <v>765</v>
      </c>
      <c r="Y34" s="6" t="s">
        <v>766</v>
      </c>
      <c r="Z34" s="6" t="s">
        <v>767</v>
      </c>
      <c r="AA34" s="6" t="s">
        <v>61</v>
      </c>
      <c r="AB34" s="6" t="s">
        <v>768</v>
      </c>
    </row>
    <row r="35" spans="1:28" x14ac:dyDescent="0.25">
      <c r="A35" t="s">
        <v>756</v>
      </c>
      <c r="B35" t="s">
        <v>757</v>
      </c>
      <c r="C35">
        <v>0</v>
      </c>
      <c r="D35" t="s">
        <v>832</v>
      </c>
      <c r="E35" t="s">
        <v>806</v>
      </c>
      <c r="F35" t="s">
        <v>833</v>
      </c>
      <c r="G35" t="s">
        <v>760</v>
      </c>
      <c r="H35" t="s">
        <v>761</v>
      </c>
      <c r="I35" t="s">
        <v>762</v>
      </c>
      <c r="J35" t="s">
        <v>763</v>
      </c>
      <c r="K35">
        <v>90.41</v>
      </c>
      <c r="L35">
        <v>90.41</v>
      </c>
      <c r="M35">
        <v>90.41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 s="6" t="s">
        <v>764</v>
      </c>
      <c r="X35" s="6" t="s">
        <v>765</v>
      </c>
      <c r="Y35" s="6" t="s">
        <v>766</v>
      </c>
      <c r="Z35" s="6" t="s">
        <v>767</v>
      </c>
      <c r="AA35" s="6" t="s">
        <v>61</v>
      </c>
      <c r="AB35" s="6" t="s">
        <v>768</v>
      </c>
    </row>
    <row r="36" spans="1:28" x14ac:dyDescent="0.25">
      <c r="A36" t="s">
        <v>756</v>
      </c>
      <c r="B36" t="s">
        <v>757</v>
      </c>
      <c r="C36">
        <v>0</v>
      </c>
      <c r="D36" t="s">
        <v>834</v>
      </c>
      <c r="E36" t="s">
        <v>806</v>
      </c>
      <c r="F36" t="s">
        <v>835</v>
      </c>
      <c r="G36" t="s">
        <v>760</v>
      </c>
      <c r="H36" t="s">
        <v>761</v>
      </c>
      <c r="I36" t="s">
        <v>762</v>
      </c>
      <c r="J36" t="s">
        <v>763</v>
      </c>
      <c r="K36">
        <v>90.41</v>
      </c>
      <c r="L36">
        <v>90.41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 s="6" t="s">
        <v>764</v>
      </c>
      <c r="X36" s="6" t="s">
        <v>765</v>
      </c>
      <c r="Y36" s="6" t="s">
        <v>766</v>
      </c>
      <c r="Z36" s="6" t="s">
        <v>767</v>
      </c>
      <c r="AA36" s="6" t="s">
        <v>61</v>
      </c>
      <c r="AB36" s="6" t="s">
        <v>768</v>
      </c>
    </row>
    <row r="37" spans="1:28" x14ac:dyDescent="0.25">
      <c r="A37" t="s">
        <v>756</v>
      </c>
      <c r="B37" t="s">
        <v>757</v>
      </c>
      <c r="C37">
        <v>0</v>
      </c>
      <c r="D37" t="s">
        <v>836</v>
      </c>
      <c r="E37" t="s">
        <v>837</v>
      </c>
      <c r="F37" t="s">
        <v>838</v>
      </c>
      <c r="G37" t="s">
        <v>760</v>
      </c>
      <c r="H37" t="s">
        <v>761</v>
      </c>
      <c r="I37" t="s">
        <v>762</v>
      </c>
      <c r="J37" t="s">
        <v>763</v>
      </c>
      <c r="K37">
        <v>50.5</v>
      </c>
      <c r="L37">
        <v>50.5</v>
      </c>
      <c r="M37">
        <v>50.5</v>
      </c>
      <c r="N37">
        <v>50.5</v>
      </c>
      <c r="O37">
        <v>50.5</v>
      </c>
      <c r="P37">
        <v>50.5</v>
      </c>
      <c r="Q37">
        <v>50.5</v>
      </c>
      <c r="R37">
        <v>50.5</v>
      </c>
      <c r="S37">
        <v>50.5</v>
      </c>
      <c r="T37">
        <v>50.5</v>
      </c>
      <c r="U37">
        <v>50.5</v>
      </c>
      <c r="V37">
        <v>50.5</v>
      </c>
      <c r="W37" s="6" t="s">
        <v>764</v>
      </c>
      <c r="X37" s="6" t="s">
        <v>765</v>
      </c>
      <c r="Y37" s="6" t="s">
        <v>766</v>
      </c>
      <c r="Z37" s="6" t="s">
        <v>767</v>
      </c>
      <c r="AA37" s="6" t="s">
        <v>61</v>
      </c>
      <c r="AB37" s="6" t="s">
        <v>768</v>
      </c>
    </row>
    <row r="38" spans="1:28" x14ac:dyDescent="0.25">
      <c r="A38" t="s">
        <v>756</v>
      </c>
      <c r="B38" t="s">
        <v>757</v>
      </c>
      <c r="C38">
        <v>0</v>
      </c>
      <c r="D38" t="s">
        <v>839</v>
      </c>
      <c r="E38" t="s">
        <v>837</v>
      </c>
      <c r="F38" t="s">
        <v>840</v>
      </c>
      <c r="G38" t="s">
        <v>760</v>
      </c>
      <c r="H38" t="s">
        <v>761</v>
      </c>
      <c r="I38" t="s">
        <v>762</v>
      </c>
      <c r="J38" t="s">
        <v>763</v>
      </c>
      <c r="K38">
        <v>50.5</v>
      </c>
      <c r="L38">
        <v>50.5</v>
      </c>
      <c r="M38">
        <v>50.5</v>
      </c>
      <c r="N38">
        <v>50.5</v>
      </c>
      <c r="O38">
        <v>50.5</v>
      </c>
      <c r="P38">
        <v>50.5</v>
      </c>
      <c r="Q38">
        <v>50.5</v>
      </c>
      <c r="R38">
        <v>50.5</v>
      </c>
      <c r="S38">
        <v>50.5</v>
      </c>
      <c r="T38">
        <v>50.5</v>
      </c>
      <c r="U38">
        <v>50.5</v>
      </c>
      <c r="V38">
        <v>50.5</v>
      </c>
      <c r="W38" s="6" t="s">
        <v>764</v>
      </c>
      <c r="X38" s="6" t="s">
        <v>765</v>
      </c>
      <c r="Y38" s="6" t="s">
        <v>766</v>
      </c>
      <c r="Z38" s="6" t="s">
        <v>767</v>
      </c>
      <c r="AA38" s="6" t="s">
        <v>61</v>
      </c>
      <c r="AB38" s="6" t="s">
        <v>768</v>
      </c>
    </row>
    <row r="39" spans="1:28" x14ac:dyDescent="0.25">
      <c r="A39" t="s">
        <v>756</v>
      </c>
      <c r="B39" t="s">
        <v>757</v>
      </c>
      <c r="C39">
        <v>0</v>
      </c>
      <c r="D39" t="s">
        <v>841</v>
      </c>
      <c r="E39" t="s">
        <v>837</v>
      </c>
      <c r="F39" t="s">
        <v>842</v>
      </c>
      <c r="G39" t="s">
        <v>760</v>
      </c>
      <c r="H39" t="s">
        <v>761</v>
      </c>
      <c r="I39" t="s">
        <v>762</v>
      </c>
      <c r="J39" t="s">
        <v>763</v>
      </c>
      <c r="K39">
        <v>50.5</v>
      </c>
      <c r="L39">
        <v>50.5</v>
      </c>
      <c r="M39">
        <v>50.5</v>
      </c>
      <c r="N39">
        <v>50.5</v>
      </c>
      <c r="O39">
        <v>50.5</v>
      </c>
      <c r="P39">
        <v>50.5</v>
      </c>
      <c r="Q39">
        <v>50.5</v>
      </c>
      <c r="R39">
        <v>50.5</v>
      </c>
      <c r="S39">
        <v>50.5</v>
      </c>
      <c r="T39">
        <v>50.5</v>
      </c>
      <c r="U39">
        <v>50.5</v>
      </c>
      <c r="V39">
        <v>50.5</v>
      </c>
      <c r="W39" s="6" t="s">
        <v>764</v>
      </c>
      <c r="X39" s="6" t="s">
        <v>765</v>
      </c>
      <c r="Y39" s="6" t="s">
        <v>766</v>
      </c>
      <c r="Z39" s="6" t="s">
        <v>767</v>
      </c>
      <c r="AA39" s="6" t="s">
        <v>61</v>
      </c>
      <c r="AB39" s="6" t="s">
        <v>768</v>
      </c>
    </row>
    <row r="40" spans="1:28" x14ac:dyDescent="0.25">
      <c r="A40" t="s">
        <v>756</v>
      </c>
      <c r="B40" t="s">
        <v>757</v>
      </c>
      <c r="C40">
        <v>0</v>
      </c>
      <c r="D40" t="s">
        <v>843</v>
      </c>
      <c r="E40" t="s">
        <v>837</v>
      </c>
      <c r="F40" t="s">
        <v>844</v>
      </c>
      <c r="G40" t="s">
        <v>760</v>
      </c>
      <c r="H40" t="s">
        <v>761</v>
      </c>
      <c r="I40" t="s">
        <v>762</v>
      </c>
      <c r="J40" t="s">
        <v>763</v>
      </c>
      <c r="K40">
        <v>50.5</v>
      </c>
      <c r="L40">
        <v>50.5</v>
      </c>
      <c r="M40">
        <v>50.5</v>
      </c>
      <c r="N40">
        <v>50.5</v>
      </c>
      <c r="O40">
        <v>50.5</v>
      </c>
      <c r="P40">
        <v>50.5</v>
      </c>
      <c r="Q40">
        <v>50.5</v>
      </c>
      <c r="R40">
        <v>50.5</v>
      </c>
      <c r="S40">
        <v>50.5</v>
      </c>
      <c r="T40">
        <v>50.5</v>
      </c>
      <c r="U40">
        <v>50.5</v>
      </c>
      <c r="V40">
        <v>50.5</v>
      </c>
      <c r="W40" s="6" t="s">
        <v>764</v>
      </c>
      <c r="X40" s="6" t="s">
        <v>765</v>
      </c>
      <c r="Y40" s="6" t="s">
        <v>766</v>
      </c>
      <c r="Z40" s="6" t="s">
        <v>767</v>
      </c>
      <c r="AA40" s="6" t="s">
        <v>61</v>
      </c>
      <c r="AB40" s="6" t="s">
        <v>768</v>
      </c>
    </row>
    <row r="41" spans="1:28" x14ac:dyDescent="0.25">
      <c r="A41" t="s">
        <v>756</v>
      </c>
      <c r="B41" t="s">
        <v>757</v>
      </c>
      <c r="C41">
        <v>0</v>
      </c>
      <c r="D41" t="s">
        <v>845</v>
      </c>
      <c r="E41" t="s">
        <v>837</v>
      </c>
      <c r="F41" t="s">
        <v>846</v>
      </c>
      <c r="G41" t="s">
        <v>760</v>
      </c>
      <c r="H41" t="s">
        <v>761</v>
      </c>
      <c r="I41" t="s">
        <v>762</v>
      </c>
      <c r="J41" t="s">
        <v>763</v>
      </c>
      <c r="K41">
        <v>50.5</v>
      </c>
      <c r="L41">
        <v>50.5</v>
      </c>
      <c r="M41">
        <v>50.5</v>
      </c>
      <c r="N41">
        <v>50.5</v>
      </c>
      <c r="O41">
        <v>50.5</v>
      </c>
      <c r="P41">
        <v>50.5</v>
      </c>
      <c r="Q41">
        <v>50.5</v>
      </c>
      <c r="R41">
        <v>50.5</v>
      </c>
      <c r="S41">
        <v>50.5</v>
      </c>
      <c r="T41">
        <v>50.5</v>
      </c>
      <c r="U41">
        <v>50.5</v>
      </c>
      <c r="V41">
        <v>50.5</v>
      </c>
      <c r="W41" s="6" t="s">
        <v>764</v>
      </c>
      <c r="X41" s="6" t="s">
        <v>765</v>
      </c>
      <c r="Y41" s="6" t="s">
        <v>766</v>
      </c>
      <c r="Z41" s="6" t="s">
        <v>767</v>
      </c>
      <c r="AA41" s="6" t="s">
        <v>61</v>
      </c>
      <c r="AB41" s="6" t="s">
        <v>768</v>
      </c>
    </row>
    <row r="42" spans="1:28" x14ac:dyDescent="0.25">
      <c r="A42" t="s">
        <v>756</v>
      </c>
      <c r="B42" t="s">
        <v>757</v>
      </c>
      <c r="C42">
        <v>0</v>
      </c>
      <c r="D42" t="s">
        <v>847</v>
      </c>
      <c r="E42" t="s">
        <v>837</v>
      </c>
      <c r="F42" t="s">
        <v>848</v>
      </c>
      <c r="G42" t="s">
        <v>760</v>
      </c>
      <c r="H42" t="s">
        <v>761</v>
      </c>
      <c r="I42" t="s">
        <v>762</v>
      </c>
      <c r="J42" t="s">
        <v>763</v>
      </c>
      <c r="K42">
        <v>0</v>
      </c>
      <c r="L42">
        <v>0</v>
      </c>
      <c r="M42">
        <v>0</v>
      </c>
      <c r="N42">
        <v>0</v>
      </c>
      <c r="O42">
        <v>50.5</v>
      </c>
      <c r="P42">
        <v>50.5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 s="6" t="s">
        <v>764</v>
      </c>
      <c r="X42" s="6" t="s">
        <v>765</v>
      </c>
      <c r="Y42" s="6" t="s">
        <v>766</v>
      </c>
      <c r="Z42" s="6" t="s">
        <v>767</v>
      </c>
      <c r="AA42" s="6" t="s">
        <v>61</v>
      </c>
      <c r="AB42" s="6" t="s">
        <v>768</v>
      </c>
    </row>
    <row r="43" spans="1:28" x14ac:dyDescent="0.25">
      <c r="A43" t="s">
        <v>756</v>
      </c>
      <c r="B43" t="s">
        <v>757</v>
      </c>
      <c r="C43">
        <v>0</v>
      </c>
      <c r="D43" t="s">
        <v>849</v>
      </c>
      <c r="E43" t="s">
        <v>806</v>
      </c>
      <c r="F43" t="s">
        <v>850</v>
      </c>
      <c r="G43" t="s">
        <v>760</v>
      </c>
      <c r="H43" t="s">
        <v>761</v>
      </c>
      <c r="I43" t="s">
        <v>762</v>
      </c>
      <c r="J43" t="s">
        <v>763</v>
      </c>
      <c r="K43">
        <v>90.41</v>
      </c>
      <c r="L43">
        <v>90.41</v>
      </c>
      <c r="M43">
        <v>90.41</v>
      </c>
      <c r="N43">
        <v>90.41</v>
      </c>
      <c r="O43">
        <v>90.41</v>
      </c>
      <c r="P43">
        <v>90.41</v>
      </c>
      <c r="Q43">
        <v>90.41</v>
      </c>
      <c r="R43">
        <v>0</v>
      </c>
      <c r="S43">
        <v>0</v>
      </c>
      <c r="T43">
        <v>0</v>
      </c>
      <c r="U43">
        <v>0</v>
      </c>
      <c r="V43">
        <v>0</v>
      </c>
      <c r="W43" s="6" t="s">
        <v>764</v>
      </c>
      <c r="X43" s="6" t="s">
        <v>765</v>
      </c>
      <c r="Y43" s="6" t="s">
        <v>766</v>
      </c>
      <c r="Z43" s="6" t="s">
        <v>767</v>
      </c>
      <c r="AA43" s="6" t="s">
        <v>61</v>
      </c>
      <c r="AB43" s="6" t="s">
        <v>768</v>
      </c>
    </row>
    <row r="44" spans="1:28" x14ac:dyDescent="0.25">
      <c r="A44" t="s">
        <v>756</v>
      </c>
      <c r="B44" t="s">
        <v>757</v>
      </c>
      <c r="C44">
        <v>0</v>
      </c>
      <c r="D44" t="s">
        <v>851</v>
      </c>
      <c r="E44" t="s">
        <v>806</v>
      </c>
      <c r="F44" t="s">
        <v>852</v>
      </c>
      <c r="G44" t="s">
        <v>760</v>
      </c>
      <c r="H44" t="s">
        <v>761</v>
      </c>
      <c r="I44" t="s">
        <v>762</v>
      </c>
      <c r="J44" t="s">
        <v>763</v>
      </c>
      <c r="K44">
        <v>90.41</v>
      </c>
      <c r="L44">
        <v>90.41</v>
      </c>
      <c r="M44">
        <v>90.41</v>
      </c>
      <c r="N44">
        <v>90.41</v>
      </c>
      <c r="O44">
        <v>90.41</v>
      </c>
      <c r="P44">
        <v>90.41</v>
      </c>
      <c r="Q44">
        <v>90.41</v>
      </c>
      <c r="R44">
        <v>0</v>
      </c>
      <c r="S44">
        <v>0</v>
      </c>
      <c r="T44">
        <v>0</v>
      </c>
      <c r="U44">
        <v>0</v>
      </c>
      <c r="V44">
        <v>0</v>
      </c>
      <c r="W44" s="6" t="s">
        <v>764</v>
      </c>
      <c r="X44" s="6" t="s">
        <v>765</v>
      </c>
      <c r="Y44" s="6" t="s">
        <v>766</v>
      </c>
      <c r="Z44" s="6" t="s">
        <v>767</v>
      </c>
      <c r="AA44" s="6" t="s">
        <v>61</v>
      </c>
      <c r="AB44" s="6" t="s">
        <v>768</v>
      </c>
    </row>
    <row r="45" spans="1:28" x14ac:dyDescent="0.25">
      <c r="A45" t="s">
        <v>756</v>
      </c>
      <c r="B45" t="s">
        <v>757</v>
      </c>
      <c r="C45">
        <v>0</v>
      </c>
      <c r="D45" t="s">
        <v>853</v>
      </c>
      <c r="E45" t="s">
        <v>806</v>
      </c>
      <c r="F45" t="s">
        <v>854</v>
      </c>
      <c r="G45" t="s">
        <v>760</v>
      </c>
      <c r="H45" t="s">
        <v>761</v>
      </c>
      <c r="I45" t="s">
        <v>762</v>
      </c>
      <c r="J45" t="s">
        <v>763</v>
      </c>
      <c r="K45">
        <v>90.41</v>
      </c>
      <c r="L45">
        <v>90.41</v>
      </c>
      <c r="M45">
        <v>90.41</v>
      </c>
      <c r="N45">
        <v>90.41</v>
      </c>
      <c r="O45">
        <v>90.41</v>
      </c>
      <c r="P45">
        <v>90.41</v>
      </c>
      <c r="Q45">
        <v>90.41</v>
      </c>
      <c r="R45">
        <v>90.41</v>
      </c>
      <c r="S45">
        <v>90.41</v>
      </c>
      <c r="T45">
        <v>90.41</v>
      </c>
      <c r="U45">
        <v>90.41</v>
      </c>
      <c r="V45">
        <v>90.41</v>
      </c>
      <c r="W45" s="6" t="s">
        <v>764</v>
      </c>
      <c r="X45" s="6" t="s">
        <v>765</v>
      </c>
      <c r="Y45" s="6" t="s">
        <v>766</v>
      </c>
      <c r="Z45" s="6" t="s">
        <v>767</v>
      </c>
      <c r="AA45" s="6" t="s">
        <v>61</v>
      </c>
      <c r="AB45" s="6" t="s">
        <v>768</v>
      </c>
    </row>
    <row r="46" spans="1:28" x14ac:dyDescent="0.25">
      <c r="A46" t="s">
        <v>756</v>
      </c>
      <c r="B46" t="s">
        <v>757</v>
      </c>
      <c r="C46">
        <v>0</v>
      </c>
      <c r="D46" t="s">
        <v>855</v>
      </c>
      <c r="E46" t="s">
        <v>806</v>
      </c>
      <c r="F46" t="s">
        <v>856</v>
      </c>
      <c r="G46" t="s">
        <v>760</v>
      </c>
      <c r="H46" t="s">
        <v>761</v>
      </c>
      <c r="I46" t="s">
        <v>762</v>
      </c>
      <c r="J46" t="s">
        <v>763</v>
      </c>
      <c r="K46">
        <v>90.41</v>
      </c>
      <c r="L46">
        <v>90.41</v>
      </c>
      <c r="M46">
        <v>90.41</v>
      </c>
      <c r="N46">
        <v>90.41</v>
      </c>
      <c r="O46">
        <v>90.41</v>
      </c>
      <c r="P46">
        <v>90.41</v>
      </c>
      <c r="Q46">
        <v>90.41</v>
      </c>
      <c r="R46">
        <v>90.41</v>
      </c>
      <c r="S46">
        <v>90.41</v>
      </c>
      <c r="T46">
        <v>90.41</v>
      </c>
      <c r="U46">
        <v>90.41</v>
      </c>
      <c r="V46">
        <v>90.41</v>
      </c>
      <c r="W46" s="6" t="s">
        <v>764</v>
      </c>
      <c r="X46" s="6" t="s">
        <v>765</v>
      </c>
      <c r="Y46" s="6" t="s">
        <v>766</v>
      </c>
      <c r="Z46" s="6" t="s">
        <v>767</v>
      </c>
      <c r="AA46" s="6" t="s">
        <v>61</v>
      </c>
      <c r="AB46" s="6" t="s">
        <v>768</v>
      </c>
    </row>
    <row r="47" spans="1:28" x14ac:dyDescent="0.25">
      <c r="A47" t="s">
        <v>756</v>
      </c>
      <c r="B47" t="s">
        <v>757</v>
      </c>
      <c r="C47">
        <v>0</v>
      </c>
      <c r="D47" t="s">
        <v>857</v>
      </c>
      <c r="E47" t="s">
        <v>36</v>
      </c>
      <c r="F47" t="s">
        <v>858</v>
      </c>
      <c r="G47" t="s">
        <v>760</v>
      </c>
      <c r="H47" t="s">
        <v>761</v>
      </c>
      <c r="I47" t="s">
        <v>762</v>
      </c>
      <c r="J47" t="s">
        <v>763</v>
      </c>
      <c r="K47">
        <v>0</v>
      </c>
      <c r="L47">
        <v>0</v>
      </c>
      <c r="M47">
        <v>0</v>
      </c>
      <c r="N47">
        <v>22.54</v>
      </c>
      <c r="O47">
        <v>22.54</v>
      </c>
      <c r="P47">
        <v>22.54</v>
      </c>
      <c r="Q47">
        <v>22.54</v>
      </c>
      <c r="R47">
        <v>22.54</v>
      </c>
      <c r="S47">
        <v>22.54</v>
      </c>
      <c r="T47">
        <v>22.54</v>
      </c>
      <c r="U47">
        <v>22.54</v>
      </c>
      <c r="V47">
        <v>22.54</v>
      </c>
      <c r="W47" s="6" t="s">
        <v>764</v>
      </c>
      <c r="X47" s="6" t="s">
        <v>765</v>
      </c>
      <c r="Y47" s="6" t="s">
        <v>766</v>
      </c>
      <c r="Z47" s="6" t="s">
        <v>767</v>
      </c>
      <c r="AA47" s="6" t="s">
        <v>61</v>
      </c>
      <c r="AB47" s="6" t="s">
        <v>768</v>
      </c>
    </row>
    <row r="48" spans="1:28" x14ac:dyDescent="0.25">
      <c r="A48" t="s">
        <v>756</v>
      </c>
      <c r="B48" t="s">
        <v>757</v>
      </c>
      <c r="C48">
        <v>0</v>
      </c>
      <c r="D48" t="s">
        <v>859</v>
      </c>
      <c r="E48" t="s">
        <v>36</v>
      </c>
      <c r="F48" t="s">
        <v>860</v>
      </c>
      <c r="G48" t="s">
        <v>760</v>
      </c>
      <c r="H48" t="s">
        <v>761</v>
      </c>
      <c r="I48" t="s">
        <v>762</v>
      </c>
      <c r="J48" t="s">
        <v>763</v>
      </c>
      <c r="K48">
        <v>22.54</v>
      </c>
      <c r="L48">
        <v>22.54</v>
      </c>
      <c r="M48">
        <v>22.54</v>
      </c>
      <c r="N48">
        <v>22.54</v>
      </c>
      <c r="O48">
        <v>22.54</v>
      </c>
      <c r="P48">
        <v>22.54</v>
      </c>
      <c r="Q48">
        <v>22.54</v>
      </c>
      <c r="R48">
        <v>22.54</v>
      </c>
      <c r="S48">
        <v>22.54</v>
      </c>
      <c r="T48">
        <v>22.54</v>
      </c>
      <c r="U48">
        <v>22.54</v>
      </c>
      <c r="V48">
        <v>22.54</v>
      </c>
      <c r="W48" s="6" t="s">
        <v>764</v>
      </c>
      <c r="X48" s="6" t="s">
        <v>765</v>
      </c>
      <c r="Y48" s="6" t="s">
        <v>766</v>
      </c>
      <c r="Z48" s="6" t="s">
        <v>767</v>
      </c>
      <c r="AA48" s="6" t="s">
        <v>61</v>
      </c>
      <c r="AB48" s="6" t="s">
        <v>768</v>
      </c>
    </row>
    <row r="49" spans="1:28" x14ac:dyDescent="0.25">
      <c r="A49" t="s">
        <v>756</v>
      </c>
      <c r="B49" t="s">
        <v>757</v>
      </c>
      <c r="C49">
        <v>0</v>
      </c>
      <c r="D49" t="s">
        <v>861</v>
      </c>
      <c r="E49" t="s">
        <v>36</v>
      </c>
      <c r="F49" t="s">
        <v>862</v>
      </c>
      <c r="G49" t="s">
        <v>760</v>
      </c>
      <c r="H49" t="s">
        <v>761</v>
      </c>
      <c r="I49" t="s">
        <v>762</v>
      </c>
      <c r="J49" t="s">
        <v>763</v>
      </c>
      <c r="K49">
        <v>0</v>
      </c>
      <c r="L49">
        <v>0</v>
      </c>
      <c r="M49">
        <v>22.54</v>
      </c>
      <c r="N49">
        <v>22.54</v>
      </c>
      <c r="O49">
        <v>22.54</v>
      </c>
      <c r="P49">
        <v>22.54</v>
      </c>
      <c r="Q49">
        <v>22.54</v>
      </c>
      <c r="R49">
        <v>22.54</v>
      </c>
      <c r="S49">
        <v>22.54</v>
      </c>
      <c r="T49">
        <v>22.54</v>
      </c>
      <c r="U49">
        <v>22.54</v>
      </c>
      <c r="V49">
        <v>22.54</v>
      </c>
      <c r="W49" s="6" t="s">
        <v>764</v>
      </c>
      <c r="X49" s="6" t="s">
        <v>765</v>
      </c>
      <c r="Y49" s="6" t="s">
        <v>766</v>
      </c>
      <c r="Z49" s="6" t="s">
        <v>767</v>
      </c>
      <c r="AA49" s="6" t="s">
        <v>61</v>
      </c>
      <c r="AB49" s="6" t="s">
        <v>768</v>
      </c>
    </row>
    <row r="50" spans="1:28" x14ac:dyDescent="0.25">
      <c r="A50" t="s">
        <v>756</v>
      </c>
      <c r="B50" t="s">
        <v>757</v>
      </c>
      <c r="C50">
        <v>0</v>
      </c>
      <c r="D50" t="s">
        <v>863</v>
      </c>
      <c r="E50" t="s">
        <v>36</v>
      </c>
      <c r="F50" t="s">
        <v>864</v>
      </c>
      <c r="G50" t="s">
        <v>760</v>
      </c>
      <c r="H50" t="s">
        <v>761</v>
      </c>
      <c r="I50" t="s">
        <v>762</v>
      </c>
      <c r="J50" t="s">
        <v>763</v>
      </c>
      <c r="K50">
        <v>22.54</v>
      </c>
      <c r="L50">
        <v>22.54</v>
      </c>
      <c r="M50">
        <v>22.54</v>
      </c>
      <c r="N50">
        <v>22.54</v>
      </c>
      <c r="O50">
        <v>22.54</v>
      </c>
      <c r="P50">
        <v>22.54</v>
      </c>
      <c r="Q50">
        <v>22.54</v>
      </c>
      <c r="R50">
        <v>22.54</v>
      </c>
      <c r="S50">
        <v>22.54</v>
      </c>
      <c r="T50">
        <v>22.54</v>
      </c>
      <c r="U50">
        <v>22.54</v>
      </c>
      <c r="V50">
        <v>22.54</v>
      </c>
      <c r="W50" s="6" t="s">
        <v>764</v>
      </c>
      <c r="X50" s="6" t="s">
        <v>765</v>
      </c>
      <c r="Y50" s="6" t="s">
        <v>766</v>
      </c>
      <c r="Z50" s="6" t="s">
        <v>767</v>
      </c>
      <c r="AA50" s="6" t="s">
        <v>61</v>
      </c>
      <c r="AB50" s="6" t="s">
        <v>768</v>
      </c>
    </row>
    <row r="51" spans="1:28" x14ac:dyDescent="0.25">
      <c r="A51" t="s">
        <v>756</v>
      </c>
      <c r="B51" t="s">
        <v>757</v>
      </c>
      <c r="C51">
        <v>0</v>
      </c>
      <c r="D51" t="s">
        <v>865</v>
      </c>
      <c r="E51" t="s">
        <v>36</v>
      </c>
      <c r="F51" t="s">
        <v>866</v>
      </c>
      <c r="G51" t="s">
        <v>760</v>
      </c>
      <c r="H51" t="s">
        <v>761</v>
      </c>
      <c r="I51" t="s">
        <v>762</v>
      </c>
      <c r="J51" t="s">
        <v>763</v>
      </c>
      <c r="K51">
        <v>22.54</v>
      </c>
      <c r="L51">
        <v>22.54</v>
      </c>
      <c r="M51">
        <v>22.54</v>
      </c>
      <c r="N51">
        <v>22.54</v>
      </c>
      <c r="O51">
        <v>22.54</v>
      </c>
      <c r="P51">
        <v>22.54</v>
      </c>
      <c r="Q51">
        <v>22.54</v>
      </c>
      <c r="R51">
        <v>22.54</v>
      </c>
      <c r="S51">
        <v>22.54</v>
      </c>
      <c r="T51">
        <v>22.54</v>
      </c>
      <c r="U51">
        <v>22.54</v>
      </c>
      <c r="V51">
        <v>22.54</v>
      </c>
      <c r="W51" s="6" t="s">
        <v>764</v>
      </c>
      <c r="X51" s="6" t="s">
        <v>765</v>
      </c>
      <c r="Y51" s="6" t="s">
        <v>766</v>
      </c>
      <c r="Z51" s="6" t="s">
        <v>767</v>
      </c>
      <c r="AA51" s="6" t="s">
        <v>61</v>
      </c>
      <c r="AB51" s="6" t="s">
        <v>768</v>
      </c>
    </row>
    <row r="52" spans="1:28" x14ac:dyDescent="0.25">
      <c r="A52" t="s">
        <v>756</v>
      </c>
      <c r="B52" t="s">
        <v>757</v>
      </c>
      <c r="C52">
        <v>0</v>
      </c>
      <c r="D52" t="s">
        <v>867</v>
      </c>
      <c r="E52" t="s">
        <v>36</v>
      </c>
      <c r="F52" t="s">
        <v>868</v>
      </c>
      <c r="G52" t="s">
        <v>760</v>
      </c>
      <c r="H52" t="s">
        <v>761</v>
      </c>
      <c r="I52" t="s">
        <v>762</v>
      </c>
      <c r="J52" t="s">
        <v>763</v>
      </c>
      <c r="K52">
        <v>0</v>
      </c>
      <c r="L52">
        <v>0</v>
      </c>
      <c r="M52">
        <v>0</v>
      </c>
      <c r="N52">
        <v>22.54</v>
      </c>
      <c r="O52">
        <v>22.54</v>
      </c>
      <c r="P52">
        <v>22.54</v>
      </c>
      <c r="Q52">
        <v>22.54</v>
      </c>
      <c r="R52">
        <v>22.54</v>
      </c>
      <c r="S52">
        <v>22.54</v>
      </c>
      <c r="T52">
        <v>22.54</v>
      </c>
      <c r="U52">
        <v>22.54</v>
      </c>
      <c r="V52">
        <v>22.54</v>
      </c>
      <c r="W52" s="6" t="s">
        <v>764</v>
      </c>
      <c r="X52" s="6" t="s">
        <v>765</v>
      </c>
      <c r="Y52" s="6" t="s">
        <v>766</v>
      </c>
      <c r="Z52" s="6" t="s">
        <v>767</v>
      </c>
      <c r="AA52" s="6" t="s">
        <v>61</v>
      </c>
      <c r="AB52" s="6" t="s">
        <v>768</v>
      </c>
    </row>
    <row r="53" spans="1:28" x14ac:dyDescent="0.25">
      <c r="A53" t="s">
        <v>756</v>
      </c>
      <c r="B53" t="s">
        <v>757</v>
      </c>
      <c r="C53">
        <v>0</v>
      </c>
      <c r="D53" t="s">
        <v>869</v>
      </c>
      <c r="E53" t="s">
        <v>36</v>
      </c>
      <c r="F53" t="s">
        <v>870</v>
      </c>
      <c r="G53" t="s">
        <v>760</v>
      </c>
      <c r="H53" t="s">
        <v>761</v>
      </c>
      <c r="I53" t="s">
        <v>762</v>
      </c>
      <c r="J53" t="s">
        <v>763</v>
      </c>
      <c r="K53">
        <v>0</v>
      </c>
      <c r="L53">
        <v>0</v>
      </c>
      <c r="M53">
        <v>0</v>
      </c>
      <c r="N53">
        <v>22.54</v>
      </c>
      <c r="O53">
        <v>22.54</v>
      </c>
      <c r="P53">
        <v>22.54</v>
      </c>
      <c r="Q53">
        <v>22.54</v>
      </c>
      <c r="R53">
        <v>22.54</v>
      </c>
      <c r="S53">
        <v>22.54</v>
      </c>
      <c r="T53">
        <v>22.54</v>
      </c>
      <c r="U53">
        <v>22.54</v>
      </c>
      <c r="V53">
        <v>22.54</v>
      </c>
      <c r="W53" s="6" t="s">
        <v>764</v>
      </c>
      <c r="X53" s="6" t="s">
        <v>765</v>
      </c>
      <c r="Y53" s="6" t="s">
        <v>766</v>
      </c>
      <c r="Z53" s="6" t="s">
        <v>767</v>
      </c>
      <c r="AA53" s="6" t="s">
        <v>61</v>
      </c>
      <c r="AB53" s="6" t="s">
        <v>768</v>
      </c>
    </row>
    <row r="54" spans="1:28" x14ac:dyDescent="0.25">
      <c r="A54" t="s">
        <v>756</v>
      </c>
      <c r="B54" t="s">
        <v>757</v>
      </c>
      <c r="C54">
        <v>0</v>
      </c>
      <c r="D54" t="s">
        <v>871</v>
      </c>
      <c r="E54" t="s">
        <v>36</v>
      </c>
      <c r="F54" t="s">
        <v>872</v>
      </c>
      <c r="G54" t="s">
        <v>760</v>
      </c>
      <c r="H54" t="s">
        <v>761</v>
      </c>
      <c r="I54" t="s">
        <v>762</v>
      </c>
      <c r="J54" t="s">
        <v>763</v>
      </c>
      <c r="K54">
        <v>0</v>
      </c>
      <c r="L54">
        <v>0</v>
      </c>
      <c r="M54">
        <v>0</v>
      </c>
      <c r="N54">
        <v>22.54</v>
      </c>
      <c r="O54">
        <v>22.54</v>
      </c>
      <c r="P54">
        <v>22.54</v>
      </c>
      <c r="Q54">
        <v>22.54</v>
      </c>
      <c r="R54">
        <v>22.54</v>
      </c>
      <c r="S54">
        <v>22.54</v>
      </c>
      <c r="T54">
        <v>22.54</v>
      </c>
      <c r="U54">
        <v>22.54</v>
      </c>
      <c r="V54">
        <v>22.54</v>
      </c>
      <c r="W54" s="6" t="s">
        <v>764</v>
      </c>
      <c r="X54" s="6" t="s">
        <v>765</v>
      </c>
      <c r="Y54" s="6" t="s">
        <v>766</v>
      </c>
      <c r="Z54" s="6" t="s">
        <v>767</v>
      </c>
      <c r="AA54" s="6" t="s">
        <v>61</v>
      </c>
      <c r="AB54" s="6" t="s">
        <v>768</v>
      </c>
    </row>
    <row r="55" spans="1:28" x14ac:dyDescent="0.25">
      <c r="A55" t="s">
        <v>756</v>
      </c>
      <c r="B55" t="s">
        <v>757</v>
      </c>
      <c r="C55">
        <v>0</v>
      </c>
      <c r="D55" t="s">
        <v>873</v>
      </c>
      <c r="E55" t="s">
        <v>36</v>
      </c>
      <c r="F55" t="s">
        <v>874</v>
      </c>
      <c r="G55" t="s">
        <v>760</v>
      </c>
      <c r="H55" t="s">
        <v>761</v>
      </c>
      <c r="I55" t="s">
        <v>762</v>
      </c>
      <c r="J55" t="s">
        <v>763</v>
      </c>
      <c r="K55">
        <v>0</v>
      </c>
      <c r="L55">
        <v>0</v>
      </c>
      <c r="M55">
        <v>0</v>
      </c>
      <c r="N55">
        <v>22.54</v>
      </c>
      <c r="O55">
        <v>22.54</v>
      </c>
      <c r="P55">
        <v>22.54</v>
      </c>
      <c r="Q55">
        <v>22.54</v>
      </c>
      <c r="R55">
        <v>22.54</v>
      </c>
      <c r="S55">
        <v>22.54</v>
      </c>
      <c r="T55">
        <v>22.54</v>
      </c>
      <c r="U55">
        <v>22.54</v>
      </c>
      <c r="V55">
        <v>22.54</v>
      </c>
      <c r="W55" s="6" t="s">
        <v>764</v>
      </c>
      <c r="X55" s="6" t="s">
        <v>765</v>
      </c>
      <c r="Y55" s="6" t="s">
        <v>766</v>
      </c>
      <c r="Z55" s="6" t="s">
        <v>767</v>
      </c>
      <c r="AA55" s="6" t="s">
        <v>61</v>
      </c>
      <c r="AB55" s="6" t="s">
        <v>768</v>
      </c>
    </row>
    <row r="56" spans="1:28" x14ac:dyDescent="0.25">
      <c r="A56" t="s">
        <v>756</v>
      </c>
      <c r="B56" t="s">
        <v>757</v>
      </c>
      <c r="C56">
        <v>0</v>
      </c>
      <c r="D56" t="s">
        <v>875</v>
      </c>
      <c r="E56" t="s">
        <v>36</v>
      </c>
      <c r="F56" t="s">
        <v>876</v>
      </c>
      <c r="G56" t="s">
        <v>760</v>
      </c>
      <c r="H56" t="s">
        <v>761</v>
      </c>
      <c r="I56" t="s">
        <v>762</v>
      </c>
      <c r="J56" t="s">
        <v>763</v>
      </c>
      <c r="K56">
        <v>0</v>
      </c>
      <c r="L56">
        <v>22.54</v>
      </c>
      <c r="M56">
        <v>22.54</v>
      </c>
      <c r="N56">
        <v>22.54</v>
      </c>
      <c r="O56">
        <v>22.54</v>
      </c>
      <c r="P56">
        <v>22.54</v>
      </c>
      <c r="Q56">
        <v>22.54</v>
      </c>
      <c r="R56">
        <v>22.54</v>
      </c>
      <c r="S56">
        <v>22.54</v>
      </c>
      <c r="T56">
        <v>22.54</v>
      </c>
      <c r="U56">
        <v>22.54</v>
      </c>
      <c r="V56">
        <v>22.54</v>
      </c>
      <c r="W56" s="6" t="s">
        <v>764</v>
      </c>
      <c r="X56" s="6" t="s">
        <v>765</v>
      </c>
      <c r="Y56" s="6" t="s">
        <v>766</v>
      </c>
      <c r="Z56" s="6" t="s">
        <v>767</v>
      </c>
      <c r="AA56" s="6" t="s">
        <v>61</v>
      </c>
      <c r="AB56" s="6" t="s">
        <v>768</v>
      </c>
    </row>
    <row r="57" spans="1:28" x14ac:dyDescent="0.25">
      <c r="A57" t="s">
        <v>756</v>
      </c>
      <c r="B57" t="s">
        <v>757</v>
      </c>
      <c r="C57">
        <v>0</v>
      </c>
      <c r="D57" t="s">
        <v>877</v>
      </c>
      <c r="E57" t="s">
        <v>36</v>
      </c>
      <c r="F57" t="s">
        <v>878</v>
      </c>
      <c r="G57" t="s">
        <v>760</v>
      </c>
      <c r="H57" t="s">
        <v>761</v>
      </c>
      <c r="I57" t="s">
        <v>762</v>
      </c>
      <c r="J57" t="s">
        <v>763</v>
      </c>
      <c r="K57">
        <v>0</v>
      </c>
      <c r="L57">
        <v>0</v>
      </c>
      <c r="M57">
        <v>0</v>
      </c>
      <c r="N57">
        <v>22.54</v>
      </c>
      <c r="O57">
        <v>22.54</v>
      </c>
      <c r="P57">
        <v>22.54</v>
      </c>
      <c r="Q57">
        <v>22.54</v>
      </c>
      <c r="R57">
        <v>22.54</v>
      </c>
      <c r="S57">
        <v>22.54</v>
      </c>
      <c r="T57">
        <v>22.54</v>
      </c>
      <c r="U57">
        <v>22.54</v>
      </c>
      <c r="V57">
        <v>22.54</v>
      </c>
      <c r="W57" s="6" t="s">
        <v>764</v>
      </c>
      <c r="X57" s="6" t="s">
        <v>765</v>
      </c>
      <c r="Y57" s="6" t="s">
        <v>766</v>
      </c>
      <c r="Z57" s="6" t="s">
        <v>767</v>
      </c>
      <c r="AA57" s="6" t="s">
        <v>61</v>
      </c>
      <c r="AB57" s="6" t="s">
        <v>768</v>
      </c>
    </row>
    <row r="58" spans="1:28" x14ac:dyDescent="0.25">
      <c r="A58" t="s">
        <v>756</v>
      </c>
      <c r="B58" t="s">
        <v>757</v>
      </c>
      <c r="C58">
        <v>0</v>
      </c>
      <c r="D58" t="s">
        <v>879</v>
      </c>
      <c r="E58" t="s">
        <v>36</v>
      </c>
      <c r="F58" t="s">
        <v>880</v>
      </c>
      <c r="G58" t="s">
        <v>760</v>
      </c>
      <c r="H58" t="s">
        <v>761</v>
      </c>
      <c r="I58" t="s">
        <v>762</v>
      </c>
      <c r="J58" t="s">
        <v>763</v>
      </c>
      <c r="K58">
        <v>0</v>
      </c>
      <c r="L58">
        <v>0</v>
      </c>
      <c r="M58">
        <v>0</v>
      </c>
      <c r="N58">
        <v>22.54</v>
      </c>
      <c r="O58">
        <v>22.54</v>
      </c>
      <c r="P58">
        <v>22.54</v>
      </c>
      <c r="Q58">
        <v>22.54</v>
      </c>
      <c r="R58">
        <v>22.54</v>
      </c>
      <c r="S58">
        <v>22.54</v>
      </c>
      <c r="T58">
        <v>22.54</v>
      </c>
      <c r="U58">
        <v>22.54</v>
      </c>
      <c r="V58">
        <v>22.54</v>
      </c>
      <c r="W58" s="6" t="s">
        <v>764</v>
      </c>
      <c r="X58" s="6" t="s">
        <v>765</v>
      </c>
      <c r="Y58" s="6" t="s">
        <v>766</v>
      </c>
      <c r="Z58" s="6" t="s">
        <v>767</v>
      </c>
      <c r="AA58" s="6" t="s">
        <v>61</v>
      </c>
      <c r="AB58" s="6" t="s">
        <v>768</v>
      </c>
    </row>
    <row r="59" spans="1:28" x14ac:dyDescent="0.25">
      <c r="A59" t="s">
        <v>756</v>
      </c>
      <c r="B59" t="s">
        <v>757</v>
      </c>
      <c r="C59">
        <v>0</v>
      </c>
      <c r="D59" t="s">
        <v>881</v>
      </c>
      <c r="E59" t="s">
        <v>36</v>
      </c>
      <c r="F59" t="s">
        <v>882</v>
      </c>
      <c r="G59" t="s">
        <v>760</v>
      </c>
      <c r="H59" t="s">
        <v>761</v>
      </c>
      <c r="I59" t="s">
        <v>762</v>
      </c>
      <c r="J59" t="s">
        <v>763</v>
      </c>
      <c r="K59">
        <v>0</v>
      </c>
      <c r="L59">
        <v>0</v>
      </c>
      <c r="M59">
        <v>0</v>
      </c>
      <c r="N59">
        <v>22.54</v>
      </c>
      <c r="O59">
        <v>22.54</v>
      </c>
      <c r="P59">
        <v>22.54</v>
      </c>
      <c r="Q59">
        <v>22.54</v>
      </c>
      <c r="R59">
        <v>22.54</v>
      </c>
      <c r="S59">
        <v>22.54</v>
      </c>
      <c r="T59">
        <v>22.54</v>
      </c>
      <c r="U59">
        <v>22.54</v>
      </c>
      <c r="V59">
        <v>22.54</v>
      </c>
      <c r="W59" s="6" t="s">
        <v>764</v>
      </c>
      <c r="X59" s="6" t="s">
        <v>765</v>
      </c>
      <c r="Y59" s="6" t="s">
        <v>766</v>
      </c>
      <c r="Z59" s="6" t="s">
        <v>767</v>
      </c>
      <c r="AA59" s="6" t="s">
        <v>61</v>
      </c>
      <c r="AB59" s="6" t="s">
        <v>768</v>
      </c>
    </row>
    <row r="60" spans="1:28" x14ac:dyDescent="0.25">
      <c r="A60" t="s">
        <v>756</v>
      </c>
      <c r="B60" t="s">
        <v>757</v>
      </c>
      <c r="C60">
        <v>0</v>
      </c>
      <c r="D60" t="s">
        <v>883</v>
      </c>
      <c r="E60" t="s">
        <v>36</v>
      </c>
      <c r="F60" t="s">
        <v>884</v>
      </c>
      <c r="G60" t="s">
        <v>760</v>
      </c>
      <c r="H60" t="s">
        <v>761</v>
      </c>
      <c r="I60" t="s">
        <v>762</v>
      </c>
      <c r="J60" t="s">
        <v>763</v>
      </c>
      <c r="K60">
        <v>22.54</v>
      </c>
      <c r="L60">
        <v>22.54</v>
      </c>
      <c r="M60">
        <v>22.54</v>
      </c>
      <c r="N60">
        <v>22.54</v>
      </c>
      <c r="O60">
        <v>22.54</v>
      </c>
      <c r="P60">
        <v>22.54</v>
      </c>
      <c r="Q60">
        <v>22.54</v>
      </c>
      <c r="R60">
        <v>22.54</v>
      </c>
      <c r="S60">
        <v>22.54</v>
      </c>
      <c r="T60">
        <v>22.54</v>
      </c>
      <c r="U60">
        <v>22.54</v>
      </c>
      <c r="V60">
        <v>22.54</v>
      </c>
      <c r="W60" s="6" t="s">
        <v>764</v>
      </c>
      <c r="X60" s="6" t="s">
        <v>765</v>
      </c>
      <c r="Y60" s="6" t="s">
        <v>766</v>
      </c>
      <c r="Z60" s="6" t="s">
        <v>767</v>
      </c>
      <c r="AA60" s="6" t="s">
        <v>61</v>
      </c>
      <c r="AB60" s="6" t="s">
        <v>768</v>
      </c>
    </row>
    <row r="61" spans="1:28" x14ac:dyDescent="0.25">
      <c r="A61" t="s">
        <v>756</v>
      </c>
      <c r="B61" t="s">
        <v>757</v>
      </c>
      <c r="C61">
        <v>0</v>
      </c>
      <c r="D61" t="s">
        <v>885</v>
      </c>
      <c r="E61" t="s">
        <v>36</v>
      </c>
      <c r="F61" t="s">
        <v>886</v>
      </c>
      <c r="G61" t="s">
        <v>760</v>
      </c>
      <c r="H61" t="s">
        <v>761</v>
      </c>
      <c r="I61" t="s">
        <v>762</v>
      </c>
      <c r="J61" t="s">
        <v>763</v>
      </c>
      <c r="K61">
        <v>0</v>
      </c>
      <c r="L61">
        <v>0</v>
      </c>
      <c r="M61">
        <v>0</v>
      </c>
      <c r="N61">
        <v>22.54</v>
      </c>
      <c r="O61">
        <v>22.54</v>
      </c>
      <c r="P61">
        <v>22.54</v>
      </c>
      <c r="Q61">
        <v>22.54</v>
      </c>
      <c r="R61">
        <v>22.54</v>
      </c>
      <c r="S61">
        <v>22.54</v>
      </c>
      <c r="T61">
        <v>22.54</v>
      </c>
      <c r="U61">
        <v>22.54</v>
      </c>
      <c r="V61">
        <v>22.54</v>
      </c>
      <c r="W61" s="6" t="s">
        <v>764</v>
      </c>
      <c r="X61" s="6" t="s">
        <v>765</v>
      </c>
      <c r="Y61" s="6" t="s">
        <v>766</v>
      </c>
      <c r="Z61" s="6" t="s">
        <v>767</v>
      </c>
      <c r="AA61" s="6" t="s">
        <v>61</v>
      </c>
      <c r="AB61" s="6" t="s">
        <v>768</v>
      </c>
    </row>
    <row r="62" spans="1:28" x14ac:dyDescent="0.25">
      <c r="A62" t="s">
        <v>756</v>
      </c>
      <c r="B62" t="s">
        <v>757</v>
      </c>
      <c r="C62">
        <v>0</v>
      </c>
      <c r="D62" t="s">
        <v>887</v>
      </c>
      <c r="E62" t="s">
        <v>36</v>
      </c>
      <c r="F62" t="s">
        <v>888</v>
      </c>
      <c r="G62" t="s">
        <v>760</v>
      </c>
      <c r="H62" t="s">
        <v>761</v>
      </c>
      <c r="I62" t="s">
        <v>762</v>
      </c>
      <c r="J62" t="s">
        <v>763</v>
      </c>
      <c r="K62">
        <v>0</v>
      </c>
      <c r="L62">
        <v>0</v>
      </c>
      <c r="M62">
        <v>0</v>
      </c>
      <c r="N62">
        <v>22.54</v>
      </c>
      <c r="O62">
        <v>22.54</v>
      </c>
      <c r="P62">
        <v>22.54</v>
      </c>
      <c r="Q62">
        <v>22.54</v>
      </c>
      <c r="R62">
        <v>22.54</v>
      </c>
      <c r="S62">
        <v>22.54</v>
      </c>
      <c r="T62">
        <v>22.54</v>
      </c>
      <c r="U62">
        <v>22.54</v>
      </c>
      <c r="V62">
        <v>22.54</v>
      </c>
      <c r="W62" s="6" t="s">
        <v>764</v>
      </c>
      <c r="X62" s="6" t="s">
        <v>765</v>
      </c>
      <c r="Y62" s="6" t="s">
        <v>766</v>
      </c>
      <c r="Z62" s="6" t="s">
        <v>767</v>
      </c>
      <c r="AA62" s="6" t="s">
        <v>61</v>
      </c>
      <c r="AB62" s="6" t="s">
        <v>768</v>
      </c>
    </row>
    <row r="63" spans="1:28" x14ac:dyDescent="0.25">
      <c r="A63" t="s">
        <v>756</v>
      </c>
      <c r="B63" t="s">
        <v>757</v>
      </c>
      <c r="C63">
        <v>0</v>
      </c>
      <c r="D63" t="s">
        <v>889</v>
      </c>
      <c r="E63" t="s">
        <v>36</v>
      </c>
      <c r="F63" t="s">
        <v>890</v>
      </c>
      <c r="G63" t="s">
        <v>760</v>
      </c>
      <c r="H63" t="s">
        <v>761</v>
      </c>
      <c r="I63" t="s">
        <v>762</v>
      </c>
      <c r="J63" t="s">
        <v>763</v>
      </c>
      <c r="K63">
        <v>0</v>
      </c>
      <c r="L63">
        <v>0</v>
      </c>
      <c r="M63">
        <v>0</v>
      </c>
      <c r="N63">
        <v>22.54</v>
      </c>
      <c r="O63">
        <v>22.54</v>
      </c>
      <c r="P63">
        <v>22.54</v>
      </c>
      <c r="Q63">
        <v>22.54</v>
      </c>
      <c r="R63">
        <v>22.54</v>
      </c>
      <c r="S63">
        <v>22.54</v>
      </c>
      <c r="T63">
        <v>22.54</v>
      </c>
      <c r="U63">
        <v>22.54</v>
      </c>
      <c r="V63">
        <v>22.54</v>
      </c>
      <c r="W63" s="6" t="s">
        <v>764</v>
      </c>
      <c r="X63" s="6" t="s">
        <v>765</v>
      </c>
      <c r="Y63" s="6" t="s">
        <v>766</v>
      </c>
      <c r="Z63" s="6" t="s">
        <v>767</v>
      </c>
      <c r="AA63" s="6" t="s">
        <v>61</v>
      </c>
      <c r="AB63" s="6" t="s">
        <v>768</v>
      </c>
    </row>
    <row r="64" spans="1:28" x14ac:dyDescent="0.25">
      <c r="A64" t="s">
        <v>756</v>
      </c>
      <c r="B64" t="s">
        <v>757</v>
      </c>
      <c r="C64">
        <v>0</v>
      </c>
      <c r="D64" t="s">
        <v>891</v>
      </c>
      <c r="E64" t="s">
        <v>36</v>
      </c>
      <c r="F64" t="s">
        <v>892</v>
      </c>
      <c r="G64" t="s">
        <v>760</v>
      </c>
      <c r="H64" t="s">
        <v>761</v>
      </c>
      <c r="I64" t="s">
        <v>762</v>
      </c>
      <c r="J64" t="s">
        <v>763</v>
      </c>
      <c r="K64">
        <v>0</v>
      </c>
      <c r="L64">
        <v>0</v>
      </c>
      <c r="M64">
        <v>0</v>
      </c>
      <c r="N64">
        <v>22.54</v>
      </c>
      <c r="O64">
        <v>22.54</v>
      </c>
      <c r="P64">
        <v>22.54</v>
      </c>
      <c r="Q64">
        <v>22.54</v>
      </c>
      <c r="R64">
        <v>22.54</v>
      </c>
      <c r="S64">
        <v>22.54</v>
      </c>
      <c r="T64">
        <v>22.54</v>
      </c>
      <c r="U64">
        <v>22.54</v>
      </c>
      <c r="V64">
        <v>22.54</v>
      </c>
      <c r="W64" s="6" t="s">
        <v>764</v>
      </c>
      <c r="X64" s="6" t="s">
        <v>765</v>
      </c>
      <c r="Y64" s="6" t="s">
        <v>766</v>
      </c>
      <c r="Z64" s="6" t="s">
        <v>767</v>
      </c>
      <c r="AA64" s="6" t="s">
        <v>61</v>
      </c>
      <c r="AB64" s="6" t="s">
        <v>768</v>
      </c>
    </row>
    <row r="65" spans="1:28" x14ac:dyDescent="0.25">
      <c r="A65" t="s">
        <v>756</v>
      </c>
      <c r="B65" t="s">
        <v>757</v>
      </c>
      <c r="C65">
        <v>0</v>
      </c>
      <c r="D65" t="s">
        <v>893</v>
      </c>
      <c r="E65" t="s">
        <v>36</v>
      </c>
      <c r="F65" t="s">
        <v>894</v>
      </c>
      <c r="G65" t="s">
        <v>760</v>
      </c>
      <c r="H65" t="s">
        <v>761</v>
      </c>
      <c r="I65" t="s">
        <v>762</v>
      </c>
      <c r="J65" t="s">
        <v>763</v>
      </c>
      <c r="K65">
        <v>0</v>
      </c>
      <c r="L65">
        <v>0</v>
      </c>
      <c r="M65">
        <v>0</v>
      </c>
      <c r="N65">
        <v>22.54</v>
      </c>
      <c r="O65">
        <v>22.54</v>
      </c>
      <c r="P65">
        <v>22.54</v>
      </c>
      <c r="Q65">
        <v>22.54</v>
      </c>
      <c r="R65">
        <v>22.54</v>
      </c>
      <c r="S65">
        <v>22.54</v>
      </c>
      <c r="T65">
        <v>22.54</v>
      </c>
      <c r="U65">
        <v>22.54</v>
      </c>
      <c r="V65">
        <v>22.54</v>
      </c>
      <c r="W65" s="6" t="s">
        <v>764</v>
      </c>
      <c r="X65" s="6" t="s">
        <v>765</v>
      </c>
      <c r="Y65" s="6" t="s">
        <v>766</v>
      </c>
      <c r="Z65" s="6" t="s">
        <v>767</v>
      </c>
      <c r="AA65" s="6" t="s">
        <v>61</v>
      </c>
      <c r="AB65" s="6" t="s">
        <v>768</v>
      </c>
    </row>
    <row r="66" spans="1:28" x14ac:dyDescent="0.25">
      <c r="A66" t="s">
        <v>756</v>
      </c>
      <c r="B66" t="s">
        <v>757</v>
      </c>
      <c r="C66">
        <v>0</v>
      </c>
      <c r="D66" t="s">
        <v>895</v>
      </c>
      <c r="E66" t="s">
        <v>36</v>
      </c>
      <c r="F66" t="s">
        <v>896</v>
      </c>
      <c r="G66" t="s">
        <v>760</v>
      </c>
      <c r="H66" t="s">
        <v>761</v>
      </c>
      <c r="I66" t="s">
        <v>762</v>
      </c>
      <c r="J66" t="s">
        <v>763</v>
      </c>
      <c r="K66">
        <v>0</v>
      </c>
      <c r="L66">
        <v>0</v>
      </c>
      <c r="M66">
        <v>0</v>
      </c>
      <c r="N66">
        <v>22.54</v>
      </c>
      <c r="O66">
        <v>22.54</v>
      </c>
      <c r="P66">
        <v>22.54</v>
      </c>
      <c r="Q66">
        <v>22.54</v>
      </c>
      <c r="R66">
        <v>22.54</v>
      </c>
      <c r="S66">
        <v>22.54</v>
      </c>
      <c r="T66">
        <v>22.54</v>
      </c>
      <c r="U66">
        <v>22.54</v>
      </c>
      <c r="V66">
        <v>22.54</v>
      </c>
      <c r="W66" s="6" t="s">
        <v>764</v>
      </c>
      <c r="X66" s="6" t="s">
        <v>765</v>
      </c>
      <c r="Y66" s="6" t="s">
        <v>766</v>
      </c>
      <c r="Z66" s="6" t="s">
        <v>767</v>
      </c>
      <c r="AA66" s="6" t="s">
        <v>61</v>
      </c>
      <c r="AB66" s="6" t="s">
        <v>768</v>
      </c>
    </row>
    <row r="67" spans="1:28" x14ac:dyDescent="0.25">
      <c r="A67" t="s">
        <v>756</v>
      </c>
      <c r="B67" t="s">
        <v>757</v>
      </c>
      <c r="C67">
        <v>0</v>
      </c>
      <c r="D67" t="s">
        <v>897</v>
      </c>
      <c r="E67" t="s">
        <v>36</v>
      </c>
      <c r="F67" t="s">
        <v>898</v>
      </c>
      <c r="G67" t="s">
        <v>760</v>
      </c>
      <c r="H67" t="s">
        <v>761</v>
      </c>
      <c r="I67" t="s">
        <v>762</v>
      </c>
      <c r="J67" t="s">
        <v>763</v>
      </c>
      <c r="K67">
        <v>0</v>
      </c>
      <c r="L67">
        <v>0</v>
      </c>
      <c r="M67">
        <v>0</v>
      </c>
      <c r="N67">
        <v>22.54</v>
      </c>
      <c r="O67">
        <v>22.54</v>
      </c>
      <c r="P67">
        <v>22.54</v>
      </c>
      <c r="Q67">
        <v>22.54</v>
      </c>
      <c r="R67">
        <v>22.54</v>
      </c>
      <c r="S67">
        <v>22.54</v>
      </c>
      <c r="T67">
        <v>22.54</v>
      </c>
      <c r="U67">
        <v>22.54</v>
      </c>
      <c r="V67">
        <v>22.54</v>
      </c>
      <c r="W67" s="6" t="s">
        <v>764</v>
      </c>
      <c r="X67" s="6" t="s">
        <v>765</v>
      </c>
      <c r="Y67" s="6" t="s">
        <v>766</v>
      </c>
      <c r="Z67" s="6" t="s">
        <v>767</v>
      </c>
      <c r="AA67" s="6" t="s">
        <v>61</v>
      </c>
      <c r="AB67" s="6" t="s">
        <v>768</v>
      </c>
    </row>
    <row r="68" spans="1:28" x14ac:dyDescent="0.25">
      <c r="A68" t="s">
        <v>756</v>
      </c>
      <c r="B68" t="s">
        <v>757</v>
      </c>
      <c r="C68">
        <v>0</v>
      </c>
      <c r="D68" t="s">
        <v>899</v>
      </c>
      <c r="E68" t="s">
        <v>36</v>
      </c>
      <c r="F68" t="s">
        <v>900</v>
      </c>
      <c r="G68" t="s">
        <v>760</v>
      </c>
      <c r="H68" t="s">
        <v>761</v>
      </c>
      <c r="I68" t="s">
        <v>762</v>
      </c>
      <c r="J68" t="s">
        <v>763</v>
      </c>
      <c r="K68">
        <v>0</v>
      </c>
      <c r="L68">
        <v>0</v>
      </c>
      <c r="M68">
        <v>0</v>
      </c>
      <c r="N68">
        <v>22.54</v>
      </c>
      <c r="O68">
        <v>22.54</v>
      </c>
      <c r="P68">
        <v>22.54</v>
      </c>
      <c r="Q68">
        <v>22.54</v>
      </c>
      <c r="R68">
        <v>22.54</v>
      </c>
      <c r="S68">
        <v>22.54</v>
      </c>
      <c r="T68">
        <v>22.54</v>
      </c>
      <c r="U68">
        <v>22.54</v>
      </c>
      <c r="V68">
        <v>22.54</v>
      </c>
      <c r="W68" s="6" t="s">
        <v>764</v>
      </c>
      <c r="X68" s="6" t="s">
        <v>765</v>
      </c>
      <c r="Y68" s="6" t="s">
        <v>766</v>
      </c>
      <c r="Z68" s="6" t="s">
        <v>767</v>
      </c>
      <c r="AA68" s="6" t="s">
        <v>61</v>
      </c>
      <c r="AB68" s="6" t="s">
        <v>768</v>
      </c>
    </row>
    <row r="69" spans="1:28" x14ac:dyDescent="0.25">
      <c r="A69" t="s">
        <v>756</v>
      </c>
      <c r="B69" t="s">
        <v>757</v>
      </c>
      <c r="C69">
        <v>0</v>
      </c>
      <c r="D69" t="s">
        <v>901</v>
      </c>
      <c r="E69" t="s">
        <v>36</v>
      </c>
      <c r="F69" t="s">
        <v>902</v>
      </c>
      <c r="G69" t="s">
        <v>760</v>
      </c>
      <c r="H69" t="s">
        <v>761</v>
      </c>
      <c r="I69" t="s">
        <v>762</v>
      </c>
      <c r="J69" t="s">
        <v>763</v>
      </c>
      <c r="K69">
        <v>0</v>
      </c>
      <c r="L69">
        <v>0</v>
      </c>
      <c r="M69">
        <v>0</v>
      </c>
      <c r="N69">
        <v>22.54</v>
      </c>
      <c r="O69">
        <v>22.54</v>
      </c>
      <c r="P69">
        <v>22.54</v>
      </c>
      <c r="Q69">
        <v>22.54</v>
      </c>
      <c r="R69">
        <v>22.54</v>
      </c>
      <c r="S69">
        <v>22.54</v>
      </c>
      <c r="T69">
        <v>22.54</v>
      </c>
      <c r="U69">
        <v>22.54</v>
      </c>
      <c r="V69">
        <v>22.54</v>
      </c>
      <c r="W69" s="6" t="s">
        <v>764</v>
      </c>
      <c r="X69" s="6" t="s">
        <v>765</v>
      </c>
      <c r="Y69" s="6" t="s">
        <v>766</v>
      </c>
      <c r="Z69" s="6" t="s">
        <v>767</v>
      </c>
      <c r="AA69" s="6" t="s">
        <v>61</v>
      </c>
      <c r="AB69" s="6" t="s">
        <v>768</v>
      </c>
    </row>
    <row r="70" spans="1:28" x14ac:dyDescent="0.25">
      <c r="A70" t="s">
        <v>756</v>
      </c>
      <c r="B70" t="s">
        <v>757</v>
      </c>
      <c r="C70">
        <v>0</v>
      </c>
      <c r="D70" t="s">
        <v>903</v>
      </c>
      <c r="E70" t="s">
        <v>36</v>
      </c>
      <c r="F70" t="s">
        <v>904</v>
      </c>
      <c r="G70" t="s">
        <v>760</v>
      </c>
      <c r="H70" t="s">
        <v>761</v>
      </c>
      <c r="I70" t="s">
        <v>762</v>
      </c>
      <c r="J70" t="s">
        <v>763</v>
      </c>
      <c r="K70">
        <v>0</v>
      </c>
      <c r="L70">
        <v>0</v>
      </c>
      <c r="M70">
        <v>0</v>
      </c>
      <c r="N70">
        <v>22.54</v>
      </c>
      <c r="O70">
        <v>22.54</v>
      </c>
      <c r="P70">
        <v>22.54</v>
      </c>
      <c r="Q70">
        <v>22.54</v>
      </c>
      <c r="R70">
        <v>22.54</v>
      </c>
      <c r="S70">
        <v>22.54</v>
      </c>
      <c r="T70">
        <v>22.54</v>
      </c>
      <c r="U70">
        <v>22.54</v>
      </c>
      <c r="V70">
        <v>22.54</v>
      </c>
      <c r="W70" s="6" t="s">
        <v>764</v>
      </c>
      <c r="X70" s="6" t="s">
        <v>765</v>
      </c>
      <c r="Y70" s="6" t="s">
        <v>766</v>
      </c>
      <c r="Z70" s="6" t="s">
        <v>767</v>
      </c>
      <c r="AA70" s="6" t="s">
        <v>61</v>
      </c>
      <c r="AB70" s="6" t="s">
        <v>768</v>
      </c>
    </row>
    <row r="71" spans="1:28" x14ac:dyDescent="0.25">
      <c r="A71" t="s">
        <v>756</v>
      </c>
      <c r="B71" t="s">
        <v>757</v>
      </c>
      <c r="C71">
        <v>0</v>
      </c>
      <c r="D71" t="s">
        <v>905</v>
      </c>
      <c r="E71" t="s">
        <v>36</v>
      </c>
      <c r="F71" t="s">
        <v>906</v>
      </c>
      <c r="G71" t="s">
        <v>760</v>
      </c>
      <c r="H71" t="s">
        <v>761</v>
      </c>
      <c r="I71" t="s">
        <v>762</v>
      </c>
      <c r="J71" t="s">
        <v>763</v>
      </c>
      <c r="K71">
        <v>22.54</v>
      </c>
      <c r="L71">
        <v>22.54</v>
      </c>
      <c r="M71">
        <v>22.54</v>
      </c>
      <c r="N71">
        <v>22.54</v>
      </c>
      <c r="O71">
        <v>22.54</v>
      </c>
      <c r="P71">
        <v>22.54</v>
      </c>
      <c r="Q71">
        <v>22.54</v>
      </c>
      <c r="R71">
        <v>22.54</v>
      </c>
      <c r="S71">
        <v>22.54</v>
      </c>
      <c r="T71">
        <v>22.54</v>
      </c>
      <c r="U71">
        <v>22.54</v>
      </c>
      <c r="V71">
        <v>22.54</v>
      </c>
      <c r="W71" s="6" t="s">
        <v>764</v>
      </c>
      <c r="X71" s="6" t="s">
        <v>765</v>
      </c>
      <c r="Y71" s="6" t="s">
        <v>766</v>
      </c>
      <c r="Z71" s="6" t="s">
        <v>767</v>
      </c>
      <c r="AA71" s="6" t="s">
        <v>61</v>
      </c>
      <c r="AB71" s="6" t="s">
        <v>768</v>
      </c>
    </row>
    <row r="72" spans="1:28" x14ac:dyDescent="0.25">
      <c r="A72" t="s">
        <v>756</v>
      </c>
      <c r="B72" t="s">
        <v>757</v>
      </c>
      <c r="C72">
        <v>0</v>
      </c>
      <c r="D72" t="s">
        <v>907</v>
      </c>
      <c r="E72" t="s">
        <v>36</v>
      </c>
      <c r="F72" t="s">
        <v>908</v>
      </c>
      <c r="G72" t="s">
        <v>760</v>
      </c>
      <c r="H72" t="s">
        <v>761</v>
      </c>
      <c r="I72" t="s">
        <v>762</v>
      </c>
      <c r="J72" t="s">
        <v>763</v>
      </c>
      <c r="K72">
        <v>0</v>
      </c>
      <c r="L72">
        <v>0</v>
      </c>
      <c r="M72">
        <v>0</v>
      </c>
      <c r="N72">
        <v>22.54</v>
      </c>
      <c r="O72">
        <v>22.54</v>
      </c>
      <c r="P72">
        <v>22.54</v>
      </c>
      <c r="Q72">
        <v>22.54</v>
      </c>
      <c r="R72">
        <v>22.54</v>
      </c>
      <c r="S72">
        <v>22.54</v>
      </c>
      <c r="T72">
        <v>22.54</v>
      </c>
      <c r="U72">
        <v>22.54</v>
      </c>
      <c r="V72">
        <v>22.54</v>
      </c>
      <c r="W72" s="6" t="s">
        <v>764</v>
      </c>
      <c r="X72" s="6" t="s">
        <v>765</v>
      </c>
      <c r="Y72" s="6" t="s">
        <v>766</v>
      </c>
      <c r="Z72" s="6" t="s">
        <v>767</v>
      </c>
      <c r="AA72" s="6" t="s">
        <v>61</v>
      </c>
      <c r="AB72" s="6" t="s">
        <v>768</v>
      </c>
    </row>
    <row r="73" spans="1:28" x14ac:dyDescent="0.25">
      <c r="A73" t="s">
        <v>756</v>
      </c>
      <c r="B73" t="s">
        <v>757</v>
      </c>
      <c r="C73">
        <v>0</v>
      </c>
      <c r="D73" t="s">
        <v>909</v>
      </c>
      <c r="E73" t="s">
        <v>36</v>
      </c>
      <c r="F73" t="s">
        <v>910</v>
      </c>
      <c r="G73" t="s">
        <v>760</v>
      </c>
      <c r="H73" t="s">
        <v>761</v>
      </c>
      <c r="I73" t="s">
        <v>762</v>
      </c>
      <c r="J73" t="s">
        <v>763</v>
      </c>
      <c r="K73">
        <v>0</v>
      </c>
      <c r="L73">
        <v>0</v>
      </c>
      <c r="M73">
        <v>0</v>
      </c>
      <c r="N73">
        <v>22.54</v>
      </c>
      <c r="O73">
        <v>22.54</v>
      </c>
      <c r="P73">
        <v>22.54</v>
      </c>
      <c r="Q73">
        <v>22.54</v>
      </c>
      <c r="R73">
        <v>22.54</v>
      </c>
      <c r="S73">
        <v>22.54</v>
      </c>
      <c r="T73">
        <v>22.54</v>
      </c>
      <c r="U73">
        <v>22.54</v>
      </c>
      <c r="V73">
        <v>22.54</v>
      </c>
      <c r="W73" s="6" t="s">
        <v>764</v>
      </c>
      <c r="X73" s="6" t="s">
        <v>765</v>
      </c>
      <c r="Y73" s="6" t="s">
        <v>766</v>
      </c>
      <c r="Z73" s="6" t="s">
        <v>767</v>
      </c>
      <c r="AA73" s="6" t="s">
        <v>61</v>
      </c>
      <c r="AB73" s="6" t="s">
        <v>768</v>
      </c>
    </row>
    <row r="74" spans="1:28" x14ac:dyDescent="0.25">
      <c r="A74" t="s">
        <v>756</v>
      </c>
      <c r="B74" t="s">
        <v>757</v>
      </c>
      <c r="C74">
        <v>0</v>
      </c>
      <c r="D74" t="s">
        <v>911</v>
      </c>
      <c r="E74" t="s">
        <v>36</v>
      </c>
      <c r="F74" t="s">
        <v>912</v>
      </c>
      <c r="G74" t="s">
        <v>760</v>
      </c>
      <c r="H74" t="s">
        <v>761</v>
      </c>
      <c r="I74" t="s">
        <v>762</v>
      </c>
      <c r="J74" t="s">
        <v>763</v>
      </c>
      <c r="K74">
        <v>22.54</v>
      </c>
      <c r="L74">
        <v>22.54</v>
      </c>
      <c r="M74">
        <v>22.54</v>
      </c>
      <c r="N74">
        <v>22.54</v>
      </c>
      <c r="O74">
        <v>22.54</v>
      </c>
      <c r="P74">
        <v>22.54</v>
      </c>
      <c r="Q74">
        <v>22.54</v>
      </c>
      <c r="R74">
        <v>22.54</v>
      </c>
      <c r="S74">
        <v>22.54</v>
      </c>
      <c r="T74">
        <v>22.54</v>
      </c>
      <c r="U74">
        <v>22.54</v>
      </c>
      <c r="V74">
        <v>22.54</v>
      </c>
      <c r="W74" s="6" t="s">
        <v>764</v>
      </c>
      <c r="X74" s="6" t="s">
        <v>765</v>
      </c>
      <c r="Y74" s="6" t="s">
        <v>766</v>
      </c>
      <c r="Z74" s="6" t="s">
        <v>767</v>
      </c>
      <c r="AA74" s="6" t="s">
        <v>61</v>
      </c>
      <c r="AB74" s="6" t="s">
        <v>768</v>
      </c>
    </row>
    <row r="75" spans="1:28" x14ac:dyDescent="0.25">
      <c r="A75" t="s">
        <v>756</v>
      </c>
      <c r="B75" t="s">
        <v>757</v>
      </c>
      <c r="C75">
        <v>0</v>
      </c>
      <c r="D75" t="s">
        <v>913</v>
      </c>
      <c r="E75" t="s">
        <v>36</v>
      </c>
      <c r="F75" t="s">
        <v>914</v>
      </c>
      <c r="G75" t="s">
        <v>760</v>
      </c>
      <c r="H75" t="s">
        <v>761</v>
      </c>
      <c r="I75" t="s">
        <v>762</v>
      </c>
      <c r="J75" t="s">
        <v>763</v>
      </c>
      <c r="K75">
        <v>22.54</v>
      </c>
      <c r="L75">
        <v>22.54</v>
      </c>
      <c r="M75">
        <v>22.54</v>
      </c>
      <c r="N75">
        <v>22.54</v>
      </c>
      <c r="O75">
        <v>22.54</v>
      </c>
      <c r="P75">
        <v>22.54</v>
      </c>
      <c r="Q75">
        <v>22.54</v>
      </c>
      <c r="R75">
        <v>22.54</v>
      </c>
      <c r="S75">
        <v>22.54</v>
      </c>
      <c r="T75">
        <v>22.54</v>
      </c>
      <c r="U75">
        <v>22.54</v>
      </c>
      <c r="V75">
        <v>22.54</v>
      </c>
      <c r="W75" s="6" t="s">
        <v>764</v>
      </c>
      <c r="X75" s="6" t="s">
        <v>765</v>
      </c>
      <c r="Y75" s="6" t="s">
        <v>766</v>
      </c>
      <c r="Z75" s="6" t="s">
        <v>767</v>
      </c>
      <c r="AA75" s="6" t="s">
        <v>61</v>
      </c>
      <c r="AB75" s="6" t="s">
        <v>768</v>
      </c>
    </row>
    <row r="76" spans="1:28" x14ac:dyDescent="0.25">
      <c r="A76" t="s">
        <v>756</v>
      </c>
      <c r="B76" t="s">
        <v>757</v>
      </c>
      <c r="C76">
        <v>0</v>
      </c>
      <c r="D76" t="s">
        <v>915</v>
      </c>
      <c r="E76" t="s">
        <v>36</v>
      </c>
      <c r="F76" t="s">
        <v>916</v>
      </c>
      <c r="G76" t="s">
        <v>760</v>
      </c>
      <c r="H76" t="s">
        <v>761</v>
      </c>
      <c r="I76" t="s">
        <v>762</v>
      </c>
      <c r="J76" t="s">
        <v>763</v>
      </c>
      <c r="K76">
        <v>22.54</v>
      </c>
      <c r="L76">
        <v>22.54</v>
      </c>
      <c r="M76">
        <v>22.54</v>
      </c>
      <c r="N76">
        <v>22.54</v>
      </c>
      <c r="O76">
        <v>22.54</v>
      </c>
      <c r="P76">
        <v>22.54</v>
      </c>
      <c r="Q76">
        <v>22.54</v>
      </c>
      <c r="R76">
        <v>22.54</v>
      </c>
      <c r="S76">
        <v>22.54</v>
      </c>
      <c r="T76">
        <v>22.54</v>
      </c>
      <c r="U76">
        <v>22.54</v>
      </c>
      <c r="V76">
        <v>22.54</v>
      </c>
      <c r="W76" s="6" t="s">
        <v>764</v>
      </c>
      <c r="X76" s="6" t="s">
        <v>765</v>
      </c>
      <c r="Y76" s="6" t="s">
        <v>766</v>
      </c>
      <c r="Z76" s="6" t="s">
        <v>767</v>
      </c>
      <c r="AA76" s="6" t="s">
        <v>61</v>
      </c>
      <c r="AB76" s="6" t="s">
        <v>768</v>
      </c>
    </row>
    <row r="77" spans="1:28" x14ac:dyDescent="0.25">
      <c r="A77" t="s">
        <v>756</v>
      </c>
      <c r="B77" t="s">
        <v>757</v>
      </c>
      <c r="C77">
        <v>0</v>
      </c>
      <c r="D77" t="s">
        <v>917</v>
      </c>
      <c r="E77" t="s">
        <v>36</v>
      </c>
      <c r="F77" t="s">
        <v>918</v>
      </c>
      <c r="G77" t="s">
        <v>760</v>
      </c>
      <c r="H77" t="s">
        <v>761</v>
      </c>
      <c r="I77" t="s">
        <v>762</v>
      </c>
      <c r="J77" t="s">
        <v>763</v>
      </c>
      <c r="K77">
        <v>22.54</v>
      </c>
      <c r="L77">
        <v>22.54</v>
      </c>
      <c r="M77">
        <v>22.54</v>
      </c>
      <c r="N77">
        <v>22.54</v>
      </c>
      <c r="O77">
        <v>22.54</v>
      </c>
      <c r="P77">
        <v>22.54</v>
      </c>
      <c r="Q77">
        <v>22.54</v>
      </c>
      <c r="R77">
        <v>22.54</v>
      </c>
      <c r="S77">
        <v>22.54</v>
      </c>
      <c r="T77">
        <v>22.54</v>
      </c>
      <c r="U77">
        <v>22.54</v>
      </c>
      <c r="V77">
        <v>22.54</v>
      </c>
      <c r="W77" s="6" t="s">
        <v>764</v>
      </c>
      <c r="X77" s="6" t="s">
        <v>765</v>
      </c>
      <c r="Y77" s="6" t="s">
        <v>766</v>
      </c>
      <c r="Z77" s="6" t="s">
        <v>767</v>
      </c>
      <c r="AA77" s="6" t="s">
        <v>61</v>
      </c>
      <c r="AB77" s="6" t="s">
        <v>768</v>
      </c>
    </row>
    <row r="78" spans="1:28" x14ac:dyDescent="0.25">
      <c r="A78" t="s">
        <v>756</v>
      </c>
      <c r="B78" t="s">
        <v>757</v>
      </c>
      <c r="C78">
        <v>0</v>
      </c>
      <c r="D78" t="s">
        <v>919</v>
      </c>
      <c r="E78" t="s">
        <v>36</v>
      </c>
      <c r="F78" t="s">
        <v>920</v>
      </c>
      <c r="G78" t="s">
        <v>760</v>
      </c>
      <c r="H78" t="s">
        <v>761</v>
      </c>
      <c r="I78" t="s">
        <v>762</v>
      </c>
      <c r="J78" t="s">
        <v>763</v>
      </c>
      <c r="K78">
        <v>0</v>
      </c>
      <c r="L78">
        <v>0</v>
      </c>
      <c r="M78">
        <v>0</v>
      </c>
      <c r="N78">
        <v>22.54</v>
      </c>
      <c r="O78">
        <v>22.54</v>
      </c>
      <c r="P78">
        <v>22.54</v>
      </c>
      <c r="Q78">
        <v>22.54</v>
      </c>
      <c r="R78">
        <v>22.54</v>
      </c>
      <c r="S78">
        <v>22.54</v>
      </c>
      <c r="T78">
        <v>22.54</v>
      </c>
      <c r="U78">
        <v>22.54</v>
      </c>
      <c r="V78">
        <v>22.54</v>
      </c>
      <c r="W78" s="6" t="s">
        <v>764</v>
      </c>
      <c r="X78" s="6" t="s">
        <v>765</v>
      </c>
      <c r="Y78" s="6" t="s">
        <v>766</v>
      </c>
      <c r="Z78" s="6" t="s">
        <v>767</v>
      </c>
      <c r="AA78" s="6" t="s">
        <v>61</v>
      </c>
      <c r="AB78" s="6" t="s">
        <v>768</v>
      </c>
    </row>
    <row r="79" spans="1:28" x14ac:dyDescent="0.25">
      <c r="A79" t="s">
        <v>756</v>
      </c>
      <c r="B79" t="s">
        <v>757</v>
      </c>
      <c r="C79">
        <v>0</v>
      </c>
      <c r="D79" t="s">
        <v>921</v>
      </c>
      <c r="E79" t="s">
        <v>36</v>
      </c>
      <c r="F79" t="s">
        <v>922</v>
      </c>
      <c r="G79" t="s">
        <v>760</v>
      </c>
      <c r="H79" t="s">
        <v>761</v>
      </c>
      <c r="I79" t="s">
        <v>762</v>
      </c>
      <c r="J79" t="s">
        <v>763</v>
      </c>
      <c r="K79">
        <v>0</v>
      </c>
      <c r="L79">
        <v>22.54</v>
      </c>
      <c r="M79">
        <v>22.54</v>
      </c>
      <c r="N79">
        <v>22.54</v>
      </c>
      <c r="O79">
        <v>22.54</v>
      </c>
      <c r="P79">
        <v>22.54</v>
      </c>
      <c r="Q79">
        <v>22.54</v>
      </c>
      <c r="R79">
        <v>22.54</v>
      </c>
      <c r="S79">
        <v>22.54</v>
      </c>
      <c r="T79">
        <v>22.54</v>
      </c>
      <c r="U79">
        <v>22.54</v>
      </c>
      <c r="V79">
        <v>22.54</v>
      </c>
      <c r="W79" s="6" t="s">
        <v>764</v>
      </c>
      <c r="X79" s="6" t="s">
        <v>765</v>
      </c>
      <c r="Y79" s="6" t="s">
        <v>766</v>
      </c>
      <c r="Z79" s="6" t="s">
        <v>767</v>
      </c>
      <c r="AA79" s="6" t="s">
        <v>61</v>
      </c>
      <c r="AB79" s="6" t="s">
        <v>768</v>
      </c>
    </row>
    <row r="80" spans="1:28" x14ac:dyDescent="0.25">
      <c r="A80" t="s">
        <v>756</v>
      </c>
      <c r="B80" t="s">
        <v>757</v>
      </c>
      <c r="C80">
        <v>0</v>
      </c>
      <c r="D80" t="s">
        <v>923</v>
      </c>
      <c r="E80" t="s">
        <v>36</v>
      </c>
      <c r="F80" t="s">
        <v>924</v>
      </c>
      <c r="G80" t="s">
        <v>760</v>
      </c>
      <c r="H80" t="s">
        <v>761</v>
      </c>
      <c r="I80" t="s">
        <v>762</v>
      </c>
      <c r="J80" t="s">
        <v>763</v>
      </c>
      <c r="K80">
        <v>0</v>
      </c>
      <c r="L80">
        <v>0</v>
      </c>
      <c r="M80">
        <v>0</v>
      </c>
      <c r="N80">
        <v>22.54</v>
      </c>
      <c r="O80">
        <v>22.54</v>
      </c>
      <c r="P80">
        <v>22.54</v>
      </c>
      <c r="Q80">
        <v>22.54</v>
      </c>
      <c r="R80">
        <v>22.54</v>
      </c>
      <c r="S80">
        <v>22.54</v>
      </c>
      <c r="T80">
        <v>22.54</v>
      </c>
      <c r="U80">
        <v>22.54</v>
      </c>
      <c r="V80">
        <v>22.54</v>
      </c>
      <c r="W80" s="6" t="s">
        <v>764</v>
      </c>
      <c r="X80" s="6" t="s">
        <v>765</v>
      </c>
      <c r="Y80" s="6" t="s">
        <v>766</v>
      </c>
      <c r="Z80" s="6" t="s">
        <v>767</v>
      </c>
      <c r="AA80" s="6" t="s">
        <v>61</v>
      </c>
      <c r="AB80" s="6" t="s">
        <v>768</v>
      </c>
    </row>
    <row r="81" spans="1:28" x14ac:dyDescent="0.25">
      <c r="A81" t="s">
        <v>756</v>
      </c>
      <c r="B81" t="s">
        <v>757</v>
      </c>
      <c r="C81">
        <v>0</v>
      </c>
      <c r="D81" t="s">
        <v>925</v>
      </c>
      <c r="E81" t="s">
        <v>36</v>
      </c>
      <c r="F81" t="s">
        <v>926</v>
      </c>
      <c r="G81" t="s">
        <v>760</v>
      </c>
      <c r="H81" t="s">
        <v>761</v>
      </c>
      <c r="I81" t="s">
        <v>762</v>
      </c>
      <c r="J81" t="s">
        <v>763</v>
      </c>
      <c r="K81">
        <v>0</v>
      </c>
      <c r="L81">
        <v>0</v>
      </c>
      <c r="M81">
        <v>0</v>
      </c>
      <c r="N81">
        <v>22.54</v>
      </c>
      <c r="O81">
        <v>22.54</v>
      </c>
      <c r="P81">
        <v>22.54</v>
      </c>
      <c r="Q81">
        <v>22.54</v>
      </c>
      <c r="R81">
        <v>22.54</v>
      </c>
      <c r="S81">
        <v>22.54</v>
      </c>
      <c r="T81">
        <v>22.54</v>
      </c>
      <c r="U81">
        <v>22.54</v>
      </c>
      <c r="V81">
        <v>22.54</v>
      </c>
      <c r="W81" s="6" t="s">
        <v>764</v>
      </c>
      <c r="X81" s="6" t="s">
        <v>765</v>
      </c>
      <c r="Y81" s="6" t="s">
        <v>766</v>
      </c>
      <c r="Z81" s="6" t="s">
        <v>767</v>
      </c>
      <c r="AA81" s="6" t="s">
        <v>61</v>
      </c>
      <c r="AB81" s="6" t="s">
        <v>768</v>
      </c>
    </row>
    <row r="82" spans="1:28" x14ac:dyDescent="0.25">
      <c r="A82" t="s">
        <v>756</v>
      </c>
      <c r="B82" t="s">
        <v>757</v>
      </c>
      <c r="C82">
        <v>0</v>
      </c>
      <c r="D82" t="s">
        <v>927</v>
      </c>
      <c r="E82" t="s">
        <v>36</v>
      </c>
      <c r="F82" t="s">
        <v>928</v>
      </c>
      <c r="G82" t="s">
        <v>760</v>
      </c>
      <c r="H82" t="s">
        <v>761</v>
      </c>
      <c r="I82" t="s">
        <v>762</v>
      </c>
      <c r="J82" t="s">
        <v>763</v>
      </c>
      <c r="K82">
        <v>0</v>
      </c>
      <c r="L82">
        <v>0</v>
      </c>
      <c r="M82">
        <v>0</v>
      </c>
      <c r="N82">
        <v>22.54</v>
      </c>
      <c r="O82">
        <v>22.54</v>
      </c>
      <c r="P82">
        <v>22.54</v>
      </c>
      <c r="Q82">
        <v>22.54</v>
      </c>
      <c r="R82">
        <v>22.54</v>
      </c>
      <c r="S82">
        <v>22.54</v>
      </c>
      <c r="T82">
        <v>22.54</v>
      </c>
      <c r="U82">
        <v>22.54</v>
      </c>
      <c r="V82">
        <v>22.54</v>
      </c>
      <c r="W82" s="6" t="s">
        <v>764</v>
      </c>
      <c r="X82" s="6" t="s">
        <v>765</v>
      </c>
      <c r="Y82" s="6" t="s">
        <v>766</v>
      </c>
      <c r="Z82" s="6" t="s">
        <v>767</v>
      </c>
      <c r="AA82" s="6" t="s">
        <v>61</v>
      </c>
      <c r="AB82" s="6" t="s">
        <v>768</v>
      </c>
    </row>
    <row r="83" spans="1:28" x14ac:dyDescent="0.25">
      <c r="A83" t="s">
        <v>756</v>
      </c>
      <c r="B83" t="s">
        <v>757</v>
      </c>
      <c r="C83">
        <v>0</v>
      </c>
      <c r="D83" t="s">
        <v>929</v>
      </c>
      <c r="E83" t="s">
        <v>36</v>
      </c>
      <c r="F83" t="s">
        <v>930</v>
      </c>
      <c r="G83" t="s">
        <v>760</v>
      </c>
      <c r="H83" t="s">
        <v>761</v>
      </c>
      <c r="I83" t="s">
        <v>762</v>
      </c>
      <c r="J83" t="s">
        <v>763</v>
      </c>
      <c r="K83">
        <v>0</v>
      </c>
      <c r="L83">
        <v>22.54</v>
      </c>
      <c r="M83">
        <v>22.54</v>
      </c>
      <c r="N83">
        <v>22.54</v>
      </c>
      <c r="O83">
        <v>22.54</v>
      </c>
      <c r="P83">
        <v>22.54</v>
      </c>
      <c r="Q83">
        <v>22.54</v>
      </c>
      <c r="R83">
        <v>22.54</v>
      </c>
      <c r="S83">
        <v>22.54</v>
      </c>
      <c r="T83">
        <v>22.54</v>
      </c>
      <c r="U83">
        <v>22.54</v>
      </c>
      <c r="V83">
        <v>22.54</v>
      </c>
      <c r="W83" s="6" t="s">
        <v>764</v>
      </c>
      <c r="X83" s="6" t="s">
        <v>765</v>
      </c>
      <c r="Y83" s="6" t="s">
        <v>766</v>
      </c>
      <c r="Z83" s="6" t="s">
        <v>767</v>
      </c>
      <c r="AA83" s="6" t="s">
        <v>61</v>
      </c>
      <c r="AB83" s="6" t="s">
        <v>768</v>
      </c>
    </row>
    <row r="84" spans="1:28" x14ac:dyDescent="0.25">
      <c r="A84" t="s">
        <v>756</v>
      </c>
      <c r="B84" t="s">
        <v>757</v>
      </c>
      <c r="C84">
        <v>0</v>
      </c>
      <c r="D84" t="s">
        <v>931</v>
      </c>
      <c r="E84" t="s">
        <v>36</v>
      </c>
      <c r="F84" t="s">
        <v>932</v>
      </c>
      <c r="G84" t="s">
        <v>760</v>
      </c>
      <c r="H84" t="s">
        <v>761</v>
      </c>
      <c r="I84" t="s">
        <v>762</v>
      </c>
      <c r="J84" t="s">
        <v>763</v>
      </c>
      <c r="K84">
        <v>22.54</v>
      </c>
      <c r="L84">
        <v>22.54</v>
      </c>
      <c r="M84">
        <v>22.54</v>
      </c>
      <c r="N84">
        <v>22.54</v>
      </c>
      <c r="O84">
        <v>22.54</v>
      </c>
      <c r="P84">
        <v>22.54</v>
      </c>
      <c r="Q84">
        <v>22.54</v>
      </c>
      <c r="R84">
        <v>22.54</v>
      </c>
      <c r="S84">
        <v>22.54</v>
      </c>
      <c r="T84">
        <v>22.54</v>
      </c>
      <c r="U84">
        <v>22.54</v>
      </c>
      <c r="V84">
        <v>22.54</v>
      </c>
      <c r="W84" s="6" t="s">
        <v>764</v>
      </c>
      <c r="X84" s="6" t="s">
        <v>765</v>
      </c>
      <c r="Y84" s="6" t="s">
        <v>766</v>
      </c>
      <c r="Z84" s="6" t="s">
        <v>767</v>
      </c>
      <c r="AA84" s="6" t="s">
        <v>61</v>
      </c>
      <c r="AB84" s="6" t="s">
        <v>768</v>
      </c>
    </row>
    <row r="85" spans="1:28" x14ac:dyDescent="0.25">
      <c r="A85" t="s">
        <v>756</v>
      </c>
      <c r="B85" t="s">
        <v>757</v>
      </c>
      <c r="C85">
        <v>0</v>
      </c>
      <c r="D85" t="s">
        <v>933</v>
      </c>
      <c r="E85" t="s">
        <v>36</v>
      </c>
      <c r="F85" t="s">
        <v>934</v>
      </c>
      <c r="G85" t="s">
        <v>760</v>
      </c>
      <c r="H85" t="s">
        <v>761</v>
      </c>
      <c r="I85" t="s">
        <v>762</v>
      </c>
      <c r="J85" t="s">
        <v>763</v>
      </c>
      <c r="K85">
        <v>22.54</v>
      </c>
      <c r="L85">
        <v>22.54</v>
      </c>
      <c r="M85">
        <v>22.54</v>
      </c>
      <c r="N85">
        <v>22.54</v>
      </c>
      <c r="O85">
        <v>22.54</v>
      </c>
      <c r="P85">
        <v>22.54</v>
      </c>
      <c r="Q85">
        <v>22.54</v>
      </c>
      <c r="R85">
        <v>22.54</v>
      </c>
      <c r="S85">
        <v>22.54</v>
      </c>
      <c r="T85">
        <v>22.54</v>
      </c>
      <c r="U85">
        <v>22.54</v>
      </c>
      <c r="V85">
        <v>22.54</v>
      </c>
      <c r="W85" s="6" t="s">
        <v>764</v>
      </c>
      <c r="X85" s="6" t="s">
        <v>765</v>
      </c>
      <c r="Y85" s="6" t="s">
        <v>766</v>
      </c>
      <c r="Z85" s="6" t="s">
        <v>767</v>
      </c>
      <c r="AA85" s="6" t="s">
        <v>61</v>
      </c>
      <c r="AB85" s="6" t="s">
        <v>768</v>
      </c>
    </row>
    <row r="86" spans="1:28" x14ac:dyDescent="0.25">
      <c r="A86" t="s">
        <v>756</v>
      </c>
      <c r="B86" t="s">
        <v>757</v>
      </c>
      <c r="C86">
        <v>0</v>
      </c>
      <c r="D86" t="s">
        <v>935</v>
      </c>
      <c r="E86" t="s">
        <v>36</v>
      </c>
      <c r="F86" t="s">
        <v>936</v>
      </c>
      <c r="G86" t="s">
        <v>760</v>
      </c>
      <c r="H86" t="s">
        <v>761</v>
      </c>
      <c r="I86" t="s">
        <v>762</v>
      </c>
      <c r="J86" t="s">
        <v>763</v>
      </c>
      <c r="K86">
        <v>0</v>
      </c>
      <c r="L86">
        <v>0</v>
      </c>
      <c r="M86">
        <v>0</v>
      </c>
      <c r="N86">
        <v>22.54</v>
      </c>
      <c r="O86">
        <v>22.54</v>
      </c>
      <c r="P86">
        <v>22.54</v>
      </c>
      <c r="Q86">
        <v>22.54</v>
      </c>
      <c r="R86">
        <v>22.54</v>
      </c>
      <c r="S86">
        <v>22.54</v>
      </c>
      <c r="T86">
        <v>22.54</v>
      </c>
      <c r="U86">
        <v>22.54</v>
      </c>
      <c r="V86">
        <v>22.54</v>
      </c>
      <c r="W86" s="6" t="s">
        <v>764</v>
      </c>
      <c r="X86" s="6" t="s">
        <v>765</v>
      </c>
      <c r="Y86" s="6" t="s">
        <v>766</v>
      </c>
      <c r="Z86" s="6" t="s">
        <v>767</v>
      </c>
      <c r="AA86" s="6" t="s">
        <v>61</v>
      </c>
      <c r="AB86" s="6" t="s">
        <v>768</v>
      </c>
    </row>
    <row r="87" spans="1:28" x14ac:dyDescent="0.25">
      <c r="A87" t="s">
        <v>756</v>
      </c>
      <c r="B87" t="s">
        <v>757</v>
      </c>
      <c r="C87">
        <v>0</v>
      </c>
      <c r="D87" t="s">
        <v>937</v>
      </c>
      <c r="E87" t="s">
        <v>36</v>
      </c>
      <c r="F87" t="s">
        <v>938</v>
      </c>
      <c r="G87" t="s">
        <v>760</v>
      </c>
      <c r="H87" t="s">
        <v>761</v>
      </c>
      <c r="I87" t="s">
        <v>762</v>
      </c>
      <c r="J87" t="s">
        <v>763</v>
      </c>
      <c r="K87">
        <v>0</v>
      </c>
      <c r="L87">
        <v>0</v>
      </c>
      <c r="M87">
        <v>0</v>
      </c>
      <c r="N87">
        <v>22.54</v>
      </c>
      <c r="O87">
        <v>22.54</v>
      </c>
      <c r="P87">
        <v>22.54</v>
      </c>
      <c r="Q87">
        <v>22.54</v>
      </c>
      <c r="R87">
        <v>22.54</v>
      </c>
      <c r="S87">
        <v>22.54</v>
      </c>
      <c r="T87">
        <v>22.54</v>
      </c>
      <c r="U87">
        <v>22.54</v>
      </c>
      <c r="V87">
        <v>22.54</v>
      </c>
      <c r="W87" s="6" t="s">
        <v>764</v>
      </c>
      <c r="X87" s="6" t="s">
        <v>765</v>
      </c>
      <c r="Y87" s="6" t="s">
        <v>766</v>
      </c>
      <c r="Z87" s="6" t="s">
        <v>767</v>
      </c>
      <c r="AA87" s="6" t="s">
        <v>61</v>
      </c>
      <c r="AB87" s="6" t="s">
        <v>768</v>
      </c>
    </row>
    <row r="88" spans="1:28" x14ac:dyDescent="0.25">
      <c r="A88" t="s">
        <v>756</v>
      </c>
      <c r="B88" t="s">
        <v>757</v>
      </c>
      <c r="C88">
        <v>0</v>
      </c>
      <c r="D88" t="s">
        <v>939</v>
      </c>
      <c r="E88" t="s">
        <v>36</v>
      </c>
      <c r="F88" t="s">
        <v>940</v>
      </c>
      <c r="G88" t="s">
        <v>760</v>
      </c>
      <c r="H88" t="s">
        <v>761</v>
      </c>
      <c r="I88" t="s">
        <v>762</v>
      </c>
      <c r="J88" t="s">
        <v>763</v>
      </c>
      <c r="K88">
        <v>0</v>
      </c>
      <c r="L88">
        <v>0</v>
      </c>
      <c r="M88">
        <v>22.54</v>
      </c>
      <c r="N88">
        <v>22.54</v>
      </c>
      <c r="O88">
        <v>22.54</v>
      </c>
      <c r="P88">
        <v>22.54</v>
      </c>
      <c r="Q88">
        <v>22.54</v>
      </c>
      <c r="R88">
        <v>22.54</v>
      </c>
      <c r="S88">
        <v>22.54</v>
      </c>
      <c r="T88">
        <v>22.54</v>
      </c>
      <c r="U88">
        <v>22.54</v>
      </c>
      <c r="V88">
        <v>22.54</v>
      </c>
      <c r="W88" s="6" t="s">
        <v>764</v>
      </c>
      <c r="X88" s="6" t="s">
        <v>765</v>
      </c>
      <c r="Y88" s="6" t="s">
        <v>766</v>
      </c>
      <c r="Z88" s="6" t="s">
        <v>767</v>
      </c>
      <c r="AA88" s="6" t="s">
        <v>61</v>
      </c>
      <c r="AB88" s="6" t="s">
        <v>768</v>
      </c>
    </row>
    <row r="89" spans="1:28" x14ac:dyDescent="0.25">
      <c r="A89" t="s">
        <v>756</v>
      </c>
      <c r="B89" t="s">
        <v>757</v>
      </c>
      <c r="C89">
        <v>0</v>
      </c>
      <c r="D89" t="s">
        <v>941</v>
      </c>
      <c r="E89" t="s">
        <v>36</v>
      </c>
      <c r="F89" t="s">
        <v>942</v>
      </c>
      <c r="G89" t="s">
        <v>760</v>
      </c>
      <c r="H89" t="s">
        <v>761</v>
      </c>
      <c r="I89" t="s">
        <v>762</v>
      </c>
      <c r="J89" t="s">
        <v>763</v>
      </c>
      <c r="K89">
        <v>22.54</v>
      </c>
      <c r="L89">
        <v>22.54</v>
      </c>
      <c r="M89">
        <v>22.54</v>
      </c>
      <c r="N89">
        <v>22.54</v>
      </c>
      <c r="O89">
        <v>22.54</v>
      </c>
      <c r="P89">
        <v>22.54</v>
      </c>
      <c r="Q89">
        <v>22.54</v>
      </c>
      <c r="R89">
        <v>22.54</v>
      </c>
      <c r="S89">
        <v>22.54</v>
      </c>
      <c r="T89">
        <v>22.54</v>
      </c>
      <c r="U89">
        <v>22.54</v>
      </c>
      <c r="V89">
        <v>22.54</v>
      </c>
      <c r="W89" s="6" t="s">
        <v>764</v>
      </c>
      <c r="X89" s="6" t="s">
        <v>765</v>
      </c>
      <c r="Y89" s="6" t="s">
        <v>766</v>
      </c>
      <c r="Z89" s="6" t="s">
        <v>767</v>
      </c>
      <c r="AA89" s="6" t="s">
        <v>61</v>
      </c>
      <c r="AB89" s="6" t="s">
        <v>768</v>
      </c>
    </row>
    <row r="90" spans="1:28" x14ac:dyDescent="0.25">
      <c r="A90" t="s">
        <v>756</v>
      </c>
      <c r="B90" t="s">
        <v>757</v>
      </c>
      <c r="C90">
        <v>0</v>
      </c>
      <c r="D90" t="s">
        <v>943</v>
      </c>
      <c r="E90" t="s">
        <v>36</v>
      </c>
      <c r="F90" t="s">
        <v>944</v>
      </c>
      <c r="G90" t="s">
        <v>760</v>
      </c>
      <c r="H90" t="s">
        <v>761</v>
      </c>
      <c r="I90" t="s">
        <v>762</v>
      </c>
      <c r="J90" t="s">
        <v>763</v>
      </c>
      <c r="K90">
        <v>0</v>
      </c>
      <c r="L90">
        <v>0</v>
      </c>
      <c r="M90">
        <v>0</v>
      </c>
      <c r="N90">
        <v>22.54</v>
      </c>
      <c r="O90">
        <v>22.54</v>
      </c>
      <c r="P90">
        <v>22.54</v>
      </c>
      <c r="Q90">
        <v>22.54</v>
      </c>
      <c r="R90">
        <v>22.54</v>
      </c>
      <c r="S90">
        <v>22.54</v>
      </c>
      <c r="T90">
        <v>22.54</v>
      </c>
      <c r="U90">
        <v>22.54</v>
      </c>
      <c r="V90">
        <v>22.54</v>
      </c>
      <c r="W90" s="6" t="s">
        <v>764</v>
      </c>
      <c r="X90" s="6" t="s">
        <v>765</v>
      </c>
      <c r="Y90" s="6" t="s">
        <v>766</v>
      </c>
      <c r="Z90" s="6" t="s">
        <v>767</v>
      </c>
      <c r="AA90" s="6" t="s">
        <v>61</v>
      </c>
      <c r="AB90" s="6" t="s">
        <v>768</v>
      </c>
    </row>
    <row r="91" spans="1:28" x14ac:dyDescent="0.25">
      <c r="A91" t="s">
        <v>756</v>
      </c>
      <c r="B91" t="s">
        <v>757</v>
      </c>
      <c r="C91">
        <v>0</v>
      </c>
      <c r="D91" t="s">
        <v>945</v>
      </c>
      <c r="E91" t="s">
        <v>36</v>
      </c>
      <c r="F91" t="s">
        <v>946</v>
      </c>
      <c r="G91" t="s">
        <v>760</v>
      </c>
      <c r="H91" t="s">
        <v>761</v>
      </c>
      <c r="I91" t="s">
        <v>762</v>
      </c>
      <c r="J91" t="s">
        <v>763</v>
      </c>
      <c r="K91">
        <v>0</v>
      </c>
      <c r="L91">
        <v>0</v>
      </c>
      <c r="M91">
        <v>22.54</v>
      </c>
      <c r="N91">
        <v>22.54</v>
      </c>
      <c r="O91">
        <v>22.54</v>
      </c>
      <c r="P91">
        <v>22.54</v>
      </c>
      <c r="Q91">
        <v>22.54</v>
      </c>
      <c r="R91">
        <v>22.54</v>
      </c>
      <c r="S91">
        <v>22.54</v>
      </c>
      <c r="T91">
        <v>22.54</v>
      </c>
      <c r="U91">
        <v>22.54</v>
      </c>
      <c r="V91">
        <v>22.54</v>
      </c>
      <c r="W91" s="6" t="s">
        <v>764</v>
      </c>
      <c r="X91" s="6" t="s">
        <v>765</v>
      </c>
      <c r="Y91" s="6" t="s">
        <v>766</v>
      </c>
      <c r="Z91" s="6" t="s">
        <v>767</v>
      </c>
      <c r="AA91" s="6" t="s">
        <v>61</v>
      </c>
      <c r="AB91" s="6" t="s">
        <v>768</v>
      </c>
    </row>
    <row r="92" spans="1:28" x14ac:dyDescent="0.25">
      <c r="A92" t="s">
        <v>756</v>
      </c>
      <c r="B92" t="s">
        <v>757</v>
      </c>
      <c r="C92">
        <v>0</v>
      </c>
      <c r="D92" t="s">
        <v>947</v>
      </c>
      <c r="E92" t="s">
        <v>36</v>
      </c>
      <c r="F92" t="s">
        <v>948</v>
      </c>
      <c r="G92" t="s">
        <v>760</v>
      </c>
      <c r="H92" t="s">
        <v>761</v>
      </c>
      <c r="I92" t="s">
        <v>762</v>
      </c>
      <c r="J92" t="s">
        <v>763</v>
      </c>
      <c r="K92">
        <v>22.54</v>
      </c>
      <c r="L92">
        <v>22.54</v>
      </c>
      <c r="M92">
        <v>22.54</v>
      </c>
      <c r="N92">
        <v>22.54</v>
      </c>
      <c r="O92">
        <v>22.54</v>
      </c>
      <c r="P92">
        <v>22.54</v>
      </c>
      <c r="Q92">
        <v>22.54</v>
      </c>
      <c r="R92">
        <v>22.54</v>
      </c>
      <c r="S92">
        <v>22.54</v>
      </c>
      <c r="T92">
        <v>22.54</v>
      </c>
      <c r="U92">
        <v>22.54</v>
      </c>
      <c r="V92">
        <v>22.54</v>
      </c>
      <c r="W92" s="6" t="s">
        <v>764</v>
      </c>
      <c r="X92" s="6" t="s">
        <v>765</v>
      </c>
      <c r="Y92" s="6" t="s">
        <v>766</v>
      </c>
      <c r="Z92" s="6" t="s">
        <v>767</v>
      </c>
      <c r="AA92" s="6" t="s">
        <v>61</v>
      </c>
      <c r="AB92" s="6" t="s">
        <v>768</v>
      </c>
    </row>
    <row r="93" spans="1:28" x14ac:dyDescent="0.25">
      <c r="A93" t="s">
        <v>756</v>
      </c>
      <c r="B93" t="s">
        <v>757</v>
      </c>
      <c r="C93">
        <v>0</v>
      </c>
      <c r="D93" t="s">
        <v>949</v>
      </c>
      <c r="E93" t="s">
        <v>36</v>
      </c>
      <c r="F93" t="s">
        <v>950</v>
      </c>
      <c r="G93" t="s">
        <v>760</v>
      </c>
      <c r="H93" t="s">
        <v>761</v>
      </c>
      <c r="I93" t="s">
        <v>762</v>
      </c>
      <c r="J93" t="s">
        <v>763</v>
      </c>
      <c r="K93">
        <v>22.54</v>
      </c>
      <c r="L93">
        <v>22.54</v>
      </c>
      <c r="M93">
        <v>22.54</v>
      </c>
      <c r="N93">
        <v>22.54</v>
      </c>
      <c r="O93">
        <v>22.54</v>
      </c>
      <c r="P93">
        <v>22.54</v>
      </c>
      <c r="Q93">
        <v>22.54</v>
      </c>
      <c r="R93">
        <v>22.54</v>
      </c>
      <c r="S93">
        <v>22.54</v>
      </c>
      <c r="T93">
        <v>22.54</v>
      </c>
      <c r="U93">
        <v>22.54</v>
      </c>
      <c r="V93">
        <v>22.54</v>
      </c>
      <c r="W93" s="6" t="s">
        <v>764</v>
      </c>
      <c r="X93" s="6" t="s">
        <v>765</v>
      </c>
      <c r="Y93" s="6" t="s">
        <v>766</v>
      </c>
      <c r="Z93" s="6" t="s">
        <v>767</v>
      </c>
      <c r="AA93" s="6" t="s">
        <v>61</v>
      </c>
      <c r="AB93" s="6" t="s">
        <v>768</v>
      </c>
    </row>
    <row r="94" spans="1:28" x14ac:dyDescent="0.25">
      <c r="A94" t="s">
        <v>756</v>
      </c>
      <c r="B94" t="s">
        <v>757</v>
      </c>
      <c r="C94">
        <v>0</v>
      </c>
      <c r="D94" t="s">
        <v>951</v>
      </c>
      <c r="E94" t="s">
        <v>36</v>
      </c>
      <c r="F94" t="s">
        <v>952</v>
      </c>
      <c r="G94" t="s">
        <v>760</v>
      </c>
      <c r="H94" t="s">
        <v>761</v>
      </c>
      <c r="I94" t="s">
        <v>762</v>
      </c>
      <c r="J94" t="s">
        <v>763</v>
      </c>
      <c r="K94">
        <v>22.54</v>
      </c>
      <c r="L94">
        <v>22.54</v>
      </c>
      <c r="M94">
        <v>22.54</v>
      </c>
      <c r="N94">
        <v>22.54</v>
      </c>
      <c r="O94">
        <v>22.54</v>
      </c>
      <c r="P94">
        <v>22.54</v>
      </c>
      <c r="Q94">
        <v>22.54</v>
      </c>
      <c r="R94">
        <v>22.54</v>
      </c>
      <c r="S94">
        <v>22.54</v>
      </c>
      <c r="T94">
        <v>22.54</v>
      </c>
      <c r="U94">
        <v>22.54</v>
      </c>
      <c r="V94">
        <v>22.54</v>
      </c>
      <c r="W94" s="6" t="s">
        <v>764</v>
      </c>
      <c r="X94" s="6" t="s">
        <v>765</v>
      </c>
      <c r="Y94" s="6" t="s">
        <v>766</v>
      </c>
      <c r="Z94" s="6" t="s">
        <v>767</v>
      </c>
      <c r="AA94" s="6" t="s">
        <v>61</v>
      </c>
      <c r="AB94" s="6" t="s">
        <v>768</v>
      </c>
    </row>
    <row r="95" spans="1:28" x14ac:dyDescent="0.25">
      <c r="A95" t="s">
        <v>756</v>
      </c>
      <c r="B95" t="s">
        <v>757</v>
      </c>
      <c r="C95">
        <v>0</v>
      </c>
      <c r="D95" t="s">
        <v>953</v>
      </c>
      <c r="E95" t="s">
        <v>36</v>
      </c>
      <c r="F95" t="s">
        <v>954</v>
      </c>
      <c r="G95" t="s">
        <v>760</v>
      </c>
      <c r="H95" t="s">
        <v>761</v>
      </c>
      <c r="I95" t="s">
        <v>762</v>
      </c>
      <c r="J95" t="s">
        <v>763</v>
      </c>
      <c r="K95">
        <v>0</v>
      </c>
      <c r="L95">
        <v>0</v>
      </c>
      <c r="M95">
        <v>0</v>
      </c>
      <c r="N95">
        <v>22.54</v>
      </c>
      <c r="O95">
        <v>22.54</v>
      </c>
      <c r="P95">
        <v>22.54</v>
      </c>
      <c r="Q95">
        <v>22.54</v>
      </c>
      <c r="R95">
        <v>22.54</v>
      </c>
      <c r="S95">
        <v>22.54</v>
      </c>
      <c r="T95">
        <v>22.54</v>
      </c>
      <c r="U95">
        <v>22.54</v>
      </c>
      <c r="V95">
        <v>22.54</v>
      </c>
      <c r="W95" s="6" t="s">
        <v>764</v>
      </c>
      <c r="X95" s="6" t="s">
        <v>765</v>
      </c>
      <c r="Y95" s="6" t="s">
        <v>766</v>
      </c>
      <c r="Z95" s="6" t="s">
        <v>767</v>
      </c>
      <c r="AA95" s="6" t="s">
        <v>61</v>
      </c>
      <c r="AB95" s="6" t="s">
        <v>768</v>
      </c>
    </row>
    <row r="96" spans="1:28" x14ac:dyDescent="0.25">
      <c r="A96" t="s">
        <v>756</v>
      </c>
      <c r="B96" t="s">
        <v>757</v>
      </c>
      <c r="C96">
        <v>0</v>
      </c>
      <c r="D96" t="s">
        <v>955</v>
      </c>
      <c r="E96" t="s">
        <v>36</v>
      </c>
      <c r="F96" t="s">
        <v>956</v>
      </c>
      <c r="G96" t="s">
        <v>760</v>
      </c>
      <c r="H96" t="s">
        <v>761</v>
      </c>
      <c r="I96" t="s">
        <v>762</v>
      </c>
      <c r="J96" t="s">
        <v>763</v>
      </c>
      <c r="K96">
        <v>0</v>
      </c>
      <c r="L96">
        <v>0</v>
      </c>
      <c r="M96">
        <v>0</v>
      </c>
      <c r="N96">
        <v>22.54</v>
      </c>
      <c r="O96">
        <v>22.54</v>
      </c>
      <c r="P96">
        <v>22.54</v>
      </c>
      <c r="Q96">
        <v>22.54</v>
      </c>
      <c r="R96">
        <v>22.54</v>
      </c>
      <c r="S96">
        <v>22.54</v>
      </c>
      <c r="T96">
        <v>22.54</v>
      </c>
      <c r="U96">
        <v>22.54</v>
      </c>
      <c r="V96">
        <v>22.54</v>
      </c>
      <c r="W96" s="6" t="s">
        <v>764</v>
      </c>
      <c r="X96" s="6" t="s">
        <v>765</v>
      </c>
      <c r="Y96" s="6" t="s">
        <v>766</v>
      </c>
      <c r="Z96" s="6" t="s">
        <v>767</v>
      </c>
      <c r="AA96" s="6" t="s">
        <v>61</v>
      </c>
      <c r="AB96" s="6" t="s">
        <v>768</v>
      </c>
    </row>
    <row r="97" spans="1:28" x14ac:dyDescent="0.25">
      <c r="A97" t="s">
        <v>756</v>
      </c>
      <c r="B97" t="s">
        <v>757</v>
      </c>
      <c r="C97">
        <v>0</v>
      </c>
      <c r="D97" t="s">
        <v>957</v>
      </c>
      <c r="E97" t="s">
        <v>36</v>
      </c>
      <c r="F97" t="s">
        <v>958</v>
      </c>
      <c r="G97" t="s">
        <v>760</v>
      </c>
      <c r="H97" t="s">
        <v>761</v>
      </c>
      <c r="I97" t="s">
        <v>762</v>
      </c>
      <c r="J97" t="s">
        <v>763</v>
      </c>
      <c r="K97">
        <v>22.54</v>
      </c>
      <c r="L97">
        <v>22.54</v>
      </c>
      <c r="M97">
        <v>22.54</v>
      </c>
      <c r="N97">
        <v>22.54</v>
      </c>
      <c r="O97">
        <v>22.54</v>
      </c>
      <c r="P97">
        <v>22.54</v>
      </c>
      <c r="Q97">
        <v>22.54</v>
      </c>
      <c r="R97">
        <v>22.54</v>
      </c>
      <c r="S97">
        <v>22.54</v>
      </c>
      <c r="T97">
        <v>22.54</v>
      </c>
      <c r="U97">
        <v>22.54</v>
      </c>
      <c r="V97">
        <v>22.54</v>
      </c>
      <c r="W97" s="6" t="s">
        <v>764</v>
      </c>
      <c r="X97" s="6" t="s">
        <v>765</v>
      </c>
      <c r="Y97" s="6" t="s">
        <v>766</v>
      </c>
      <c r="Z97" s="6" t="s">
        <v>767</v>
      </c>
      <c r="AA97" s="6" t="s">
        <v>61</v>
      </c>
      <c r="AB97" s="6" t="s">
        <v>768</v>
      </c>
    </row>
    <row r="98" spans="1:28" x14ac:dyDescent="0.25">
      <c r="A98" t="s">
        <v>756</v>
      </c>
      <c r="B98" t="s">
        <v>757</v>
      </c>
      <c r="C98">
        <v>0</v>
      </c>
      <c r="D98" t="s">
        <v>959</v>
      </c>
      <c r="E98" t="s">
        <v>36</v>
      </c>
      <c r="F98" t="s">
        <v>960</v>
      </c>
      <c r="G98" t="s">
        <v>760</v>
      </c>
      <c r="H98" t="s">
        <v>761</v>
      </c>
      <c r="I98" t="s">
        <v>762</v>
      </c>
      <c r="J98" t="s">
        <v>763</v>
      </c>
      <c r="K98">
        <v>0</v>
      </c>
      <c r="L98">
        <v>0</v>
      </c>
      <c r="M98">
        <v>0</v>
      </c>
      <c r="N98">
        <v>22.54</v>
      </c>
      <c r="O98">
        <v>22.54</v>
      </c>
      <c r="P98">
        <v>22.54</v>
      </c>
      <c r="Q98">
        <v>22.54</v>
      </c>
      <c r="R98">
        <v>22.54</v>
      </c>
      <c r="S98">
        <v>22.54</v>
      </c>
      <c r="T98">
        <v>22.54</v>
      </c>
      <c r="U98">
        <v>22.54</v>
      </c>
      <c r="V98">
        <v>22.54</v>
      </c>
      <c r="W98" s="6" t="s">
        <v>764</v>
      </c>
      <c r="X98" s="6" t="s">
        <v>765</v>
      </c>
      <c r="Y98" s="6" t="s">
        <v>766</v>
      </c>
      <c r="Z98" s="6" t="s">
        <v>767</v>
      </c>
      <c r="AA98" s="6" t="s">
        <v>61</v>
      </c>
      <c r="AB98" s="6" t="s">
        <v>768</v>
      </c>
    </row>
    <row r="99" spans="1:28" x14ac:dyDescent="0.25">
      <c r="A99" t="s">
        <v>756</v>
      </c>
      <c r="B99" t="s">
        <v>757</v>
      </c>
      <c r="C99">
        <v>0</v>
      </c>
      <c r="D99" t="s">
        <v>961</v>
      </c>
      <c r="E99" t="s">
        <v>36</v>
      </c>
      <c r="F99" t="s">
        <v>962</v>
      </c>
      <c r="G99" t="s">
        <v>760</v>
      </c>
      <c r="H99" t="s">
        <v>761</v>
      </c>
      <c r="I99" t="s">
        <v>762</v>
      </c>
      <c r="J99" t="s">
        <v>763</v>
      </c>
      <c r="K99">
        <v>0</v>
      </c>
      <c r="L99">
        <v>0</v>
      </c>
      <c r="M99">
        <v>0</v>
      </c>
      <c r="N99">
        <v>22.54</v>
      </c>
      <c r="O99">
        <v>22.54</v>
      </c>
      <c r="P99">
        <v>22.54</v>
      </c>
      <c r="Q99">
        <v>22.54</v>
      </c>
      <c r="R99">
        <v>22.54</v>
      </c>
      <c r="S99">
        <v>22.54</v>
      </c>
      <c r="T99">
        <v>22.54</v>
      </c>
      <c r="U99">
        <v>22.54</v>
      </c>
      <c r="V99">
        <v>22.54</v>
      </c>
      <c r="W99" s="6" t="s">
        <v>764</v>
      </c>
      <c r="X99" s="6" t="s">
        <v>765</v>
      </c>
      <c r="Y99" s="6" t="s">
        <v>766</v>
      </c>
      <c r="Z99" s="6" t="s">
        <v>767</v>
      </c>
      <c r="AA99" s="6" t="s">
        <v>61</v>
      </c>
      <c r="AB99" s="6" t="s">
        <v>768</v>
      </c>
    </row>
    <row r="100" spans="1:28" x14ac:dyDescent="0.25">
      <c r="A100" t="s">
        <v>756</v>
      </c>
      <c r="B100" t="s">
        <v>757</v>
      </c>
      <c r="C100">
        <v>0</v>
      </c>
      <c r="D100" t="s">
        <v>963</v>
      </c>
      <c r="E100" t="s">
        <v>36</v>
      </c>
      <c r="F100" t="s">
        <v>964</v>
      </c>
      <c r="G100" t="s">
        <v>760</v>
      </c>
      <c r="H100" t="s">
        <v>761</v>
      </c>
      <c r="I100" t="s">
        <v>762</v>
      </c>
      <c r="J100" t="s">
        <v>763</v>
      </c>
      <c r="K100">
        <v>0</v>
      </c>
      <c r="L100">
        <v>0</v>
      </c>
      <c r="M100">
        <v>0</v>
      </c>
      <c r="N100">
        <v>22.54</v>
      </c>
      <c r="O100">
        <v>22.54</v>
      </c>
      <c r="P100">
        <v>22.54</v>
      </c>
      <c r="Q100">
        <v>22.54</v>
      </c>
      <c r="R100">
        <v>22.54</v>
      </c>
      <c r="S100">
        <v>22.54</v>
      </c>
      <c r="T100">
        <v>22.54</v>
      </c>
      <c r="U100">
        <v>22.54</v>
      </c>
      <c r="V100">
        <v>22.54</v>
      </c>
      <c r="W100" s="6" t="s">
        <v>764</v>
      </c>
      <c r="X100" s="6" t="s">
        <v>765</v>
      </c>
      <c r="Y100" s="6" t="s">
        <v>766</v>
      </c>
      <c r="Z100" s="6" t="s">
        <v>767</v>
      </c>
      <c r="AA100" s="6" t="s">
        <v>61</v>
      </c>
      <c r="AB100" s="6" t="s">
        <v>768</v>
      </c>
    </row>
    <row r="101" spans="1:28" x14ac:dyDescent="0.25">
      <c r="A101" t="s">
        <v>756</v>
      </c>
      <c r="B101" t="s">
        <v>757</v>
      </c>
      <c r="C101">
        <v>0</v>
      </c>
      <c r="D101" t="s">
        <v>965</v>
      </c>
      <c r="E101" t="s">
        <v>36</v>
      </c>
      <c r="F101" t="s">
        <v>966</v>
      </c>
      <c r="G101" t="s">
        <v>760</v>
      </c>
      <c r="H101" t="s">
        <v>761</v>
      </c>
      <c r="I101" t="s">
        <v>762</v>
      </c>
      <c r="J101" t="s">
        <v>763</v>
      </c>
      <c r="K101">
        <v>0</v>
      </c>
      <c r="L101">
        <v>0</v>
      </c>
      <c r="M101">
        <v>0</v>
      </c>
      <c r="N101">
        <v>22.54</v>
      </c>
      <c r="O101">
        <v>22.54</v>
      </c>
      <c r="P101">
        <v>22.54</v>
      </c>
      <c r="Q101">
        <v>22.54</v>
      </c>
      <c r="R101">
        <v>22.54</v>
      </c>
      <c r="S101">
        <v>22.54</v>
      </c>
      <c r="T101">
        <v>22.54</v>
      </c>
      <c r="U101">
        <v>22.54</v>
      </c>
      <c r="V101">
        <v>22.54</v>
      </c>
      <c r="W101" s="6" t="s">
        <v>764</v>
      </c>
      <c r="X101" s="6" t="s">
        <v>765</v>
      </c>
      <c r="Y101" s="6" t="s">
        <v>766</v>
      </c>
      <c r="Z101" s="6" t="s">
        <v>767</v>
      </c>
      <c r="AA101" s="6" t="s">
        <v>61</v>
      </c>
      <c r="AB101" s="6" t="s">
        <v>768</v>
      </c>
    </row>
    <row r="102" spans="1:28" x14ac:dyDescent="0.25">
      <c r="A102" t="s">
        <v>756</v>
      </c>
      <c r="B102" t="s">
        <v>757</v>
      </c>
      <c r="C102">
        <v>0</v>
      </c>
      <c r="D102" t="s">
        <v>967</v>
      </c>
      <c r="E102" t="s">
        <v>36</v>
      </c>
      <c r="F102" t="s">
        <v>968</v>
      </c>
      <c r="G102" t="s">
        <v>760</v>
      </c>
      <c r="H102" t="s">
        <v>761</v>
      </c>
      <c r="I102" t="s">
        <v>762</v>
      </c>
      <c r="J102" t="s">
        <v>763</v>
      </c>
      <c r="K102">
        <v>0</v>
      </c>
      <c r="L102">
        <v>0</v>
      </c>
      <c r="M102">
        <v>0</v>
      </c>
      <c r="N102">
        <v>22.54</v>
      </c>
      <c r="O102">
        <v>22.54</v>
      </c>
      <c r="P102">
        <v>22.54</v>
      </c>
      <c r="Q102">
        <v>22.54</v>
      </c>
      <c r="R102">
        <v>22.54</v>
      </c>
      <c r="S102">
        <v>22.54</v>
      </c>
      <c r="T102">
        <v>22.54</v>
      </c>
      <c r="U102">
        <v>22.54</v>
      </c>
      <c r="V102">
        <v>22.54</v>
      </c>
      <c r="W102" s="6" t="s">
        <v>764</v>
      </c>
      <c r="X102" s="6" t="s">
        <v>765</v>
      </c>
      <c r="Y102" s="6" t="s">
        <v>766</v>
      </c>
      <c r="Z102" s="6" t="s">
        <v>767</v>
      </c>
      <c r="AA102" s="6" t="s">
        <v>61</v>
      </c>
      <c r="AB102" s="6" t="s">
        <v>768</v>
      </c>
    </row>
    <row r="103" spans="1:28" x14ac:dyDescent="0.25">
      <c r="A103" t="s">
        <v>756</v>
      </c>
      <c r="B103" t="s">
        <v>757</v>
      </c>
      <c r="C103">
        <v>0</v>
      </c>
      <c r="D103" t="s">
        <v>969</v>
      </c>
      <c r="E103" t="s">
        <v>36</v>
      </c>
      <c r="F103" t="s">
        <v>970</v>
      </c>
      <c r="G103" t="s">
        <v>760</v>
      </c>
      <c r="H103" t="s">
        <v>761</v>
      </c>
      <c r="I103" t="s">
        <v>762</v>
      </c>
      <c r="J103" t="s">
        <v>763</v>
      </c>
      <c r="K103">
        <v>22.54</v>
      </c>
      <c r="L103">
        <v>22.54</v>
      </c>
      <c r="M103">
        <v>22.54</v>
      </c>
      <c r="N103">
        <v>22.54</v>
      </c>
      <c r="O103">
        <v>22.54</v>
      </c>
      <c r="P103">
        <v>22.54</v>
      </c>
      <c r="Q103">
        <v>22.54</v>
      </c>
      <c r="R103">
        <v>22.54</v>
      </c>
      <c r="S103">
        <v>22.54</v>
      </c>
      <c r="T103">
        <v>22.54</v>
      </c>
      <c r="U103">
        <v>22.54</v>
      </c>
      <c r="V103">
        <v>22.54</v>
      </c>
      <c r="W103" s="6" t="s">
        <v>764</v>
      </c>
      <c r="X103" s="6" t="s">
        <v>765</v>
      </c>
      <c r="Y103" s="6" t="s">
        <v>766</v>
      </c>
      <c r="Z103" s="6" t="s">
        <v>767</v>
      </c>
      <c r="AA103" s="6" t="s">
        <v>61</v>
      </c>
      <c r="AB103" s="6" t="s">
        <v>768</v>
      </c>
    </row>
    <row r="104" spans="1:28" x14ac:dyDescent="0.25">
      <c r="A104" t="s">
        <v>756</v>
      </c>
      <c r="B104" t="s">
        <v>757</v>
      </c>
      <c r="C104">
        <v>0</v>
      </c>
      <c r="D104" t="s">
        <v>971</v>
      </c>
      <c r="E104" t="s">
        <v>36</v>
      </c>
      <c r="F104" t="s">
        <v>972</v>
      </c>
      <c r="G104" t="s">
        <v>760</v>
      </c>
      <c r="H104" t="s">
        <v>761</v>
      </c>
      <c r="I104" t="s">
        <v>762</v>
      </c>
      <c r="J104" t="s">
        <v>763</v>
      </c>
      <c r="K104">
        <v>0</v>
      </c>
      <c r="L104">
        <v>0</v>
      </c>
      <c r="M104">
        <v>0</v>
      </c>
      <c r="N104">
        <v>22.54</v>
      </c>
      <c r="O104">
        <v>22.54</v>
      </c>
      <c r="P104">
        <v>22.54</v>
      </c>
      <c r="Q104">
        <v>22.54</v>
      </c>
      <c r="R104">
        <v>22.54</v>
      </c>
      <c r="S104">
        <v>22.54</v>
      </c>
      <c r="T104">
        <v>22.54</v>
      </c>
      <c r="U104">
        <v>22.54</v>
      </c>
      <c r="V104">
        <v>22.54</v>
      </c>
      <c r="W104" s="6" t="s">
        <v>764</v>
      </c>
      <c r="X104" s="6" t="s">
        <v>765</v>
      </c>
      <c r="Y104" s="6" t="s">
        <v>766</v>
      </c>
      <c r="Z104" s="6" t="s">
        <v>767</v>
      </c>
      <c r="AA104" s="6" t="s">
        <v>61</v>
      </c>
      <c r="AB104" s="6" t="s">
        <v>768</v>
      </c>
    </row>
    <row r="105" spans="1:28" x14ac:dyDescent="0.25">
      <c r="A105" t="s">
        <v>756</v>
      </c>
      <c r="B105" t="s">
        <v>757</v>
      </c>
      <c r="C105">
        <v>0</v>
      </c>
      <c r="D105" t="s">
        <v>973</v>
      </c>
      <c r="E105" t="s">
        <v>36</v>
      </c>
      <c r="F105" t="s">
        <v>974</v>
      </c>
      <c r="G105" t="s">
        <v>760</v>
      </c>
      <c r="H105" t="s">
        <v>761</v>
      </c>
      <c r="I105" t="s">
        <v>762</v>
      </c>
      <c r="J105" t="s">
        <v>763</v>
      </c>
      <c r="K105">
        <v>0</v>
      </c>
      <c r="L105">
        <v>0</v>
      </c>
      <c r="M105">
        <v>0</v>
      </c>
      <c r="N105">
        <v>22.54</v>
      </c>
      <c r="O105">
        <v>22.54</v>
      </c>
      <c r="P105">
        <v>22.54</v>
      </c>
      <c r="Q105">
        <v>22.54</v>
      </c>
      <c r="R105">
        <v>22.54</v>
      </c>
      <c r="S105">
        <v>22.54</v>
      </c>
      <c r="T105">
        <v>22.54</v>
      </c>
      <c r="U105">
        <v>22.54</v>
      </c>
      <c r="V105">
        <v>22.54</v>
      </c>
      <c r="W105" s="6" t="s">
        <v>764</v>
      </c>
      <c r="X105" s="6" t="s">
        <v>765</v>
      </c>
      <c r="Y105" s="6" t="s">
        <v>766</v>
      </c>
      <c r="Z105" s="6" t="s">
        <v>767</v>
      </c>
      <c r="AA105" s="6" t="s">
        <v>61</v>
      </c>
      <c r="AB105" s="6" t="s">
        <v>768</v>
      </c>
    </row>
    <row r="106" spans="1:28" x14ac:dyDescent="0.25">
      <c r="A106" t="s">
        <v>756</v>
      </c>
      <c r="B106" t="s">
        <v>757</v>
      </c>
      <c r="C106">
        <v>0</v>
      </c>
      <c r="D106" t="s">
        <v>975</v>
      </c>
      <c r="E106" t="s">
        <v>36</v>
      </c>
      <c r="F106" t="s">
        <v>976</v>
      </c>
      <c r="G106" t="s">
        <v>760</v>
      </c>
      <c r="H106" t="s">
        <v>761</v>
      </c>
      <c r="I106" t="s">
        <v>762</v>
      </c>
      <c r="J106" t="s">
        <v>763</v>
      </c>
      <c r="K106">
        <v>0</v>
      </c>
      <c r="L106">
        <v>0</v>
      </c>
      <c r="M106">
        <v>0</v>
      </c>
      <c r="N106">
        <v>22.54</v>
      </c>
      <c r="O106">
        <v>22.54</v>
      </c>
      <c r="P106">
        <v>22.54</v>
      </c>
      <c r="Q106">
        <v>22.54</v>
      </c>
      <c r="R106">
        <v>22.54</v>
      </c>
      <c r="S106">
        <v>22.54</v>
      </c>
      <c r="T106">
        <v>22.54</v>
      </c>
      <c r="U106">
        <v>22.54</v>
      </c>
      <c r="V106">
        <v>22.54</v>
      </c>
      <c r="W106" s="6" t="s">
        <v>764</v>
      </c>
      <c r="X106" s="6" t="s">
        <v>765</v>
      </c>
      <c r="Y106" s="6" t="s">
        <v>766</v>
      </c>
      <c r="Z106" s="6" t="s">
        <v>767</v>
      </c>
      <c r="AA106" s="6" t="s">
        <v>61</v>
      </c>
      <c r="AB106" s="6" t="s">
        <v>768</v>
      </c>
    </row>
    <row r="107" spans="1:28" x14ac:dyDescent="0.25">
      <c r="A107" t="s">
        <v>756</v>
      </c>
      <c r="B107" t="s">
        <v>757</v>
      </c>
      <c r="C107">
        <v>0</v>
      </c>
      <c r="D107" t="s">
        <v>977</v>
      </c>
      <c r="E107" t="s">
        <v>36</v>
      </c>
      <c r="F107" t="s">
        <v>978</v>
      </c>
      <c r="G107" t="s">
        <v>760</v>
      </c>
      <c r="H107" t="s">
        <v>761</v>
      </c>
      <c r="I107" t="s">
        <v>762</v>
      </c>
      <c r="J107" t="s">
        <v>763</v>
      </c>
      <c r="K107">
        <v>22.54</v>
      </c>
      <c r="L107">
        <v>22.54</v>
      </c>
      <c r="M107">
        <v>22.54</v>
      </c>
      <c r="N107">
        <v>22.54</v>
      </c>
      <c r="O107">
        <v>22.54</v>
      </c>
      <c r="P107">
        <v>22.54</v>
      </c>
      <c r="Q107">
        <v>22.54</v>
      </c>
      <c r="R107">
        <v>22.54</v>
      </c>
      <c r="S107">
        <v>22.54</v>
      </c>
      <c r="T107">
        <v>22.54</v>
      </c>
      <c r="U107">
        <v>22.54</v>
      </c>
      <c r="V107">
        <v>22.54</v>
      </c>
      <c r="W107" s="6" t="s">
        <v>764</v>
      </c>
      <c r="X107" s="6" t="s">
        <v>765</v>
      </c>
      <c r="Y107" s="6" t="s">
        <v>766</v>
      </c>
      <c r="Z107" s="6" t="s">
        <v>767</v>
      </c>
      <c r="AA107" s="6" t="s">
        <v>61</v>
      </c>
      <c r="AB107" s="6" t="s">
        <v>768</v>
      </c>
    </row>
    <row r="108" spans="1:28" x14ac:dyDescent="0.25">
      <c r="A108" t="s">
        <v>756</v>
      </c>
      <c r="B108" t="s">
        <v>757</v>
      </c>
      <c r="C108">
        <v>0</v>
      </c>
      <c r="D108" t="s">
        <v>979</v>
      </c>
      <c r="E108" t="s">
        <v>36</v>
      </c>
      <c r="F108" t="s">
        <v>980</v>
      </c>
      <c r="G108" t="s">
        <v>760</v>
      </c>
      <c r="H108" t="s">
        <v>761</v>
      </c>
      <c r="I108" t="s">
        <v>762</v>
      </c>
      <c r="J108" t="s">
        <v>763</v>
      </c>
      <c r="K108">
        <v>0</v>
      </c>
      <c r="L108">
        <v>0</v>
      </c>
      <c r="M108">
        <v>0</v>
      </c>
      <c r="N108">
        <v>22.54</v>
      </c>
      <c r="O108">
        <v>22.54</v>
      </c>
      <c r="P108">
        <v>22.54</v>
      </c>
      <c r="Q108">
        <v>22.54</v>
      </c>
      <c r="R108">
        <v>22.54</v>
      </c>
      <c r="S108">
        <v>22.54</v>
      </c>
      <c r="T108">
        <v>22.54</v>
      </c>
      <c r="U108">
        <v>22.54</v>
      </c>
      <c r="V108">
        <v>22.54</v>
      </c>
      <c r="W108" s="6" t="s">
        <v>764</v>
      </c>
      <c r="X108" s="6" t="s">
        <v>765</v>
      </c>
      <c r="Y108" s="6" t="s">
        <v>766</v>
      </c>
      <c r="Z108" s="6" t="s">
        <v>767</v>
      </c>
      <c r="AA108" s="6" t="s">
        <v>61</v>
      </c>
      <c r="AB108" s="6" t="s">
        <v>768</v>
      </c>
    </row>
    <row r="109" spans="1:28" x14ac:dyDescent="0.25">
      <c r="A109" t="s">
        <v>756</v>
      </c>
      <c r="B109" t="s">
        <v>757</v>
      </c>
      <c r="C109">
        <v>0</v>
      </c>
      <c r="D109" t="s">
        <v>981</v>
      </c>
      <c r="E109" t="s">
        <v>32</v>
      </c>
      <c r="F109" t="s">
        <v>982</v>
      </c>
      <c r="G109" t="s">
        <v>760</v>
      </c>
      <c r="H109" t="s">
        <v>761</v>
      </c>
      <c r="I109" t="s">
        <v>762</v>
      </c>
      <c r="J109" t="s">
        <v>763</v>
      </c>
      <c r="K109">
        <v>27.72</v>
      </c>
      <c r="L109">
        <v>27.72</v>
      </c>
      <c r="M109">
        <v>27.72</v>
      </c>
      <c r="N109">
        <v>27.72</v>
      </c>
      <c r="O109">
        <v>27.72</v>
      </c>
      <c r="P109">
        <v>27.72</v>
      </c>
      <c r="Q109">
        <v>27.72</v>
      </c>
      <c r="R109">
        <v>27.72</v>
      </c>
      <c r="S109">
        <v>27.72</v>
      </c>
      <c r="T109">
        <v>27.72</v>
      </c>
      <c r="U109">
        <v>27.72</v>
      </c>
      <c r="V109">
        <v>27.72</v>
      </c>
      <c r="W109" s="6" t="s">
        <v>764</v>
      </c>
      <c r="X109" s="6" t="s">
        <v>765</v>
      </c>
      <c r="Y109" s="6" t="s">
        <v>766</v>
      </c>
      <c r="Z109" s="6" t="s">
        <v>767</v>
      </c>
      <c r="AA109" s="6" t="s">
        <v>61</v>
      </c>
      <c r="AB109" s="6" t="s">
        <v>768</v>
      </c>
    </row>
    <row r="110" spans="1:28" x14ac:dyDescent="0.25">
      <c r="A110" t="s">
        <v>756</v>
      </c>
      <c r="B110" t="s">
        <v>757</v>
      </c>
      <c r="C110">
        <v>0</v>
      </c>
      <c r="D110" t="s">
        <v>983</v>
      </c>
      <c r="E110" t="s">
        <v>32</v>
      </c>
      <c r="F110" t="s">
        <v>984</v>
      </c>
      <c r="G110" t="s">
        <v>760</v>
      </c>
      <c r="H110" t="s">
        <v>761</v>
      </c>
      <c r="I110" t="s">
        <v>762</v>
      </c>
      <c r="J110" t="s">
        <v>763</v>
      </c>
      <c r="K110">
        <v>0</v>
      </c>
      <c r="L110">
        <v>0</v>
      </c>
      <c r="M110">
        <v>0</v>
      </c>
      <c r="N110">
        <v>0</v>
      </c>
      <c r="O110">
        <v>27.72</v>
      </c>
      <c r="P110">
        <v>27.72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 s="6" t="s">
        <v>764</v>
      </c>
      <c r="X110" s="6" t="s">
        <v>765</v>
      </c>
      <c r="Y110" s="6" t="s">
        <v>766</v>
      </c>
      <c r="Z110" s="6" t="s">
        <v>767</v>
      </c>
      <c r="AA110" s="6" t="s">
        <v>61</v>
      </c>
      <c r="AB110" s="6" t="s">
        <v>768</v>
      </c>
    </row>
    <row r="111" spans="1:28" x14ac:dyDescent="0.25">
      <c r="A111" t="s">
        <v>756</v>
      </c>
      <c r="B111" t="s">
        <v>757</v>
      </c>
      <c r="C111">
        <v>0</v>
      </c>
      <c r="D111" t="s">
        <v>985</v>
      </c>
      <c r="E111" t="s">
        <v>32</v>
      </c>
      <c r="F111" t="s">
        <v>986</v>
      </c>
      <c r="G111" t="s">
        <v>760</v>
      </c>
      <c r="H111" t="s">
        <v>761</v>
      </c>
      <c r="I111" t="s">
        <v>762</v>
      </c>
      <c r="J111" t="s">
        <v>763</v>
      </c>
      <c r="K111">
        <v>27.72</v>
      </c>
      <c r="L111">
        <v>27.72</v>
      </c>
      <c r="M111">
        <v>27.72</v>
      </c>
      <c r="N111">
        <v>27.72</v>
      </c>
      <c r="O111">
        <v>27.72</v>
      </c>
      <c r="P111">
        <v>27.72</v>
      </c>
      <c r="Q111">
        <v>27.72</v>
      </c>
      <c r="R111">
        <v>27.72</v>
      </c>
      <c r="S111">
        <v>27.72</v>
      </c>
      <c r="T111">
        <v>27.72</v>
      </c>
      <c r="U111">
        <v>27.72</v>
      </c>
      <c r="V111">
        <v>27.72</v>
      </c>
      <c r="W111" s="6" t="s">
        <v>764</v>
      </c>
      <c r="X111" s="6" t="s">
        <v>765</v>
      </c>
      <c r="Y111" s="6" t="s">
        <v>766</v>
      </c>
      <c r="Z111" s="6" t="s">
        <v>767</v>
      </c>
      <c r="AA111" s="6" t="s">
        <v>61</v>
      </c>
      <c r="AB111" s="6" t="s">
        <v>768</v>
      </c>
    </row>
    <row r="112" spans="1:28" x14ac:dyDescent="0.25">
      <c r="A112" t="s">
        <v>756</v>
      </c>
      <c r="B112" t="s">
        <v>757</v>
      </c>
      <c r="C112">
        <v>0</v>
      </c>
      <c r="D112" t="s">
        <v>987</v>
      </c>
      <c r="E112" t="s">
        <v>32</v>
      </c>
      <c r="F112" t="s">
        <v>988</v>
      </c>
      <c r="G112" t="s">
        <v>760</v>
      </c>
      <c r="H112" t="s">
        <v>761</v>
      </c>
      <c r="I112" t="s">
        <v>762</v>
      </c>
      <c r="J112" t="s">
        <v>763</v>
      </c>
      <c r="K112">
        <v>27.72</v>
      </c>
      <c r="L112">
        <v>27.72</v>
      </c>
      <c r="M112">
        <v>27.72</v>
      </c>
      <c r="N112">
        <v>27.72</v>
      </c>
      <c r="O112">
        <v>27.72</v>
      </c>
      <c r="P112">
        <v>27.72</v>
      </c>
      <c r="Q112">
        <v>27.72</v>
      </c>
      <c r="R112">
        <v>27.72</v>
      </c>
      <c r="S112">
        <v>27.72</v>
      </c>
      <c r="T112">
        <v>27.72</v>
      </c>
      <c r="U112">
        <v>27.72</v>
      </c>
      <c r="V112">
        <v>27.72</v>
      </c>
      <c r="W112" s="6" t="s">
        <v>764</v>
      </c>
      <c r="X112" s="6" t="s">
        <v>765</v>
      </c>
      <c r="Y112" s="6" t="s">
        <v>766</v>
      </c>
      <c r="Z112" s="6" t="s">
        <v>767</v>
      </c>
      <c r="AA112" s="6" t="s">
        <v>61</v>
      </c>
      <c r="AB112" s="6" t="s">
        <v>768</v>
      </c>
    </row>
    <row r="113" spans="1:28" x14ac:dyDescent="0.25">
      <c r="A113" t="s">
        <v>756</v>
      </c>
      <c r="B113" t="s">
        <v>757</v>
      </c>
      <c r="C113">
        <v>0</v>
      </c>
      <c r="D113" t="s">
        <v>989</v>
      </c>
      <c r="E113" t="s">
        <v>32</v>
      </c>
      <c r="F113" t="s">
        <v>990</v>
      </c>
      <c r="G113" t="s">
        <v>760</v>
      </c>
      <c r="H113" t="s">
        <v>761</v>
      </c>
      <c r="I113" t="s">
        <v>762</v>
      </c>
      <c r="J113" t="s">
        <v>763</v>
      </c>
      <c r="K113">
        <v>27.72</v>
      </c>
      <c r="L113">
        <v>27.72</v>
      </c>
      <c r="M113">
        <v>27.72</v>
      </c>
      <c r="N113">
        <v>27.72</v>
      </c>
      <c r="O113">
        <v>27.72</v>
      </c>
      <c r="P113">
        <v>27.72</v>
      </c>
      <c r="Q113">
        <v>27.72</v>
      </c>
      <c r="R113">
        <v>0</v>
      </c>
      <c r="S113">
        <v>0</v>
      </c>
      <c r="T113">
        <v>0</v>
      </c>
      <c r="U113">
        <v>0</v>
      </c>
      <c r="V113">
        <v>0</v>
      </c>
      <c r="W113" s="6" t="s">
        <v>764</v>
      </c>
      <c r="X113" s="6" t="s">
        <v>765</v>
      </c>
      <c r="Y113" s="6" t="s">
        <v>766</v>
      </c>
      <c r="Z113" s="6" t="s">
        <v>767</v>
      </c>
      <c r="AA113" s="6" t="s">
        <v>61</v>
      </c>
      <c r="AB113" s="6" t="s">
        <v>768</v>
      </c>
    </row>
    <row r="114" spans="1:28" x14ac:dyDescent="0.25">
      <c r="A114" t="s">
        <v>756</v>
      </c>
      <c r="B114" t="s">
        <v>757</v>
      </c>
      <c r="C114">
        <v>0</v>
      </c>
      <c r="D114" t="s">
        <v>991</v>
      </c>
      <c r="E114" t="s">
        <v>32</v>
      </c>
      <c r="F114" t="s">
        <v>992</v>
      </c>
      <c r="G114" t="s">
        <v>760</v>
      </c>
      <c r="H114" t="s">
        <v>761</v>
      </c>
      <c r="I114" t="s">
        <v>762</v>
      </c>
      <c r="J114" t="s">
        <v>763</v>
      </c>
      <c r="K114">
        <v>27.72</v>
      </c>
      <c r="L114">
        <v>27.72</v>
      </c>
      <c r="M114">
        <v>27.72</v>
      </c>
      <c r="N114">
        <v>27.72</v>
      </c>
      <c r="O114">
        <v>27.72</v>
      </c>
      <c r="P114">
        <v>27.72</v>
      </c>
      <c r="Q114">
        <v>27.72</v>
      </c>
      <c r="R114">
        <v>27.72</v>
      </c>
      <c r="S114">
        <v>27.72</v>
      </c>
      <c r="T114">
        <v>27.72</v>
      </c>
      <c r="U114">
        <v>27.72</v>
      </c>
      <c r="V114">
        <v>27.72</v>
      </c>
      <c r="W114" s="6" t="s">
        <v>764</v>
      </c>
      <c r="X114" s="6" t="s">
        <v>765</v>
      </c>
      <c r="Y114" s="6" t="s">
        <v>766</v>
      </c>
      <c r="Z114" s="6" t="s">
        <v>767</v>
      </c>
      <c r="AA114" s="6" t="s">
        <v>61</v>
      </c>
      <c r="AB114" s="6" t="s">
        <v>768</v>
      </c>
    </row>
    <row r="115" spans="1:28" x14ac:dyDescent="0.25">
      <c r="A115" t="s">
        <v>756</v>
      </c>
      <c r="B115" t="s">
        <v>757</v>
      </c>
      <c r="C115">
        <v>0</v>
      </c>
      <c r="D115" t="s">
        <v>993</v>
      </c>
      <c r="E115" t="s">
        <v>32</v>
      </c>
      <c r="F115" t="s">
        <v>994</v>
      </c>
      <c r="G115" t="s">
        <v>760</v>
      </c>
      <c r="H115" t="s">
        <v>761</v>
      </c>
      <c r="I115" t="s">
        <v>762</v>
      </c>
      <c r="J115" t="s">
        <v>763</v>
      </c>
      <c r="K115">
        <v>27.72</v>
      </c>
      <c r="L115">
        <v>27.72</v>
      </c>
      <c r="M115">
        <v>27.72</v>
      </c>
      <c r="N115">
        <v>27.72</v>
      </c>
      <c r="O115">
        <v>27.72</v>
      </c>
      <c r="P115">
        <v>27.72</v>
      </c>
      <c r="Q115">
        <v>27.72</v>
      </c>
      <c r="R115">
        <v>27.72</v>
      </c>
      <c r="S115">
        <v>27.72</v>
      </c>
      <c r="T115">
        <v>27.72</v>
      </c>
      <c r="U115">
        <v>27.72</v>
      </c>
      <c r="V115">
        <v>27.72</v>
      </c>
      <c r="W115" s="6" t="s">
        <v>764</v>
      </c>
      <c r="X115" s="6" t="s">
        <v>765</v>
      </c>
      <c r="Y115" s="6" t="s">
        <v>766</v>
      </c>
      <c r="Z115" s="6" t="s">
        <v>767</v>
      </c>
      <c r="AA115" s="6" t="s">
        <v>61</v>
      </c>
      <c r="AB115" s="6" t="s">
        <v>768</v>
      </c>
    </row>
    <row r="116" spans="1:28" x14ac:dyDescent="0.25">
      <c r="A116" t="s">
        <v>756</v>
      </c>
      <c r="B116" t="s">
        <v>757</v>
      </c>
      <c r="C116">
        <v>0</v>
      </c>
      <c r="D116" t="s">
        <v>995</v>
      </c>
      <c r="E116" t="s">
        <v>32</v>
      </c>
      <c r="F116" t="s">
        <v>996</v>
      </c>
      <c r="G116" t="s">
        <v>760</v>
      </c>
      <c r="H116" t="s">
        <v>761</v>
      </c>
      <c r="I116" t="s">
        <v>762</v>
      </c>
      <c r="J116" t="s">
        <v>763</v>
      </c>
      <c r="K116">
        <v>27.72</v>
      </c>
      <c r="L116">
        <v>27.72</v>
      </c>
      <c r="M116">
        <v>27.72</v>
      </c>
      <c r="N116">
        <v>27.72</v>
      </c>
      <c r="O116">
        <v>27.72</v>
      </c>
      <c r="P116">
        <v>27.72</v>
      </c>
      <c r="Q116">
        <v>27.72</v>
      </c>
      <c r="R116">
        <v>27.72</v>
      </c>
      <c r="S116">
        <v>27.72</v>
      </c>
      <c r="T116">
        <v>27.72</v>
      </c>
      <c r="U116">
        <v>27.72</v>
      </c>
      <c r="V116">
        <v>27.72</v>
      </c>
      <c r="W116" s="6" t="s">
        <v>764</v>
      </c>
      <c r="X116" s="6" t="s">
        <v>765</v>
      </c>
      <c r="Y116" s="6" t="s">
        <v>766</v>
      </c>
      <c r="Z116" s="6" t="s">
        <v>767</v>
      </c>
      <c r="AA116" s="6" t="s">
        <v>61</v>
      </c>
      <c r="AB116" s="6" t="s">
        <v>768</v>
      </c>
    </row>
    <row r="117" spans="1:28" x14ac:dyDescent="0.25">
      <c r="A117" t="s">
        <v>756</v>
      </c>
      <c r="B117" t="s">
        <v>757</v>
      </c>
      <c r="C117">
        <v>0</v>
      </c>
      <c r="D117" t="s">
        <v>997</v>
      </c>
      <c r="E117" t="s">
        <v>32</v>
      </c>
      <c r="F117" t="s">
        <v>998</v>
      </c>
      <c r="G117" t="s">
        <v>760</v>
      </c>
      <c r="H117" t="s">
        <v>761</v>
      </c>
      <c r="I117" t="s">
        <v>762</v>
      </c>
      <c r="J117" t="s">
        <v>763</v>
      </c>
      <c r="K117">
        <v>27.72</v>
      </c>
      <c r="L117">
        <v>27.72</v>
      </c>
      <c r="M117">
        <v>27.72</v>
      </c>
      <c r="N117">
        <v>27.72</v>
      </c>
      <c r="O117">
        <v>27.72</v>
      </c>
      <c r="P117">
        <v>27.72</v>
      </c>
      <c r="Q117">
        <v>27.72</v>
      </c>
      <c r="R117">
        <v>27.72</v>
      </c>
      <c r="S117">
        <v>0</v>
      </c>
      <c r="T117">
        <v>0</v>
      </c>
      <c r="U117">
        <v>0</v>
      </c>
      <c r="V117">
        <v>0</v>
      </c>
      <c r="W117" s="6" t="s">
        <v>764</v>
      </c>
      <c r="X117" s="6" t="s">
        <v>765</v>
      </c>
      <c r="Y117" s="6" t="s">
        <v>766</v>
      </c>
      <c r="Z117" s="6" t="s">
        <v>767</v>
      </c>
      <c r="AA117" s="6" t="s">
        <v>61</v>
      </c>
      <c r="AB117" s="6" t="s">
        <v>768</v>
      </c>
    </row>
    <row r="118" spans="1:28" x14ac:dyDescent="0.25">
      <c r="A118" t="s">
        <v>756</v>
      </c>
      <c r="B118" t="s">
        <v>757</v>
      </c>
      <c r="C118">
        <v>0</v>
      </c>
      <c r="D118" t="s">
        <v>999</v>
      </c>
      <c r="E118" t="s">
        <v>32</v>
      </c>
      <c r="F118" t="s">
        <v>1000</v>
      </c>
      <c r="G118" t="s">
        <v>760</v>
      </c>
      <c r="H118" t="s">
        <v>761</v>
      </c>
      <c r="I118" t="s">
        <v>762</v>
      </c>
      <c r="J118" t="s">
        <v>763</v>
      </c>
      <c r="K118">
        <v>27.72</v>
      </c>
      <c r="L118">
        <v>27.72</v>
      </c>
      <c r="M118">
        <v>27.72</v>
      </c>
      <c r="N118">
        <v>27.72</v>
      </c>
      <c r="O118">
        <v>27.72</v>
      </c>
      <c r="P118">
        <v>27.72</v>
      </c>
      <c r="Q118">
        <v>27.72</v>
      </c>
      <c r="R118">
        <v>27.72</v>
      </c>
      <c r="S118">
        <v>27.72</v>
      </c>
      <c r="T118">
        <v>27.72</v>
      </c>
      <c r="U118">
        <v>27.72</v>
      </c>
      <c r="V118">
        <v>27.72</v>
      </c>
      <c r="W118" s="6" t="s">
        <v>764</v>
      </c>
      <c r="X118" s="6" t="s">
        <v>765</v>
      </c>
      <c r="Y118" s="6" t="s">
        <v>766</v>
      </c>
      <c r="Z118" s="6" t="s">
        <v>767</v>
      </c>
      <c r="AA118" s="6" t="s">
        <v>61</v>
      </c>
      <c r="AB118" s="6" t="s">
        <v>768</v>
      </c>
    </row>
    <row r="119" spans="1:28" x14ac:dyDescent="0.25">
      <c r="A119" t="s">
        <v>756</v>
      </c>
      <c r="B119" t="s">
        <v>757</v>
      </c>
      <c r="C119">
        <v>0</v>
      </c>
      <c r="D119" t="s">
        <v>1001</v>
      </c>
      <c r="E119" t="s">
        <v>32</v>
      </c>
      <c r="F119" t="s">
        <v>1002</v>
      </c>
      <c r="G119" t="s">
        <v>760</v>
      </c>
      <c r="H119" t="s">
        <v>761</v>
      </c>
      <c r="I119" t="s">
        <v>762</v>
      </c>
      <c r="J119" t="s">
        <v>763</v>
      </c>
      <c r="K119">
        <v>27.72</v>
      </c>
      <c r="L119">
        <v>27.72</v>
      </c>
      <c r="M119">
        <v>27.72</v>
      </c>
      <c r="N119">
        <v>27.72</v>
      </c>
      <c r="O119">
        <v>27.72</v>
      </c>
      <c r="P119">
        <v>27.72</v>
      </c>
      <c r="Q119">
        <v>27.72</v>
      </c>
      <c r="R119">
        <v>27.72</v>
      </c>
      <c r="S119">
        <v>27.72</v>
      </c>
      <c r="T119">
        <v>27.72</v>
      </c>
      <c r="U119">
        <v>27.72</v>
      </c>
      <c r="V119">
        <v>27.72</v>
      </c>
      <c r="W119" s="6" t="s">
        <v>764</v>
      </c>
      <c r="X119" s="6" t="s">
        <v>765</v>
      </c>
      <c r="Y119" s="6" t="s">
        <v>766</v>
      </c>
      <c r="Z119" s="6" t="s">
        <v>767</v>
      </c>
      <c r="AA119" s="6" t="s">
        <v>61</v>
      </c>
      <c r="AB119" s="6" t="s">
        <v>768</v>
      </c>
    </row>
    <row r="120" spans="1:28" x14ac:dyDescent="0.25">
      <c r="A120" t="s">
        <v>756</v>
      </c>
      <c r="B120" t="s">
        <v>757</v>
      </c>
      <c r="C120">
        <v>0</v>
      </c>
      <c r="D120" t="s">
        <v>1003</v>
      </c>
      <c r="E120" t="s">
        <v>32</v>
      </c>
      <c r="F120" t="s">
        <v>1004</v>
      </c>
      <c r="G120" t="s">
        <v>760</v>
      </c>
      <c r="H120" t="s">
        <v>761</v>
      </c>
      <c r="I120" t="s">
        <v>762</v>
      </c>
      <c r="J120" t="s">
        <v>763</v>
      </c>
      <c r="K120">
        <v>27.72</v>
      </c>
      <c r="L120">
        <v>27.72</v>
      </c>
      <c r="M120">
        <v>27.72</v>
      </c>
      <c r="N120">
        <v>27.72</v>
      </c>
      <c r="O120">
        <v>27.72</v>
      </c>
      <c r="P120">
        <v>27.72</v>
      </c>
      <c r="Q120">
        <v>27.72</v>
      </c>
      <c r="R120">
        <v>27.72</v>
      </c>
      <c r="S120">
        <v>27.72</v>
      </c>
      <c r="T120">
        <v>27.72</v>
      </c>
      <c r="U120">
        <v>27.72</v>
      </c>
      <c r="V120">
        <v>27.72</v>
      </c>
      <c r="W120" s="6" t="s">
        <v>764</v>
      </c>
      <c r="X120" s="6" t="s">
        <v>765</v>
      </c>
      <c r="Y120" s="6" t="s">
        <v>766</v>
      </c>
      <c r="Z120" s="6" t="s">
        <v>767</v>
      </c>
      <c r="AA120" s="6" t="s">
        <v>61</v>
      </c>
      <c r="AB120" s="6" t="s">
        <v>768</v>
      </c>
    </row>
    <row r="121" spans="1:28" x14ac:dyDescent="0.25">
      <c r="A121" t="s">
        <v>756</v>
      </c>
      <c r="B121" t="s">
        <v>757</v>
      </c>
      <c r="C121">
        <v>0</v>
      </c>
      <c r="D121" t="s">
        <v>1005</v>
      </c>
      <c r="E121" t="s">
        <v>32</v>
      </c>
      <c r="F121" t="s">
        <v>1006</v>
      </c>
      <c r="G121" t="s">
        <v>760</v>
      </c>
      <c r="H121" t="s">
        <v>761</v>
      </c>
      <c r="I121" t="s">
        <v>762</v>
      </c>
      <c r="J121" t="s">
        <v>763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27.72</v>
      </c>
      <c r="T121">
        <v>27.72</v>
      </c>
      <c r="U121">
        <v>27.72</v>
      </c>
      <c r="V121">
        <v>27.72</v>
      </c>
      <c r="W121" s="6" t="s">
        <v>764</v>
      </c>
      <c r="X121" s="6" t="s">
        <v>765</v>
      </c>
      <c r="Y121" s="6" t="s">
        <v>766</v>
      </c>
      <c r="Z121" s="6" t="s">
        <v>767</v>
      </c>
      <c r="AA121" s="6" t="s">
        <v>61</v>
      </c>
      <c r="AB121" s="6" t="s">
        <v>768</v>
      </c>
    </row>
    <row r="122" spans="1:28" x14ac:dyDescent="0.25">
      <c r="A122" t="s">
        <v>756</v>
      </c>
      <c r="B122" t="s">
        <v>757</v>
      </c>
      <c r="C122">
        <v>0</v>
      </c>
      <c r="D122" t="s">
        <v>1007</v>
      </c>
      <c r="E122" t="s">
        <v>32</v>
      </c>
      <c r="F122" t="s">
        <v>1008</v>
      </c>
      <c r="G122" t="s">
        <v>760</v>
      </c>
      <c r="H122" t="s">
        <v>761</v>
      </c>
      <c r="I122" t="s">
        <v>762</v>
      </c>
      <c r="J122" t="s">
        <v>763</v>
      </c>
      <c r="K122">
        <v>27.72</v>
      </c>
      <c r="L122">
        <v>27.72</v>
      </c>
      <c r="M122">
        <v>27.72</v>
      </c>
      <c r="N122">
        <v>27.72</v>
      </c>
      <c r="O122">
        <v>27.72</v>
      </c>
      <c r="P122">
        <v>27.72</v>
      </c>
      <c r="Q122">
        <v>27.72</v>
      </c>
      <c r="R122">
        <v>27.72</v>
      </c>
      <c r="S122">
        <v>27.72</v>
      </c>
      <c r="T122">
        <v>27.72</v>
      </c>
      <c r="U122">
        <v>27.72</v>
      </c>
      <c r="V122">
        <v>27.72</v>
      </c>
      <c r="W122" s="6" t="s">
        <v>764</v>
      </c>
      <c r="X122" s="6" t="s">
        <v>765</v>
      </c>
      <c r="Y122" s="6" t="s">
        <v>766</v>
      </c>
      <c r="Z122" s="6" t="s">
        <v>767</v>
      </c>
      <c r="AA122" s="6" t="s">
        <v>61</v>
      </c>
      <c r="AB122" s="6" t="s">
        <v>768</v>
      </c>
    </row>
    <row r="123" spans="1:28" x14ac:dyDescent="0.25">
      <c r="A123" t="s">
        <v>756</v>
      </c>
      <c r="B123" t="s">
        <v>757</v>
      </c>
      <c r="C123">
        <v>0</v>
      </c>
      <c r="D123" t="s">
        <v>1009</v>
      </c>
      <c r="E123" t="s">
        <v>32</v>
      </c>
      <c r="F123" t="s">
        <v>1010</v>
      </c>
      <c r="G123" t="s">
        <v>760</v>
      </c>
      <c r="H123" t="s">
        <v>761</v>
      </c>
      <c r="I123" t="s">
        <v>762</v>
      </c>
      <c r="J123" t="s">
        <v>763</v>
      </c>
      <c r="K123">
        <v>27.72</v>
      </c>
      <c r="L123">
        <v>27.72</v>
      </c>
      <c r="M123">
        <v>27.72</v>
      </c>
      <c r="N123">
        <v>27.72</v>
      </c>
      <c r="O123">
        <v>27.72</v>
      </c>
      <c r="P123">
        <v>27.72</v>
      </c>
      <c r="Q123">
        <v>27.72</v>
      </c>
      <c r="R123">
        <v>27.72</v>
      </c>
      <c r="S123">
        <v>27.72</v>
      </c>
      <c r="T123">
        <v>27.72</v>
      </c>
      <c r="U123">
        <v>27.72</v>
      </c>
      <c r="V123">
        <v>27.72</v>
      </c>
      <c r="W123" s="6" t="s">
        <v>764</v>
      </c>
      <c r="X123" s="6" t="s">
        <v>765</v>
      </c>
      <c r="Y123" s="6" t="s">
        <v>766</v>
      </c>
      <c r="Z123" s="6" t="s">
        <v>767</v>
      </c>
      <c r="AA123" s="6" t="s">
        <v>61</v>
      </c>
      <c r="AB123" s="6" t="s">
        <v>768</v>
      </c>
    </row>
    <row r="124" spans="1:28" x14ac:dyDescent="0.25">
      <c r="A124" t="s">
        <v>756</v>
      </c>
      <c r="B124" t="s">
        <v>757</v>
      </c>
      <c r="C124">
        <v>0</v>
      </c>
      <c r="D124" t="s">
        <v>1011</v>
      </c>
      <c r="E124" t="s">
        <v>32</v>
      </c>
      <c r="F124" t="s">
        <v>1012</v>
      </c>
      <c r="G124" t="s">
        <v>760</v>
      </c>
      <c r="H124" t="s">
        <v>761</v>
      </c>
      <c r="I124" t="s">
        <v>762</v>
      </c>
      <c r="J124" t="s">
        <v>763</v>
      </c>
      <c r="K124">
        <v>0</v>
      </c>
      <c r="L124">
        <v>0</v>
      </c>
      <c r="M124">
        <v>0</v>
      </c>
      <c r="N124">
        <v>0</v>
      </c>
      <c r="O124">
        <v>27.72</v>
      </c>
      <c r="P124">
        <v>27.72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 s="6" t="s">
        <v>764</v>
      </c>
      <c r="X124" s="6" t="s">
        <v>765</v>
      </c>
      <c r="Y124" s="6" t="s">
        <v>766</v>
      </c>
      <c r="Z124" s="6" t="s">
        <v>767</v>
      </c>
      <c r="AA124" s="6" t="s">
        <v>61</v>
      </c>
      <c r="AB124" s="6" t="s">
        <v>768</v>
      </c>
    </row>
    <row r="125" spans="1:28" x14ac:dyDescent="0.25">
      <c r="A125" t="s">
        <v>756</v>
      </c>
      <c r="B125" t="s">
        <v>757</v>
      </c>
      <c r="C125">
        <v>0</v>
      </c>
      <c r="D125" t="s">
        <v>1013</v>
      </c>
      <c r="E125" t="s">
        <v>32</v>
      </c>
      <c r="F125" t="s">
        <v>1014</v>
      </c>
      <c r="G125" t="s">
        <v>760</v>
      </c>
      <c r="H125" t="s">
        <v>761</v>
      </c>
      <c r="I125" t="s">
        <v>762</v>
      </c>
      <c r="J125" t="s">
        <v>763</v>
      </c>
      <c r="K125">
        <v>27.72</v>
      </c>
      <c r="L125">
        <v>27.72</v>
      </c>
      <c r="M125">
        <v>27.72</v>
      </c>
      <c r="N125">
        <v>27.72</v>
      </c>
      <c r="O125">
        <v>27.72</v>
      </c>
      <c r="P125">
        <v>27.72</v>
      </c>
      <c r="Q125">
        <v>27.72</v>
      </c>
      <c r="R125">
        <v>27.72</v>
      </c>
      <c r="S125">
        <v>27.72</v>
      </c>
      <c r="T125">
        <v>27.72</v>
      </c>
      <c r="U125">
        <v>27.72</v>
      </c>
      <c r="V125">
        <v>27.72</v>
      </c>
      <c r="W125" s="6" t="s">
        <v>764</v>
      </c>
      <c r="X125" s="6" t="s">
        <v>765</v>
      </c>
      <c r="Y125" s="6" t="s">
        <v>766</v>
      </c>
      <c r="Z125" s="6" t="s">
        <v>767</v>
      </c>
      <c r="AA125" s="6" t="s">
        <v>61</v>
      </c>
      <c r="AB125" s="6" t="s">
        <v>768</v>
      </c>
    </row>
    <row r="126" spans="1:28" x14ac:dyDescent="0.25">
      <c r="A126" t="s">
        <v>756</v>
      </c>
      <c r="B126" t="s">
        <v>757</v>
      </c>
      <c r="C126">
        <v>0</v>
      </c>
      <c r="D126" t="s">
        <v>1015</v>
      </c>
      <c r="E126" t="s">
        <v>32</v>
      </c>
      <c r="F126" t="s">
        <v>1016</v>
      </c>
      <c r="G126" t="s">
        <v>760</v>
      </c>
      <c r="H126" t="s">
        <v>761</v>
      </c>
      <c r="I126" t="s">
        <v>762</v>
      </c>
      <c r="J126" t="s">
        <v>763</v>
      </c>
      <c r="K126">
        <v>27.72</v>
      </c>
      <c r="L126">
        <v>27.72</v>
      </c>
      <c r="M126">
        <v>27.72</v>
      </c>
      <c r="N126">
        <v>27.72</v>
      </c>
      <c r="O126">
        <v>27.72</v>
      </c>
      <c r="P126">
        <v>27.72</v>
      </c>
      <c r="Q126">
        <v>27.72</v>
      </c>
      <c r="R126">
        <v>27.72</v>
      </c>
      <c r="S126">
        <v>27.72</v>
      </c>
      <c r="T126">
        <v>27.72</v>
      </c>
      <c r="U126">
        <v>27.72</v>
      </c>
      <c r="V126">
        <v>27.72</v>
      </c>
      <c r="W126" s="6" t="s">
        <v>764</v>
      </c>
      <c r="X126" s="6" t="s">
        <v>765</v>
      </c>
      <c r="Y126" s="6" t="s">
        <v>766</v>
      </c>
      <c r="Z126" s="6" t="s">
        <v>767</v>
      </c>
      <c r="AA126" s="6" t="s">
        <v>61</v>
      </c>
      <c r="AB126" s="6" t="s">
        <v>768</v>
      </c>
    </row>
    <row r="127" spans="1:28" x14ac:dyDescent="0.25">
      <c r="A127" t="s">
        <v>756</v>
      </c>
      <c r="B127" t="s">
        <v>757</v>
      </c>
      <c r="C127">
        <v>0</v>
      </c>
      <c r="D127" t="s">
        <v>1017</v>
      </c>
      <c r="E127" t="s">
        <v>32</v>
      </c>
      <c r="F127" t="s">
        <v>1018</v>
      </c>
      <c r="G127" t="s">
        <v>760</v>
      </c>
      <c r="H127" t="s">
        <v>761</v>
      </c>
      <c r="I127" t="s">
        <v>762</v>
      </c>
      <c r="J127" t="s">
        <v>763</v>
      </c>
      <c r="K127">
        <v>27.72</v>
      </c>
      <c r="L127">
        <v>27.72</v>
      </c>
      <c r="M127">
        <v>27.72</v>
      </c>
      <c r="N127">
        <v>27.72</v>
      </c>
      <c r="O127">
        <v>27.72</v>
      </c>
      <c r="P127">
        <v>27.72</v>
      </c>
      <c r="Q127">
        <v>27.72</v>
      </c>
      <c r="R127">
        <v>27.72</v>
      </c>
      <c r="S127">
        <v>27.72</v>
      </c>
      <c r="T127">
        <v>27.72</v>
      </c>
      <c r="U127">
        <v>27.72</v>
      </c>
      <c r="V127">
        <v>27.72</v>
      </c>
      <c r="W127" s="6" t="s">
        <v>764</v>
      </c>
      <c r="X127" s="6" t="s">
        <v>765</v>
      </c>
      <c r="Y127" s="6" t="s">
        <v>766</v>
      </c>
      <c r="Z127" s="6" t="s">
        <v>767</v>
      </c>
      <c r="AA127" s="6" t="s">
        <v>61</v>
      </c>
      <c r="AB127" s="6" t="s">
        <v>768</v>
      </c>
    </row>
    <row r="128" spans="1:28" x14ac:dyDescent="0.25">
      <c r="A128" t="s">
        <v>756</v>
      </c>
      <c r="B128" t="s">
        <v>757</v>
      </c>
      <c r="C128">
        <v>0</v>
      </c>
      <c r="D128" t="s">
        <v>1019</v>
      </c>
      <c r="E128" t="s">
        <v>32</v>
      </c>
      <c r="F128" t="s">
        <v>1020</v>
      </c>
      <c r="G128" t="s">
        <v>760</v>
      </c>
      <c r="H128" t="s">
        <v>761</v>
      </c>
      <c r="I128" t="s">
        <v>762</v>
      </c>
      <c r="J128" t="s">
        <v>763</v>
      </c>
      <c r="K128">
        <v>27.72</v>
      </c>
      <c r="L128">
        <v>27.72</v>
      </c>
      <c r="M128">
        <v>27.72</v>
      </c>
      <c r="N128">
        <v>27.72</v>
      </c>
      <c r="O128">
        <v>27.72</v>
      </c>
      <c r="P128">
        <v>27.72</v>
      </c>
      <c r="Q128">
        <v>27.72</v>
      </c>
      <c r="R128">
        <v>27.72</v>
      </c>
      <c r="S128">
        <v>27.72</v>
      </c>
      <c r="T128">
        <v>27.72</v>
      </c>
      <c r="U128">
        <v>27.72</v>
      </c>
      <c r="V128">
        <v>27.72</v>
      </c>
      <c r="W128" s="6" t="s">
        <v>764</v>
      </c>
      <c r="X128" s="6" t="s">
        <v>765</v>
      </c>
      <c r="Y128" s="6" t="s">
        <v>766</v>
      </c>
      <c r="Z128" s="6" t="s">
        <v>767</v>
      </c>
      <c r="AA128" s="6" t="s">
        <v>61</v>
      </c>
      <c r="AB128" s="6" t="s">
        <v>768</v>
      </c>
    </row>
    <row r="129" spans="1:28" x14ac:dyDescent="0.25">
      <c r="A129" t="s">
        <v>756</v>
      </c>
      <c r="B129" t="s">
        <v>757</v>
      </c>
      <c r="C129">
        <v>0</v>
      </c>
      <c r="D129" t="s">
        <v>1021</v>
      </c>
      <c r="E129" t="s">
        <v>32</v>
      </c>
      <c r="F129" t="s">
        <v>1022</v>
      </c>
      <c r="G129" t="s">
        <v>760</v>
      </c>
      <c r="H129" t="s">
        <v>761</v>
      </c>
      <c r="I129" t="s">
        <v>762</v>
      </c>
      <c r="J129" t="s">
        <v>763</v>
      </c>
      <c r="K129">
        <v>0</v>
      </c>
      <c r="L129">
        <v>0</v>
      </c>
      <c r="M129">
        <v>0</v>
      </c>
      <c r="N129">
        <v>0</v>
      </c>
      <c r="O129">
        <v>27.72</v>
      </c>
      <c r="P129">
        <v>27.72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 s="6" t="s">
        <v>764</v>
      </c>
      <c r="X129" s="6" t="s">
        <v>765</v>
      </c>
      <c r="Y129" s="6" t="s">
        <v>766</v>
      </c>
      <c r="Z129" s="6" t="s">
        <v>767</v>
      </c>
      <c r="AA129" s="6" t="s">
        <v>61</v>
      </c>
      <c r="AB129" s="6" t="s">
        <v>768</v>
      </c>
    </row>
    <row r="130" spans="1:28" x14ac:dyDescent="0.25">
      <c r="A130" t="s">
        <v>756</v>
      </c>
      <c r="B130" t="s">
        <v>757</v>
      </c>
      <c r="C130">
        <v>0</v>
      </c>
      <c r="D130" t="s">
        <v>1023</v>
      </c>
      <c r="E130" t="s">
        <v>32</v>
      </c>
      <c r="F130" t="s">
        <v>1024</v>
      </c>
      <c r="G130" t="s">
        <v>760</v>
      </c>
      <c r="H130" t="s">
        <v>761</v>
      </c>
      <c r="I130" t="s">
        <v>762</v>
      </c>
      <c r="J130" t="s">
        <v>763</v>
      </c>
      <c r="K130">
        <v>0</v>
      </c>
      <c r="L130">
        <v>0</v>
      </c>
      <c r="M130">
        <v>27.72</v>
      </c>
      <c r="N130">
        <v>27.72</v>
      </c>
      <c r="O130">
        <v>27.72</v>
      </c>
      <c r="P130">
        <v>27.72</v>
      </c>
      <c r="Q130">
        <v>27.72</v>
      </c>
      <c r="R130">
        <v>27.72</v>
      </c>
      <c r="S130">
        <v>27.72</v>
      </c>
      <c r="T130">
        <v>27.72</v>
      </c>
      <c r="U130">
        <v>27.72</v>
      </c>
      <c r="V130">
        <v>27.72</v>
      </c>
      <c r="W130" s="6" t="s">
        <v>764</v>
      </c>
      <c r="X130" s="6" t="s">
        <v>765</v>
      </c>
      <c r="Y130" s="6" t="s">
        <v>766</v>
      </c>
      <c r="Z130" s="6" t="s">
        <v>767</v>
      </c>
      <c r="AA130" s="6" t="s">
        <v>61</v>
      </c>
      <c r="AB130" s="6" t="s">
        <v>768</v>
      </c>
    </row>
    <row r="131" spans="1:28" x14ac:dyDescent="0.25">
      <c r="A131" t="s">
        <v>756</v>
      </c>
      <c r="B131" t="s">
        <v>757</v>
      </c>
      <c r="C131">
        <v>0</v>
      </c>
      <c r="D131" t="s">
        <v>1025</v>
      </c>
      <c r="E131" t="s">
        <v>32</v>
      </c>
      <c r="F131" t="s">
        <v>1026</v>
      </c>
      <c r="G131" t="s">
        <v>760</v>
      </c>
      <c r="H131" t="s">
        <v>761</v>
      </c>
      <c r="I131" t="s">
        <v>762</v>
      </c>
      <c r="J131" t="s">
        <v>763</v>
      </c>
      <c r="K131">
        <v>27.72</v>
      </c>
      <c r="L131">
        <v>27.72</v>
      </c>
      <c r="M131">
        <v>27.72</v>
      </c>
      <c r="N131">
        <v>27.72</v>
      </c>
      <c r="O131">
        <v>27.72</v>
      </c>
      <c r="P131">
        <v>27.72</v>
      </c>
      <c r="Q131">
        <v>27.72</v>
      </c>
      <c r="R131">
        <v>27.72</v>
      </c>
      <c r="S131">
        <v>27.72</v>
      </c>
      <c r="T131">
        <v>27.72</v>
      </c>
      <c r="U131">
        <v>27.72</v>
      </c>
      <c r="V131">
        <v>27.72</v>
      </c>
      <c r="W131" s="6" t="s">
        <v>764</v>
      </c>
      <c r="X131" s="6" t="s">
        <v>765</v>
      </c>
      <c r="Y131" s="6" t="s">
        <v>766</v>
      </c>
      <c r="Z131" s="6" t="s">
        <v>767</v>
      </c>
      <c r="AA131" s="6" t="s">
        <v>61</v>
      </c>
      <c r="AB131" s="6" t="s">
        <v>768</v>
      </c>
    </row>
    <row r="132" spans="1:28" x14ac:dyDescent="0.25">
      <c r="A132" t="s">
        <v>756</v>
      </c>
      <c r="B132" t="s">
        <v>757</v>
      </c>
      <c r="C132">
        <v>0</v>
      </c>
      <c r="D132" t="s">
        <v>1027</v>
      </c>
      <c r="E132" t="s">
        <v>32</v>
      </c>
      <c r="F132" t="s">
        <v>1028</v>
      </c>
      <c r="G132" t="s">
        <v>760</v>
      </c>
      <c r="H132" t="s">
        <v>761</v>
      </c>
      <c r="I132" t="s">
        <v>762</v>
      </c>
      <c r="J132" t="s">
        <v>763</v>
      </c>
      <c r="K132">
        <v>27.72</v>
      </c>
      <c r="L132">
        <v>27.72</v>
      </c>
      <c r="M132">
        <v>27.72</v>
      </c>
      <c r="N132">
        <v>27.72</v>
      </c>
      <c r="O132">
        <v>27.72</v>
      </c>
      <c r="P132">
        <v>27.72</v>
      </c>
      <c r="Q132">
        <v>27.72</v>
      </c>
      <c r="R132">
        <v>27.72</v>
      </c>
      <c r="S132">
        <v>27.72</v>
      </c>
      <c r="T132">
        <v>27.72</v>
      </c>
      <c r="U132">
        <v>27.72</v>
      </c>
      <c r="V132">
        <v>27.72</v>
      </c>
      <c r="W132" s="6" t="s">
        <v>764</v>
      </c>
      <c r="X132" s="6" t="s">
        <v>765</v>
      </c>
      <c r="Y132" s="6" t="s">
        <v>766</v>
      </c>
      <c r="Z132" s="6" t="s">
        <v>767</v>
      </c>
      <c r="AA132" s="6" t="s">
        <v>61</v>
      </c>
      <c r="AB132" s="6" t="s">
        <v>768</v>
      </c>
    </row>
    <row r="133" spans="1:28" x14ac:dyDescent="0.25">
      <c r="A133" t="s">
        <v>756</v>
      </c>
      <c r="B133" t="s">
        <v>757</v>
      </c>
      <c r="C133">
        <v>0</v>
      </c>
      <c r="D133" t="s">
        <v>1029</v>
      </c>
      <c r="E133" t="s">
        <v>32</v>
      </c>
      <c r="F133" t="s">
        <v>1030</v>
      </c>
      <c r="G133" t="s">
        <v>760</v>
      </c>
      <c r="H133" t="s">
        <v>761</v>
      </c>
      <c r="I133" t="s">
        <v>762</v>
      </c>
      <c r="J133" t="s">
        <v>763</v>
      </c>
      <c r="K133">
        <v>0</v>
      </c>
      <c r="L133">
        <v>0</v>
      </c>
      <c r="M133">
        <v>0</v>
      </c>
      <c r="N133">
        <v>0</v>
      </c>
      <c r="O133">
        <v>27.72</v>
      </c>
      <c r="P133">
        <v>27.72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 s="6" t="s">
        <v>764</v>
      </c>
      <c r="X133" s="6" t="s">
        <v>765</v>
      </c>
      <c r="Y133" s="6" t="s">
        <v>766</v>
      </c>
      <c r="Z133" s="6" t="s">
        <v>767</v>
      </c>
      <c r="AA133" s="6" t="s">
        <v>61</v>
      </c>
      <c r="AB133" s="6" t="s">
        <v>768</v>
      </c>
    </row>
    <row r="134" spans="1:28" x14ac:dyDescent="0.25">
      <c r="A134" t="s">
        <v>756</v>
      </c>
      <c r="B134" t="s">
        <v>757</v>
      </c>
      <c r="C134">
        <v>0</v>
      </c>
      <c r="D134" t="s">
        <v>1031</v>
      </c>
      <c r="E134" t="s">
        <v>32</v>
      </c>
      <c r="F134" t="s">
        <v>1032</v>
      </c>
      <c r="G134" t="s">
        <v>760</v>
      </c>
      <c r="H134" t="s">
        <v>761</v>
      </c>
      <c r="I134" t="s">
        <v>762</v>
      </c>
      <c r="J134" t="s">
        <v>763</v>
      </c>
      <c r="K134">
        <v>27.72</v>
      </c>
      <c r="L134">
        <v>27.72</v>
      </c>
      <c r="M134">
        <v>27.72</v>
      </c>
      <c r="N134">
        <v>27.72</v>
      </c>
      <c r="O134">
        <v>27.72</v>
      </c>
      <c r="P134">
        <v>27.72</v>
      </c>
      <c r="Q134">
        <v>27.72</v>
      </c>
      <c r="R134">
        <v>27.72</v>
      </c>
      <c r="S134">
        <v>27.72</v>
      </c>
      <c r="T134">
        <v>27.72</v>
      </c>
      <c r="U134">
        <v>27.72</v>
      </c>
      <c r="V134">
        <v>27.72</v>
      </c>
      <c r="W134" s="6" t="s">
        <v>764</v>
      </c>
      <c r="X134" s="6" t="s">
        <v>765</v>
      </c>
      <c r="Y134" s="6" t="s">
        <v>766</v>
      </c>
      <c r="Z134" s="6" t="s">
        <v>767</v>
      </c>
      <c r="AA134" s="6" t="s">
        <v>61</v>
      </c>
      <c r="AB134" s="6" t="s">
        <v>768</v>
      </c>
    </row>
    <row r="135" spans="1:28" x14ac:dyDescent="0.25">
      <c r="A135" t="s">
        <v>756</v>
      </c>
      <c r="B135" t="s">
        <v>757</v>
      </c>
      <c r="C135">
        <v>0</v>
      </c>
      <c r="D135" t="s">
        <v>1033</v>
      </c>
      <c r="E135" t="s">
        <v>32</v>
      </c>
      <c r="F135" t="s">
        <v>1034</v>
      </c>
      <c r="G135" t="s">
        <v>760</v>
      </c>
      <c r="H135" t="s">
        <v>761</v>
      </c>
      <c r="I135" t="s">
        <v>762</v>
      </c>
      <c r="J135" t="s">
        <v>763</v>
      </c>
      <c r="K135">
        <v>27.72</v>
      </c>
      <c r="L135">
        <v>27.72</v>
      </c>
      <c r="M135">
        <v>27.72</v>
      </c>
      <c r="N135">
        <v>27.72</v>
      </c>
      <c r="O135">
        <v>27.72</v>
      </c>
      <c r="P135">
        <v>27.72</v>
      </c>
      <c r="Q135">
        <v>27.72</v>
      </c>
      <c r="R135">
        <v>27.72</v>
      </c>
      <c r="S135">
        <v>27.72</v>
      </c>
      <c r="T135">
        <v>27.72</v>
      </c>
      <c r="U135">
        <v>27.72</v>
      </c>
      <c r="V135">
        <v>27.72</v>
      </c>
      <c r="W135" s="6" t="s">
        <v>764</v>
      </c>
      <c r="X135" s="6" t="s">
        <v>765</v>
      </c>
      <c r="Y135" s="6" t="s">
        <v>766</v>
      </c>
      <c r="Z135" s="6" t="s">
        <v>767</v>
      </c>
      <c r="AA135" s="6" t="s">
        <v>61</v>
      </c>
      <c r="AB135" s="6" t="s">
        <v>768</v>
      </c>
    </row>
    <row r="136" spans="1:28" x14ac:dyDescent="0.25">
      <c r="A136" t="s">
        <v>756</v>
      </c>
      <c r="B136" t="s">
        <v>757</v>
      </c>
      <c r="C136">
        <v>0</v>
      </c>
      <c r="D136" t="s">
        <v>1035</v>
      </c>
      <c r="E136" t="s">
        <v>32</v>
      </c>
      <c r="F136" t="s">
        <v>1036</v>
      </c>
      <c r="G136" t="s">
        <v>760</v>
      </c>
      <c r="H136" t="s">
        <v>761</v>
      </c>
      <c r="I136" t="s">
        <v>762</v>
      </c>
      <c r="J136" t="s">
        <v>763</v>
      </c>
      <c r="K136">
        <v>27.72</v>
      </c>
      <c r="L136">
        <v>27.72</v>
      </c>
      <c r="M136">
        <v>27.72</v>
      </c>
      <c r="N136">
        <v>27.72</v>
      </c>
      <c r="O136">
        <v>27.72</v>
      </c>
      <c r="P136">
        <v>27.72</v>
      </c>
      <c r="Q136">
        <v>27.72</v>
      </c>
      <c r="R136">
        <v>27.72</v>
      </c>
      <c r="S136">
        <v>27.72</v>
      </c>
      <c r="T136">
        <v>27.72</v>
      </c>
      <c r="U136">
        <v>27.72</v>
      </c>
      <c r="V136">
        <v>27.72</v>
      </c>
      <c r="W136" s="6" t="s">
        <v>764</v>
      </c>
      <c r="X136" s="6" t="s">
        <v>765</v>
      </c>
      <c r="Y136" s="6" t="s">
        <v>766</v>
      </c>
      <c r="Z136" s="6" t="s">
        <v>767</v>
      </c>
      <c r="AA136" s="6" t="s">
        <v>61</v>
      </c>
      <c r="AB136" s="6" t="s">
        <v>768</v>
      </c>
    </row>
    <row r="137" spans="1:28" x14ac:dyDescent="0.25">
      <c r="A137" t="s">
        <v>756</v>
      </c>
      <c r="B137" t="s">
        <v>757</v>
      </c>
      <c r="C137">
        <v>0</v>
      </c>
      <c r="D137" t="s">
        <v>1037</v>
      </c>
      <c r="E137" t="s">
        <v>32</v>
      </c>
      <c r="F137" t="s">
        <v>1038</v>
      </c>
      <c r="G137" t="s">
        <v>760</v>
      </c>
      <c r="H137" t="s">
        <v>761</v>
      </c>
      <c r="I137" t="s">
        <v>762</v>
      </c>
      <c r="J137" t="s">
        <v>763</v>
      </c>
      <c r="K137">
        <v>27.72</v>
      </c>
      <c r="L137">
        <v>27.72</v>
      </c>
      <c r="M137">
        <v>27.72</v>
      </c>
      <c r="N137">
        <v>27.72</v>
      </c>
      <c r="O137">
        <v>27.72</v>
      </c>
      <c r="P137">
        <v>27.72</v>
      </c>
      <c r="Q137">
        <v>27.72</v>
      </c>
      <c r="R137">
        <v>27.72</v>
      </c>
      <c r="S137">
        <v>27.72</v>
      </c>
      <c r="T137">
        <v>27.72</v>
      </c>
      <c r="U137">
        <v>27.72</v>
      </c>
      <c r="V137">
        <v>27.72</v>
      </c>
      <c r="W137" s="6" t="s">
        <v>764</v>
      </c>
      <c r="X137" s="6" t="s">
        <v>765</v>
      </c>
      <c r="Y137" s="6" t="s">
        <v>766</v>
      </c>
      <c r="Z137" s="6" t="s">
        <v>767</v>
      </c>
      <c r="AA137" s="6" t="s">
        <v>61</v>
      </c>
      <c r="AB137" s="6" t="s">
        <v>768</v>
      </c>
    </row>
    <row r="138" spans="1:28" x14ac:dyDescent="0.25">
      <c r="A138" t="s">
        <v>756</v>
      </c>
      <c r="B138" t="s">
        <v>757</v>
      </c>
      <c r="C138">
        <v>0</v>
      </c>
      <c r="D138" t="s">
        <v>1039</v>
      </c>
      <c r="E138" t="s">
        <v>32</v>
      </c>
      <c r="F138" t="s">
        <v>1040</v>
      </c>
      <c r="G138" t="s">
        <v>760</v>
      </c>
      <c r="H138" t="s">
        <v>761</v>
      </c>
      <c r="I138" t="s">
        <v>762</v>
      </c>
      <c r="J138" t="s">
        <v>763</v>
      </c>
      <c r="K138">
        <v>27.72</v>
      </c>
      <c r="L138">
        <v>27.72</v>
      </c>
      <c r="M138">
        <v>27.72</v>
      </c>
      <c r="N138">
        <v>27.72</v>
      </c>
      <c r="O138">
        <v>27.72</v>
      </c>
      <c r="P138">
        <v>27.72</v>
      </c>
      <c r="Q138">
        <v>27.72</v>
      </c>
      <c r="R138">
        <v>27.72</v>
      </c>
      <c r="S138">
        <v>27.72</v>
      </c>
      <c r="T138">
        <v>27.72</v>
      </c>
      <c r="U138">
        <v>27.72</v>
      </c>
      <c r="V138">
        <v>27.72</v>
      </c>
      <c r="W138" s="6" t="s">
        <v>764</v>
      </c>
      <c r="X138" s="6" t="s">
        <v>765</v>
      </c>
      <c r="Y138" s="6" t="s">
        <v>766</v>
      </c>
      <c r="Z138" s="6" t="s">
        <v>767</v>
      </c>
      <c r="AA138" s="6" t="s">
        <v>61</v>
      </c>
      <c r="AB138" s="6" t="s">
        <v>768</v>
      </c>
    </row>
    <row r="139" spans="1:28" x14ac:dyDescent="0.25">
      <c r="A139" t="s">
        <v>756</v>
      </c>
      <c r="B139" t="s">
        <v>757</v>
      </c>
      <c r="C139">
        <v>0</v>
      </c>
      <c r="D139" t="s">
        <v>1041</v>
      </c>
      <c r="E139" t="s">
        <v>32</v>
      </c>
      <c r="F139" t="s">
        <v>1042</v>
      </c>
      <c r="G139" t="s">
        <v>760</v>
      </c>
      <c r="H139" t="s">
        <v>761</v>
      </c>
      <c r="I139" t="s">
        <v>762</v>
      </c>
      <c r="J139" t="s">
        <v>763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27.72</v>
      </c>
      <c r="U139">
        <v>27.72</v>
      </c>
      <c r="V139">
        <v>27.72</v>
      </c>
      <c r="W139" s="6" t="s">
        <v>764</v>
      </c>
      <c r="X139" s="6" t="s">
        <v>765</v>
      </c>
      <c r="Y139" s="6" t="s">
        <v>766</v>
      </c>
      <c r="Z139" s="6" t="s">
        <v>767</v>
      </c>
      <c r="AA139" s="6" t="s">
        <v>61</v>
      </c>
      <c r="AB139" s="6" t="s">
        <v>768</v>
      </c>
    </row>
    <row r="140" spans="1:28" x14ac:dyDescent="0.25">
      <c r="A140" t="s">
        <v>756</v>
      </c>
      <c r="B140" t="s">
        <v>757</v>
      </c>
      <c r="C140">
        <v>0</v>
      </c>
      <c r="D140" t="s">
        <v>1043</v>
      </c>
      <c r="E140" t="s">
        <v>32</v>
      </c>
      <c r="F140" t="s">
        <v>1044</v>
      </c>
      <c r="G140" t="s">
        <v>760</v>
      </c>
      <c r="H140" t="s">
        <v>761</v>
      </c>
      <c r="I140" t="s">
        <v>762</v>
      </c>
      <c r="J140" t="s">
        <v>763</v>
      </c>
      <c r="K140">
        <v>0</v>
      </c>
      <c r="L140">
        <v>0</v>
      </c>
      <c r="M140">
        <v>0</v>
      </c>
      <c r="N140">
        <v>0</v>
      </c>
      <c r="O140">
        <v>27.72</v>
      </c>
      <c r="P140">
        <v>27.72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 s="6" t="s">
        <v>764</v>
      </c>
      <c r="X140" s="6" t="s">
        <v>765</v>
      </c>
      <c r="Y140" s="6" t="s">
        <v>766</v>
      </c>
      <c r="Z140" s="6" t="s">
        <v>767</v>
      </c>
      <c r="AA140" s="6" t="s">
        <v>61</v>
      </c>
      <c r="AB140" s="6" t="s">
        <v>768</v>
      </c>
    </row>
    <row r="141" spans="1:28" x14ac:dyDescent="0.25">
      <c r="A141" t="s">
        <v>1045</v>
      </c>
      <c r="B141" t="s">
        <v>757</v>
      </c>
      <c r="C141">
        <v>0</v>
      </c>
      <c r="D141" t="s">
        <v>1046</v>
      </c>
      <c r="E141" t="s">
        <v>32</v>
      </c>
      <c r="F141" t="s">
        <v>1047</v>
      </c>
      <c r="G141" t="s">
        <v>760</v>
      </c>
      <c r="H141" t="s">
        <v>761</v>
      </c>
      <c r="I141" t="s">
        <v>762</v>
      </c>
      <c r="J141" t="s">
        <v>763</v>
      </c>
      <c r="K141">
        <v>27.72</v>
      </c>
      <c r="L141">
        <v>27.72</v>
      </c>
      <c r="M141">
        <v>27.72</v>
      </c>
      <c r="N141">
        <v>27.72</v>
      </c>
      <c r="O141">
        <v>27.72</v>
      </c>
      <c r="P141">
        <v>27.72</v>
      </c>
      <c r="Q141">
        <v>27.72</v>
      </c>
      <c r="R141">
        <v>27.72</v>
      </c>
      <c r="S141">
        <v>0</v>
      </c>
      <c r="T141">
        <v>0</v>
      </c>
      <c r="U141">
        <v>0</v>
      </c>
      <c r="V141">
        <v>0</v>
      </c>
      <c r="W141" s="6" t="s">
        <v>764</v>
      </c>
      <c r="X141" s="6" t="s">
        <v>765</v>
      </c>
      <c r="Y141" s="6" t="s">
        <v>766</v>
      </c>
      <c r="Z141" s="6" t="s">
        <v>767</v>
      </c>
      <c r="AA141" s="6" t="s">
        <v>1048</v>
      </c>
      <c r="AB141" s="6" t="s">
        <v>768</v>
      </c>
    </row>
    <row r="142" spans="1:28" x14ac:dyDescent="0.25">
      <c r="A142" t="s">
        <v>756</v>
      </c>
      <c r="B142" t="s">
        <v>757</v>
      </c>
      <c r="C142">
        <v>0</v>
      </c>
      <c r="D142" t="s">
        <v>1049</v>
      </c>
      <c r="E142" t="s">
        <v>32</v>
      </c>
      <c r="F142" t="s">
        <v>1050</v>
      </c>
      <c r="G142" t="s">
        <v>760</v>
      </c>
      <c r="H142" t="s">
        <v>761</v>
      </c>
      <c r="I142" t="s">
        <v>762</v>
      </c>
      <c r="J142" t="s">
        <v>763</v>
      </c>
      <c r="K142">
        <v>27.72</v>
      </c>
      <c r="L142">
        <v>27.72</v>
      </c>
      <c r="M142">
        <v>27.72</v>
      </c>
      <c r="N142">
        <v>27.72</v>
      </c>
      <c r="O142">
        <v>27.72</v>
      </c>
      <c r="P142">
        <v>27.72</v>
      </c>
      <c r="Q142">
        <v>27.72</v>
      </c>
      <c r="R142">
        <v>27.72</v>
      </c>
      <c r="S142">
        <v>27.72</v>
      </c>
      <c r="T142">
        <v>27.72</v>
      </c>
      <c r="U142">
        <v>27.72</v>
      </c>
      <c r="V142">
        <v>27.72</v>
      </c>
      <c r="W142" s="6" t="s">
        <v>764</v>
      </c>
      <c r="X142" s="6" t="s">
        <v>765</v>
      </c>
      <c r="Y142" s="6" t="s">
        <v>766</v>
      </c>
      <c r="Z142" s="6" t="s">
        <v>767</v>
      </c>
      <c r="AA142" s="6" t="s">
        <v>61</v>
      </c>
      <c r="AB142" s="6" t="s">
        <v>768</v>
      </c>
    </row>
    <row r="143" spans="1:28" x14ac:dyDescent="0.25">
      <c r="A143" t="s">
        <v>1045</v>
      </c>
      <c r="B143" t="s">
        <v>757</v>
      </c>
      <c r="C143">
        <v>0</v>
      </c>
      <c r="D143" t="s">
        <v>1051</v>
      </c>
      <c r="E143" t="s">
        <v>32</v>
      </c>
      <c r="F143" t="s">
        <v>1052</v>
      </c>
      <c r="G143" t="s">
        <v>760</v>
      </c>
      <c r="H143" t="s">
        <v>761</v>
      </c>
      <c r="I143" t="s">
        <v>762</v>
      </c>
      <c r="J143" t="s">
        <v>763</v>
      </c>
      <c r="K143">
        <v>27.72</v>
      </c>
      <c r="L143">
        <v>27.72</v>
      </c>
      <c r="M143">
        <v>27.72</v>
      </c>
      <c r="N143">
        <v>27.72</v>
      </c>
      <c r="O143">
        <v>27.72</v>
      </c>
      <c r="P143">
        <v>27.72</v>
      </c>
      <c r="Q143">
        <v>27.72</v>
      </c>
      <c r="R143">
        <v>27.72</v>
      </c>
      <c r="S143">
        <v>27.72</v>
      </c>
      <c r="T143">
        <v>27.72</v>
      </c>
      <c r="U143">
        <v>27.72</v>
      </c>
      <c r="V143">
        <v>27.72</v>
      </c>
      <c r="W143" s="6" t="s">
        <v>764</v>
      </c>
      <c r="X143" s="6" t="s">
        <v>765</v>
      </c>
      <c r="Y143" s="6" t="s">
        <v>766</v>
      </c>
      <c r="Z143" s="6" t="s">
        <v>767</v>
      </c>
      <c r="AA143" s="6" t="s">
        <v>1048</v>
      </c>
      <c r="AB143" s="6" t="s">
        <v>768</v>
      </c>
    </row>
    <row r="144" spans="1:28" x14ac:dyDescent="0.25">
      <c r="A144" t="s">
        <v>756</v>
      </c>
      <c r="B144" t="s">
        <v>757</v>
      </c>
      <c r="C144">
        <v>0</v>
      </c>
      <c r="D144" t="s">
        <v>1053</v>
      </c>
      <c r="E144" t="s">
        <v>32</v>
      </c>
      <c r="F144" t="s">
        <v>1054</v>
      </c>
      <c r="G144" t="s">
        <v>760</v>
      </c>
      <c r="H144" t="s">
        <v>761</v>
      </c>
      <c r="I144" t="s">
        <v>762</v>
      </c>
      <c r="J144" t="s">
        <v>763</v>
      </c>
      <c r="K144">
        <v>27.72</v>
      </c>
      <c r="L144">
        <v>27.72</v>
      </c>
      <c r="M144">
        <v>27.72</v>
      </c>
      <c r="N144">
        <v>27.72</v>
      </c>
      <c r="O144">
        <v>27.72</v>
      </c>
      <c r="P144">
        <v>27.72</v>
      </c>
      <c r="Q144">
        <v>27.72</v>
      </c>
      <c r="R144">
        <v>27.72</v>
      </c>
      <c r="S144">
        <v>27.72</v>
      </c>
      <c r="T144">
        <v>27.72</v>
      </c>
      <c r="U144">
        <v>27.72</v>
      </c>
      <c r="V144">
        <v>27.72</v>
      </c>
      <c r="W144" s="6" t="s">
        <v>764</v>
      </c>
      <c r="X144" s="6" t="s">
        <v>765</v>
      </c>
      <c r="Y144" s="6" t="s">
        <v>766</v>
      </c>
      <c r="Z144" s="6" t="s">
        <v>767</v>
      </c>
      <c r="AA144" s="6" t="s">
        <v>61</v>
      </c>
      <c r="AB144" s="6" t="s">
        <v>768</v>
      </c>
    </row>
    <row r="145" spans="1:28" x14ac:dyDescent="0.25">
      <c r="A145" t="s">
        <v>756</v>
      </c>
      <c r="B145" t="s">
        <v>757</v>
      </c>
      <c r="C145">
        <v>0</v>
      </c>
      <c r="D145" t="s">
        <v>1055</v>
      </c>
      <c r="E145" t="s">
        <v>32</v>
      </c>
      <c r="F145" t="s">
        <v>1056</v>
      </c>
      <c r="G145" t="s">
        <v>760</v>
      </c>
      <c r="H145" t="s">
        <v>761</v>
      </c>
      <c r="I145" t="s">
        <v>762</v>
      </c>
      <c r="J145" t="s">
        <v>763</v>
      </c>
      <c r="K145">
        <v>27.72</v>
      </c>
      <c r="L145">
        <v>27.72</v>
      </c>
      <c r="M145">
        <v>27.72</v>
      </c>
      <c r="N145">
        <v>27.72</v>
      </c>
      <c r="O145">
        <v>27.72</v>
      </c>
      <c r="P145">
        <v>27.72</v>
      </c>
      <c r="Q145">
        <v>27.72</v>
      </c>
      <c r="R145">
        <v>27.72</v>
      </c>
      <c r="S145">
        <v>27.72</v>
      </c>
      <c r="T145">
        <v>27.72</v>
      </c>
      <c r="U145">
        <v>27.72</v>
      </c>
      <c r="V145">
        <v>27.72</v>
      </c>
      <c r="W145" s="6" t="s">
        <v>764</v>
      </c>
      <c r="X145" s="6" t="s">
        <v>765</v>
      </c>
      <c r="Y145" s="6" t="s">
        <v>766</v>
      </c>
      <c r="Z145" s="6" t="s">
        <v>767</v>
      </c>
      <c r="AA145" s="6" t="s">
        <v>61</v>
      </c>
      <c r="AB145" s="6" t="s">
        <v>768</v>
      </c>
    </row>
    <row r="146" spans="1:28" x14ac:dyDescent="0.25">
      <c r="A146" t="s">
        <v>1045</v>
      </c>
      <c r="B146" t="s">
        <v>757</v>
      </c>
      <c r="C146">
        <v>0</v>
      </c>
      <c r="D146" t="s">
        <v>1057</v>
      </c>
      <c r="E146" t="s">
        <v>32</v>
      </c>
      <c r="F146" t="s">
        <v>1058</v>
      </c>
      <c r="G146" t="s">
        <v>760</v>
      </c>
      <c r="H146" t="s">
        <v>761</v>
      </c>
      <c r="I146" t="s">
        <v>762</v>
      </c>
      <c r="J146" t="s">
        <v>763</v>
      </c>
      <c r="K146">
        <v>27.72</v>
      </c>
      <c r="L146">
        <v>27.72</v>
      </c>
      <c r="M146">
        <v>27.72</v>
      </c>
      <c r="N146">
        <v>27.72</v>
      </c>
      <c r="O146">
        <v>27.72</v>
      </c>
      <c r="P146">
        <v>27.72</v>
      </c>
      <c r="Q146">
        <v>27.72</v>
      </c>
      <c r="R146">
        <v>27.72</v>
      </c>
      <c r="S146">
        <v>27.72</v>
      </c>
      <c r="T146">
        <v>27.72</v>
      </c>
      <c r="U146">
        <v>27.72</v>
      </c>
      <c r="V146">
        <v>27.72</v>
      </c>
      <c r="W146" s="6" t="s">
        <v>764</v>
      </c>
      <c r="X146" s="6" t="s">
        <v>765</v>
      </c>
      <c r="Y146" s="6" t="s">
        <v>766</v>
      </c>
      <c r="Z146" s="6" t="s">
        <v>767</v>
      </c>
      <c r="AA146" s="6" t="s">
        <v>1048</v>
      </c>
      <c r="AB146" s="6" t="s">
        <v>768</v>
      </c>
    </row>
    <row r="147" spans="1:28" x14ac:dyDescent="0.25">
      <c r="A147" t="s">
        <v>756</v>
      </c>
      <c r="B147" t="s">
        <v>757</v>
      </c>
      <c r="C147">
        <v>0</v>
      </c>
      <c r="D147" t="s">
        <v>1059</v>
      </c>
      <c r="E147" t="s">
        <v>32</v>
      </c>
      <c r="F147" t="s">
        <v>1060</v>
      </c>
      <c r="G147" t="s">
        <v>760</v>
      </c>
      <c r="H147" t="s">
        <v>761</v>
      </c>
      <c r="I147" t="s">
        <v>762</v>
      </c>
      <c r="J147" t="s">
        <v>763</v>
      </c>
      <c r="K147">
        <v>27.72</v>
      </c>
      <c r="L147">
        <v>27.72</v>
      </c>
      <c r="M147">
        <v>27.72</v>
      </c>
      <c r="N147">
        <v>27.72</v>
      </c>
      <c r="O147">
        <v>27.72</v>
      </c>
      <c r="P147">
        <v>27.72</v>
      </c>
      <c r="Q147">
        <v>27.72</v>
      </c>
      <c r="R147">
        <v>27.72</v>
      </c>
      <c r="S147">
        <v>27.72</v>
      </c>
      <c r="T147">
        <v>27.72</v>
      </c>
      <c r="U147">
        <v>27.72</v>
      </c>
      <c r="V147">
        <v>27.72</v>
      </c>
      <c r="W147" s="6" t="s">
        <v>764</v>
      </c>
      <c r="X147" s="6" t="s">
        <v>765</v>
      </c>
      <c r="Y147" s="6" t="s">
        <v>766</v>
      </c>
      <c r="Z147" s="6" t="s">
        <v>767</v>
      </c>
      <c r="AA147" s="6" t="s">
        <v>61</v>
      </c>
      <c r="AB147" s="6" t="s">
        <v>768</v>
      </c>
    </row>
    <row r="148" spans="1:28" x14ac:dyDescent="0.25">
      <c r="A148" t="s">
        <v>756</v>
      </c>
      <c r="B148" t="s">
        <v>757</v>
      </c>
      <c r="C148">
        <v>0</v>
      </c>
      <c r="D148" t="s">
        <v>1061</v>
      </c>
      <c r="E148" t="s">
        <v>32</v>
      </c>
      <c r="F148" t="s">
        <v>1062</v>
      </c>
      <c r="G148" t="s">
        <v>760</v>
      </c>
      <c r="H148" t="s">
        <v>761</v>
      </c>
      <c r="I148" t="s">
        <v>762</v>
      </c>
      <c r="J148" t="s">
        <v>763</v>
      </c>
      <c r="K148">
        <v>27.72</v>
      </c>
      <c r="L148">
        <v>27.72</v>
      </c>
      <c r="M148">
        <v>27.72</v>
      </c>
      <c r="N148">
        <v>27.72</v>
      </c>
      <c r="O148">
        <v>27.72</v>
      </c>
      <c r="P148">
        <v>27.72</v>
      </c>
      <c r="Q148">
        <v>27.72</v>
      </c>
      <c r="R148">
        <v>27.72</v>
      </c>
      <c r="S148">
        <v>0</v>
      </c>
      <c r="T148">
        <v>27.72</v>
      </c>
      <c r="U148">
        <v>27.72</v>
      </c>
      <c r="V148">
        <v>27.72</v>
      </c>
      <c r="W148" s="6" t="s">
        <v>764</v>
      </c>
      <c r="X148" s="6" t="s">
        <v>765</v>
      </c>
      <c r="Y148" s="6" t="s">
        <v>766</v>
      </c>
      <c r="Z148" s="6" t="s">
        <v>767</v>
      </c>
      <c r="AA148" s="6" t="s">
        <v>61</v>
      </c>
      <c r="AB148" s="6" t="s">
        <v>768</v>
      </c>
    </row>
    <row r="149" spans="1:28" x14ac:dyDescent="0.25">
      <c r="A149" t="s">
        <v>756</v>
      </c>
      <c r="B149" t="s">
        <v>757</v>
      </c>
      <c r="C149">
        <v>0</v>
      </c>
      <c r="D149" t="s">
        <v>1063</v>
      </c>
      <c r="E149" t="s">
        <v>32</v>
      </c>
      <c r="F149" t="s">
        <v>1064</v>
      </c>
      <c r="G149" t="s">
        <v>760</v>
      </c>
      <c r="H149" t="s">
        <v>761</v>
      </c>
      <c r="I149" t="s">
        <v>762</v>
      </c>
      <c r="J149" t="s">
        <v>763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27.72</v>
      </c>
      <c r="T149">
        <v>27.72</v>
      </c>
      <c r="U149">
        <v>27.72</v>
      </c>
      <c r="V149">
        <v>27.72</v>
      </c>
      <c r="W149" s="6" t="s">
        <v>764</v>
      </c>
      <c r="X149" s="6" t="s">
        <v>765</v>
      </c>
      <c r="Y149" s="6" t="s">
        <v>766</v>
      </c>
      <c r="Z149" s="6" t="s">
        <v>767</v>
      </c>
      <c r="AA149" s="6" t="s">
        <v>61</v>
      </c>
      <c r="AB149" s="6" t="s">
        <v>768</v>
      </c>
    </row>
    <row r="150" spans="1:28" x14ac:dyDescent="0.25">
      <c r="A150" t="s">
        <v>756</v>
      </c>
      <c r="B150" t="s">
        <v>757</v>
      </c>
      <c r="C150">
        <v>0</v>
      </c>
      <c r="D150" t="s">
        <v>1065</v>
      </c>
      <c r="E150" t="s">
        <v>32</v>
      </c>
      <c r="F150" t="s">
        <v>1066</v>
      </c>
      <c r="G150" t="s">
        <v>760</v>
      </c>
      <c r="H150" t="s">
        <v>761</v>
      </c>
      <c r="I150" t="s">
        <v>762</v>
      </c>
      <c r="J150" t="s">
        <v>763</v>
      </c>
      <c r="K150">
        <v>27.72</v>
      </c>
      <c r="L150">
        <v>27.72</v>
      </c>
      <c r="M150">
        <v>27.72</v>
      </c>
      <c r="N150">
        <v>27.72</v>
      </c>
      <c r="O150">
        <v>27.72</v>
      </c>
      <c r="P150">
        <v>27.72</v>
      </c>
      <c r="Q150">
        <v>27.72</v>
      </c>
      <c r="R150">
        <v>27.72</v>
      </c>
      <c r="S150">
        <v>27.72</v>
      </c>
      <c r="T150">
        <v>27.72</v>
      </c>
      <c r="U150">
        <v>27.72</v>
      </c>
      <c r="V150">
        <v>0</v>
      </c>
      <c r="W150" s="6" t="s">
        <v>764</v>
      </c>
      <c r="X150" s="6" t="s">
        <v>765</v>
      </c>
      <c r="Y150" s="6" t="s">
        <v>766</v>
      </c>
      <c r="Z150" s="6" t="s">
        <v>767</v>
      </c>
      <c r="AA150" s="6" t="s">
        <v>61</v>
      </c>
      <c r="AB150" s="6" t="s">
        <v>768</v>
      </c>
    </row>
    <row r="151" spans="1:28" x14ac:dyDescent="0.25">
      <c r="A151" t="s">
        <v>756</v>
      </c>
      <c r="B151" t="s">
        <v>757</v>
      </c>
      <c r="C151">
        <v>0</v>
      </c>
      <c r="D151" t="s">
        <v>1067</v>
      </c>
      <c r="E151" t="s">
        <v>32</v>
      </c>
      <c r="F151" t="s">
        <v>1068</v>
      </c>
      <c r="G151" t="s">
        <v>760</v>
      </c>
      <c r="H151" t="s">
        <v>761</v>
      </c>
      <c r="I151" t="s">
        <v>762</v>
      </c>
      <c r="J151" t="s">
        <v>763</v>
      </c>
      <c r="K151">
        <v>27.72</v>
      </c>
      <c r="L151">
        <v>27.72</v>
      </c>
      <c r="M151">
        <v>27.72</v>
      </c>
      <c r="N151">
        <v>27.72</v>
      </c>
      <c r="O151">
        <v>27.72</v>
      </c>
      <c r="P151">
        <v>27.72</v>
      </c>
      <c r="Q151">
        <v>27.72</v>
      </c>
      <c r="R151">
        <v>27.72</v>
      </c>
      <c r="S151">
        <v>27.72</v>
      </c>
      <c r="T151">
        <v>27.72</v>
      </c>
      <c r="U151">
        <v>27.72</v>
      </c>
      <c r="V151">
        <v>27.72</v>
      </c>
      <c r="W151" s="6" t="s">
        <v>764</v>
      </c>
      <c r="X151" s="6" t="s">
        <v>765</v>
      </c>
      <c r="Y151" s="6" t="s">
        <v>766</v>
      </c>
      <c r="Z151" s="6" t="s">
        <v>767</v>
      </c>
      <c r="AA151" s="6" t="s">
        <v>61</v>
      </c>
      <c r="AB151" s="6" t="s">
        <v>768</v>
      </c>
    </row>
    <row r="152" spans="1:28" x14ac:dyDescent="0.25">
      <c r="A152" t="s">
        <v>756</v>
      </c>
      <c r="B152" t="s">
        <v>757</v>
      </c>
      <c r="C152">
        <v>0</v>
      </c>
      <c r="D152" t="s">
        <v>1069</v>
      </c>
      <c r="E152" t="s">
        <v>32</v>
      </c>
      <c r="F152" t="s">
        <v>1070</v>
      </c>
      <c r="G152" t="s">
        <v>760</v>
      </c>
      <c r="H152" t="s">
        <v>761</v>
      </c>
      <c r="I152" t="s">
        <v>762</v>
      </c>
      <c r="J152" t="s">
        <v>763</v>
      </c>
      <c r="K152">
        <v>27.72</v>
      </c>
      <c r="L152">
        <v>27.72</v>
      </c>
      <c r="M152">
        <v>27.72</v>
      </c>
      <c r="N152">
        <v>27.72</v>
      </c>
      <c r="O152">
        <v>27.72</v>
      </c>
      <c r="P152">
        <v>27.72</v>
      </c>
      <c r="Q152">
        <v>27.72</v>
      </c>
      <c r="R152">
        <v>27.72</v>
      </c>
      <c r="S152">
        <v>27.72</v>
      </c>
      <c r="T152">
        <v>27.72</v>
      </c>
      <c r="U152">
        <v>27.72</v>
      </c>
      <c r="V152">
        <v>27.72</v>
      </c>
      <c r="W152" s="6" t="s">
        <v>764</v>
      </c>
      <c r="X152" s="6" t="s">
        <v>765</v>
      </c>
      <c r="Y152" s="6" t="s">
        <v>766</v>
      </c>
      <c r="Z152" s="6" t="s">
        <v>767</v>
      </c>
      <c r="AA152" s="6" t="s">
        <v>61</v>
      </c>
      <c r="AB152" s="6" t="s">
        <v>768</v>
      </c>
    </row>
    <row r="153" spans="1:28" x14ac:dyDescent="0.25">
      <c r="A153" t="s">
        <v>756</v>
      </c>
      <c r="B153" t="s">
        <v>757</v>
      </c>
      <c r="C153">
        <v>0</v>
      </c>
      <c r="D153" t="s">
        <v>1071</v>
      </c>
      <c r="E153" t="s">
        <v>32</v>
      </c>
      <c r="F153" t="s">
        <v>1072</v>
      </c>
      <c r="G153" t="s">
        <v>760</v>
      </c>
      <c r="H153" t="s">
        <v>761</v>
      </c>
      <c r="I153" t="s">
        <v>762</v>
      </c>
      <c r="J153" t="s">
        <v>763</v>
      </c>
      <c r="K153">
        <v>27.72</v>
      </c>
      <c r="L153">
        <v>27.72</v>
      </c>
      <c r="M153">
        <v>27.72</v>
      </c>
      <c r="N153">
        <v>27.72</v>
      </c>
      <c r="O153">
        <v>27.72</v>
      </c>
      <c r="P153">
        <v>27.72</v>
      </c>
      <c r="Q153">
        <v>27.72</v>
      </c>
      <c r="R153">
        <v>27.72</v>
      </c>
      <c r="S153">
        <v>27.72</v>
      </c>
      <c r="T153">
        <v>27.72</v>
      </c>
      <c r="U153">
        <v>27.72</v>
      </c>
      <c r="V153">
        <v>27.72</v>
      </c>
      <c r="W153" s="6" t="s">
        <v>764</v>
      </c>
      <c r="X153" s="6" t="s">
        <v>765</v>
      </c>
      <c r="Y153" s="6" t="s">
        <v>766</v>
      </c>
      <c r="Z153" s="6" t="s">
        <v>767</v>
      </c>
      <c r="AA153" s="6" t="s">
        <v>61</v>
      </c>
      <c r="AB153" s="6" t="s">
        <v>768</v>
      </c>
    </row>
    <row r="154" spans="1:28" x14ac:dyDescent="0.25">
      <c r="A154" t="s">
        <v>756</v>
      </c>
      <c r="B154" t="s">
        <v>757</v>
      </c>
      <c r="C154">
        <v>0</v>
      </c>
      <c r="D154" t="s">
        <v>1073</v>
      </c>
      <c r="E154" t="s">
        <v>32</v>
      </c>
      <c r="F154" t="s">
        <v>1074</v>
      </c>
      <c r="G154" t="s">
        <v>760</v>
      </c>
      <c r="H154" t="s">
        <v>761</v>
      </c>
      <c r="I154" t="s">
        <v>762</v>
      </c>
      <c r="J154" t="s">
        <v>763</v>
      </c>
      <c r="K154">
        <v>27.72</v>
      </c>
      <c r="L154">
        <v>27.72</v>
      </c>
      <c r="M154">
        <v>27.72</v>
      </c>
      <c r="N154">
        <v>27.72</v>
      </c>
      <c r="O154">
        <v>27.72</v>
      </c>
      <c r="P154">
        <v>27.72</v>
      </c>
      <c r="Q154">
        <v>27.72</v>
      </c>
      <c r="R154">
        <v>27.72</v>
      </c>
      <c r="S154">
        <v>0</v>
      </c>
      <c r="T154">
        <v>0</v>
      </c>
      <c r="U154">
        <v>0</v>
      </c>
      <c r="V154">
        <v>0</v>
      </c>
      <c r="W154" s="6" t="s">
        <v>764</v>
      </c>
      <c r="X154" s="6" t="s">
        <v>765</v>
      </c>
      <c r="Y154" s="6" t="s">
        <v>766</v>
      </c>
      <c r="Z154" s="6" t="s">
        <v>767</v>
      </c>
      <c r="AA154" s="6" t="s">
        <v>61</v>
      </c>
      <c r="AB154" s="6" t="s">
        <v>768</v>
      </c>
    </row>
    <row r="155" spans="1:28" x14ac:dyDescent="0.25">
      <c r="A155" t="s">
        <v>756</v>
      </c>
      <c r="B155" t="s">
        <v>757</v>
      </c>
      <c r="C155">
        <v>0</v>
      </c>
      <c r="D155" t="s">
        <v>1075</v>
      </c>
      <c r="E155" t="s">
        <v>32</v>
      </c>
      <c r="F155" t="s">
        <v>1076</v>
      </c>
      <c r="G155" t="s">
        <v>760</v>
      </c>
      <c r="H155" t="s">
        <v>761</v>
      </c>
      <c r="I155" t="s">
        <v>762</v>
      </c>
      <c r="J155" t="s">
        <v>763</v>
      </c>
      <c r="K155">
        <v>27.72</v>
      </c>
      <c r="L155">
        <v>27.72</v>
      </c>
      <c r="M155">
        <v>27.72</v>
      </c>
      <c r="N155">
        <v>27.72</v>
      </c>
      <c r="O155">
        <v>27.72</v>
      </c>
      <c r="P155">
        <v>27.72</v>
      </c>
      <c r="Q155">
        <v>27.72</v>
      </c>
      <c r="R155">
        <v>27.72</v>
      </c>
      <c r="S155">
        <v>27.72</v>
      </c>
      <c r="T155">
        <v>27.72</v>
      </c>
      <c r="U155">
        <v>27.72</v>
      </c>
      <c r="V155">
        <v>27.72</v>
      </c>
      <c r="W155" s="6" t="s">
        <v>764</v>
      </c>
      <c r="X155" s="6" t="s">
        <v>765</v>
      </c>
      <c r="Y155" s="6" t="s">
        <v>766</v>
      </c>
      <c r="Z155" s="6" t="s">
        <v>767</v>
      </c>
      <c r="AA155" s="6" t="s">
        <v>61</v>
      </c>
      <c r="AB155" s="6" t="s">
        <v>768</v>
      </c>
    </row>
    <row r="156" spans="1:28" x14ac:dyDescent="0.25">
      <c r="A156" t="s">
        <v>1045</v>
      </c>
      <c r="B156" t="s">
        <v>757</v>
      </c>
      <c r="C156">
        <v>0</v>
      </c>
      <c r="D156" t="s">
        <v>1077</v>
      </c>
      <c r="E156" t="s">
        <v>32</v>
      </c>
      <c r="F156" t="s">
        <v>1078</v>
      </c>
      <c r="G156" t="s">
        <v>760</v>
      </c>
      <c r="H156" t="s">
        <v>761</v>
      </c>
      <c r="I156" t="s">
        <v>762</v>
      </c>
      <c r="J156" t="s">
        <v>763</v>
      </c>
      <c r="K156">
        <v>27.72</v>
      </c>
      <c r="L156">
        <v>27.72</v>
      </c>
      <c r="M156">
        <v>27.72</v>
      </c>
      <c r="N156">
        <v>27.72</v>
      </c>
      <c r="O156">
        <v>27.72</v>
      </c>
      <c r="P156">
        <v>27.72</v>
      </c>
      <c r="Q156">
        <v>27.72</v>
      </c>
      <c r="R156">
        <v>27.72</v>
      </c>
      <c r="S156">
        <v>27.72</v>
      </c>
      <c r="T156">
        <v>27.72</v>
      </c>
      <c r="U156">
        <v>27.72</v>
      </c>
      <c r="V156">
        <v>27.72</v>
      </c>
      <c r="W156" s="6" t="s">
        <v>764</v>
      </c>
      <c r="X156" s="6" t="s">
        <v>765</v>
      </c>
      <c r="Y156" s="6" t="s">
        <v>766</v>
      </c>
      <c r="Z156" s="6" t="s">
        <v>767</v>
      </c>
      <c r="AA156" s="6" t="s">
        <v>1048</v>
      </c>
      <c r="AB156" s="6" t="s">
        <v>768</v>
      </c>
    </row>
    <row r="157" spans="1:28" x14ac:dyDescent="0.25">
      <c r="A157" t="s">
        <v>756</v>
      </c>
      <c r="B157" t="s">
        <v>757</v>
      </c>
      <c r="C157">
        <v>0</v>
      </c>
      <c r="D157" t="s">
        <v>1079</v>
      </c>
      <c r="E157" t="s">
        <v>32</v>
      </c>
      <c r="F157" t="s">
        <v>1080</v>
      </c>
      <c r="G157" t="s">
        <v>760</v>
      </c>
      <c r="H157" t="s">
        <v>761</v>
      </c>
      <c r="I157" t="s">
        <v>762</v>
      </c>
      <c r="J157" t="s">
        <v>763</v>
      </c>
      <c r="K157">
        <v>27.72</v>
      </c>
      <c r="L157">
        <v>27.72</v>
      </c>
      <c r="M157">
        <v>27.72</v>
      </c>
      <c r="N157">
        <v>27.72</v>
      </c>
      <c r="O157">
        <v>27.72</v>
      </c>
      <c r="P157">
        <v>27.72</v>
      </c>
      <c r="Q157">
        <v>27.72</v>
      </c>
      <c r="R157">
        <v>27.72</v>
      </c>
      <c r="S157">
        <v>27.72</v>
      </c>
      <c r="T157">
        <v>27.72</v>
      </c>
      <c r="U157">
        <v>27.72</v>
      </c>
      <c r="V157">
        <v>27.72</v>
      </c>
      <c r="W157" s="6" t="s">
        <v>764</v>
      </c>
      <c r="X157" s="6" t="s">
        <v>765</v>
      </c>
      <c r="Y157" s="6" t="s">
        <v>766</v>
      </c>
      <c r="Z157" s="6" t="s">
        <v>767</v>
      </c>
      <c r="AA157" s="6" t="s">
        <v>61</v>
      </c>
      <c r="AB157" s="6" t="s">
        <v>768</v>
      </c>
    </row>
    <row r="158" spans="1:28" x14ac:dyDescent="0.25">
      <c r="A158" t="s">
        <v>756</v>
      </c>
      <c r="B158" t="s">
        <v>757</v>
      </c>
      <c r="C158">
        <v>0</v>
      </c>
      <c r="D158" t="s">
        <v>1081</v>
      </c>
      <c r="E158" t="s">
        <v>32</v>
      </c>
      <c r="F158" t="s">
        <v>1082</v>
      </c>
      <c r="G158" t="s">
        <v>760</v>
      </c>
      <c r="H158" t="s">
        <v>761</v>
      </c>
      <c r="I158" t="s">
        <v>762</v>
      </c>
      <c r="J158" t="s">
        <v>763</v>
      </c>
      <c r="K158">
        <v>27.72</v>
      </c>
      <c r="L158">
        <v>27.72</v>
      </c>
      <c r="M158">
        <v>27.72</v>
      </c>
      <c r="N158">
        <v>27.72</v>
      </c>
      <c r="O158">
        <v>27.72</v>
      </c>
      <c r="P158">
        <v>27.72</v>
      </c>
      <c r="Q158">
        <v>27.72</v>
      </c>
      <c r="R158">
        <v>27.72</v>
      </c>
      <c r="S158">
        <v>27.72</v>
      </c>
      <c r="T158">
        <v>27.72</v>
      </c>
      <c r="U158">
        <v>27.72</v>
      </c>
      <c r="V158">
        <v>27.72</v>
      </c>
      <c r="W158" s="6" t="s">
        <v>764</v>
      </c>
      <c r="X158" s="6" t="s">
        <v>765</v>
      </c>
      <c r="Y158" s="6" t="s">
        <v>766</v>
      </c>
      <c r="Z158" s="6" t="s">
        <v>767</v>
      </c>
      <c r="AA158" s="6" t="s">
        <v>61</v>
      </c>
      <c r="AB158" s="6" t="s">
        <v>768</v>
      </c>
    </row>
    <row r="159" spans="1:28" x14ac:dyDescent="0.25">
      <c r="A159" t="s">
        <v>756</v>
      </c>
      <c r="B159" t="s">
        <v>757</v>
      </c>
      <c r="C159">
        <v>0</v>
      </c>
      <c r="D159" t="s">
        <v>1083</v>
      </c>
      <c r="E159" t="s">
        <v>806</v>
      </c>
      <c r="F159" t="s">
        <v>1084</v>
      </c>
      <c r="G159" t="s">
        <v>760</v>
      </c>
      <c r="H159" t="s">
        <v>761</v>
      </c>
      <c r="I159" t="s">
        <v>762</v>
      </c>
      <c r="J159" t="s">
        <v>763</v>
      </c>
      <c r="K159">
        <v>90.41</v>
      </c>
      <c r="L159">
        <v>90.41</v>
      </c>
      <c r="M159">
        <v>90.41</v>
      </c>
      <c r="N159">
        <v>90.41</v>
      </c>
      <c r="O159">
        <v>90.41</v>
      </c>
      <c r="P159">
        <v>90.41</v>
      </c>
      <c r="Q159">
        <v>90.41</v>
      </c>
      <c r="R159">
        <v>90.41</v>
      </c>
      <c r="S159">
        <v>90.41</v>
      </c>
      <c r="T159">
        <v>90.41</v>
      </c>
      <c r="U159">
        <v>90.41</v>
      </c>
      <c r="V159">
        <v>90.41</v>
      </c>
      <c r="W159" s="6" t="s">
        <v>764</v>
      </c>
      <c r="X159" s="6" t="s">
        <v>765</v>
      </c>
      <c r="Y159" s="6" t="s">
        <v>766</v>
      </c>
      <c r="Z159" s="6" t="s">
        <v>767</v>
      </c>
      <c r="AA159" s="6" t="s">
        <v>61</v>
      </c>
      <c r="AB159" s="6" t="s">
        <v>768</v>
      </c>
    </row>
    <row r="160" spans="1:28" x14ac:dyDescent="0.25">
      <c r="A160" t="s">
        <v>756</v>
      </c>
      <c r="B160" t="s">
        <v>757</v>
      </c>
      <c r="C160">
        <v>0</v>
      </c>
      <c r="D160" t="s">
        <v>1085</v>
      </c>
      <c r="E160" t="s">
        <v>806</v>
      </c>
      <c r="F160" t="s">
        <v>1086</v>
      </c>
      <c r="G160" t="s">
        <v>760</v>
      </c>
      <c r="H160" t="s">
        <v>761</v>
      </c>
      <c r="I160" t="s">
        <v>762</v>
      </c>
      <c r="J160" t="s">
        <v>763</v>
      </c>
      <c r="K160">
        <v>90.41</v>
      </c>
      <c r="L160">
        <v>90.41</v>
      </c>
      <c r="M160">
        <v>90.41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 s="6" t="s">
        <v>764</v>
      </c>
      <c r="X160" s="6" t="s">
        <v>765</v>
      </c>
      <c r="Y160" s="6" t="s">
        <v>766</v>
      </c>
      <c r="Z160" s="6" t="s">
        <v>767</v>
      </c>
      <c r="AA160" s="6" t="s">
        <v>61</v>
      </c>
      <c r="AB160" s="6" t="s">
        <v>768</v>
      </c>
    </row>
    <row r="161" spans="1:28" x14ac:dyDescent="0.25">
      <c r="A161" t="s">
        <v>756</v>
      </c>
      <c r="B161" t="s">
        <v>757</v>
      </c>
      <c r="C161">
        <v>0</v>
      </c>
      <c r="D161" t="s">
        <v>1087</v>
      </c>
      <c r="E161" t="s">
        <v>806</v>
      </c>
      <c r="F161" t="s">
        <v>1088</v>
      </c>
      <c r="G161" t="s">
        <v>760</v>
      </c>
      <c r="H161" t="s">
        <v>761</v>
      </c>
      <c r="I161" t="s">
        <v>762</v>
      </c>
      <c r="J161" t="s">
        <v>763</v>
      </c>
      <c r="K161">
        <v>90.41</v>
      </c>
      <c r="L161">
        <v>90.41</v>
      </c>
      <c r="M161">
        <v>90.41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 s="6" t="s">
        <v>764</v>
      </c>
      <c r="X161" s="6" t="s">
        <v>765</v>
      </c>
      <c r="Y161" s="6" t="s">
        <v>766</v>
      </c>
      <c r="Z161" s="6" t="s">
        <v>767</v>
      </c>
      <c r="AA161" s="6" t="s">
        <v>61</v>
      </c>
      <c r="AB161" s="6" t="s">
        <v>768</v>
      </c>
    </row>
    <row r="162" spans="1:28" x14ac:dyDescent="0.25">
      <c r="A162" t="s">
        <v>756</v>
      </c>
      <c r="B162" t="s">
        <v>757</v>
      </c>
      <c r="C162">
        <v>0</v>
      </c>
      <c r="D162" t="s">
        <v>1089</v>
      </c>
      <c r="E162" t="s">
        <v>806</v>
      </c>
      <c r="F162" t="s">
        <v>1090</v>
      </c>
      <c r="G162" t="s">
        <v>760</v>
      </c>
      <c r="H162" t="s">
        <v>761</v>
      </c>
      <c r="I162" t="s">
        <v>762</v>
      </c>
      <c r="J162" t="s">
        <v>763</v>
      </c>
      <c r="K162">
        <v>90.41</v>
      </c>
      <c r="L162">
        <v>90.41</v>
      </c>
      <c r="M162">
        <v>90.41</v>
      </c>
      <c r="N162">
        <v>90.41</v>
      </c>
      <c r="O162">
        <v>90.41</v>
      </c>
      <c r="P162">
        <v>90.41</v>
      </c>
      <c r="Q162">
        <v>90.41</v>
      </c>
      <c r="R162">
        <v>90.41</v>
      </c>
      <c r="S162">
        <v>90.41</v>
      </c>
      <c r="T162">
        <v>90.41</v>
      </c>
      <c r="U162">
        <v>90.41</v>
      </c>
      <c r="V162">
        <v>90.41</v>
      </c>
      <c r="W162" s="6" t="s">
        <v>764</v>
      </c>
      <c r="X162" s="6" t="s">
        <v>765</v>
      </c>
      <c r="Y162" s="6" t="s">
        <v>766</v>
      </c>
      <c r="Z162" s="6" t="s">
        <v>767</v>
      </c>
      <c r="AA162" s="6" t="s">
        <v>61</v>
      </c>
      <c r="AB162" s="6" t="s">
        <v>768</v>
      </c>
    </row>
    <row r="163" spans="1:28" x14ac:dyDescent="0.25">
      <c r="A163" t="s">
        <v>756</v>
      </c>
      <c r="B163" t="s">
        <v>757</v>
      </c>
      <c r="C163">
        <v>0</v>
      </c>
      <c r="D163" t="s">
        <v>1091</v>
      </c>
      <c r="E163" t="s">
        <v>806</v>
      </c>
      <c r="F163" t="s">
        <v>1092</v>
      </c>
      <c r="G163" t="s">
        <v>760</v>
      </c>
      <c r="H163" t="s">
        <v>761</v>
      </c>
      <c r="I163" t="s">
        <v>762</v>
      </c>
      <c r="J163" t="s">
        <v>763</v>
      </c>
      <c r="K163">
        <v>90.41</v>
      </c>
      <c r="L163">
        <v>90.41</v>
      </c>
      <c r="M163">
        <v>90.41</v>
      </c>
      <c r="N163">
        <v>90.41</v>
      </c>
      <c r="O163">
        <v>90.41</v>
      </c>
      <c r="P163">
        <v>90.41</v>
      </c>
      <c r="Q163">
        <v>90.41</v>
      </c>
      <c r="R163">
        <v>90.41</v>
      </c>
      <c r="S163">
        <v>90.41</v>
      </c>
      <c r="T163">
        <v>90.41</v>
      </c>
      <c r="U163">
        <v>90.41</v>
      </c>
      <c r="V163">
        <v>90.41</v>
      </c>
      <c r="W163" s="6" t="s">
        <v>764</v>
      </c>
      <c r="X163" s="6" t="s">
        <v>765</v>
      </c>
      <c r="Y163" s="6" t="s">
        <v>766</v>
      </c>
      <c r="Z163" s="6" t="s">
        <v>767</v>
      </c>
      <c r="AA163" s="6" t="s">
        <v>61</v>
      </c>
      <c r="AB163" s="6" t="s">
        <v>768</v>
      </c>
    </row>
    <row r="164" spans="1:28" x14ac:dyDescent="0.25">
      <c r="A164" t="s">
        <v>756</v>
      </c>
      <c r="B164" t="s">
        <v>757</v>
      </c>
      <c r="C164">
        <v>0</v>
      </c>
      <c r="D164" t="s">
        <v>1093</v>
      </c>
      <c r="E164" t="s">
        <v>806</v>
      </c>
      <c r="F164" t="s">
        <v>1094</v>
      </c>
      <c r="G164" t="s">
        <v>760</v>
      </c>
      <c r="H164" t="s">
        <v>761</v>
      </c>
      <c r="I164" t="s">
        <v>762</v>
      </c>
      <c r="J164" t="s">
        <v>763</v>
      </c>
      <c r="K164">
        <v>90.41</v>
      </c>
      <c r="L164">
        <v>90.41</v>
      </c>
      <c r="M164">
        <v>90.41</v>
      </c>
      <c r="N164">
        <v>90.41</v>
      </c>
      <c r="O164">
        <v>90.41</v>
      </c>
      <c r="P164">
        <v>90.41</v>
      </c>
      <c r="Q164">
        <v>90.41</v>
      </c>
      <c r="R164">
        <v>90.41</v>
      </c>
      <c r="S164">
        <v>90.41</v>
      </c>
      <c r="T164">
        <v>90.41</v>
      </c>
      <c r="U164">
        <v>90.41</v>
      </c>
      <c r="V164">
        <v>90.41</v>
      </c>
      <c r="W164" s="6" t="s">
        <v>764</v>
      </c>
      <c r="X164" s="6" t="s">
        <v>765</v>
      </c>
      <c r="Y164" s="6" t="s">
        <v>766</v>
      </c>
      <c r="Z164" s="6" t="s">
        <v>767</v>
      </c>
      <c r="AA164" s="6" t="s">
        <v>61</v>
      </c>
      <c r="AB164" s="6" t="s">
        <v>768</v>
      </c>
    </row>
    <row r="165" spans="1:28" x14ac:dyDescent="0.25">
      <c r="A165" t="s">
        <v>756</v>
      </c>
      <c r="B165" t="s">
        <v>757</v>
      </c>
      <c r="C165">
        <v>0</v>
      </c>
      <c r="D165" t="s">
        <v>1095</v>
      </c>
      <c r="E165" t="s">
        <v>806</v>
      </c>
      <c r="F165" t="s">
        <v>1096</v>
      </c>
      <c r="G165" t="s">
        <v>760</v>
      </c>
      <c r="H165" t="s">
        <v>761</v>
      </c>
      <c r="I165" t="s">
        <v>762</v>
      </c>
      <c r="J165" t="s">
        <v>763</v>
      </c>
      <c r="K165">
        <v>90.41</v>
      </c>
      <c r="L165">
        <v>90.41</v>
      </c>
      <c r="M165">
        <v>90.41</v>
      </c>
      <c r="N165">
        <v>90.41</v>
      </c>
      <c r="O165">
        <v>90.41</v>
      </c>
      <c r="P165">
        <v>90.41</v>
      </c>
      <c r="Q165">
        <v>90.41</v>
      </c>
      <c r="R165">
        <v>90.41</v>
      </c>
      <c r="S165">
        <v>90.41</v>
      </c>
      <c r="T165">
        <v>90.41</v>
      </c>
      <c r="U165">
        <v>90.41</v>
      </c>
      <c r="V165">
        <v>90.41</v>
      </c>
      <c r="W165" s="6" t="s">
        <v>764</v>
      </c>
      <c r="X165" s="6" t="s">
        <v>765</v>
      </c>
      <c r="Y165" s="6" t="s">
        <v>766</v>
      </c>
      <c r="Z165" s="6" t="s">
        <v>767</v>
      </c>
      <c r="AA165" s="6" t="s">
        <v>61</v>
      </c>
      <c r="AB165" s="6" t="s">
        <v>768</v>
      </c>
    </row>
    <row r="166" spans="1:28" x14ac:dyDescent="0.25">
      <c r="A166" t="s">
        <v>756</v>
      </c>
      <c r="B166" t="s">
        <v>757</v>
      </c>
      <c r="C166">
        <v>0</v>
      </c>
      <c r="D166" t="s">
        <v>1097</v>
      </c>
      <c r="E166" t="s">
        <v>806</v>
      </c>
      <c r="F166" t="s">
        <v>1098</v>
      </c>
      <c r="G166" t="s">
        <v>760</v>
      </c>
      <c r="H166" t="s">
        <v>761</v>
      </c>
      <c r="I166" t="s">
        <v>762</v>
      </c>
      <c r="J166" t="s">
        <v>763</v>
      </c>
      <c r="K166">
        <v>90.41</v>
      </c>
      <c r="L166">
        <v>90.41</v>
      </c>
      <c r="M166">
        <v>90.41</v>
      </c>
      <c r="N166">
        <v>90.41</v>
      </c>
      <c r="O166">
        <v>90.41</v>
      </c>
      <c r="P166">
        <v>90.41</v>
      </c>
      <c r="Q166">
        <v>90.41</v>
      </c>
      <c r="R166">
        <v>90.41</v>
      </c>
      <c r="S166">
        <v>90.41</v>
      </c>
      <c r="T166">
        <v>90.41</v>
      </c>
      <c r="U166">
        <v>90.41</v>
      </c>
      <c r="V166">
        <v>90.41</v>
      </c>
      <c r="W166" s="6" t="s">
        <v>764</v>
      </c>
      <c r="X166" s="6" t="s">
        <v>765</v>
      </c>
      <c r="Y166" s="6" t="s">
        <v>766</v>
      </c>
      <c r="Z166" s="6" t="s">
        <v>767</v>
      </c>
      <c r="AA166" s="6" t="s">
        <v>61</v>
      </c>
      <c r="AB166" s="6" t="s">
        <v>768</v>
      </c>
    </row>
    <row r="167" spans="1:28" x14ac:dyDescent="0.25">
      <c r="A167" t="s">
        <v>756</v>
      </c>
      <c r="B167" t="s">
        <v>757</v>
      </c>
      <c r="C167">
        <v>0</v>
      </c>
      <c r="D167" t="s">
        <v>1099</v>
      </c>
      <c r="E167" t="s">
        <v>806</v>
      </c>
      <c r="F167" t="s">
        <v>1100</v>
      </c>
      <c r="G167" t="s">
        <v>760</v>
      </c>
      <c r="H167" t="s">
        <v>761</v>
      </c>
      <c r="I167" t="s">
        <v>762</v>
      </c>
      <c r="J167" t="s">
        <v>763</v>
      </c>
      <c r="K167">
        <v>0</v>
      </c>
      <c r="L167">
        <v>0</v>
      </c>
      <c r="M167">
        <v>90.41</v>
      </c>
      <c r="N167">
        <v>90.41</v>
      </c>
      <c r="O167">
        <v>90.41</v>
      </c>
      <c r="P167">
        <v>90.41</v>
      </c>
      <c r="Q167">
        <v>90.41</v>
      </c>
      <c r="R167">
        <v>90.41</v>
      </c>
      <c r="S167">
        <v>90.41</v>
      </c>
      <c r="T167">
        <v>90.41</v>
      </c>
      <c r="U167">
        <v>90.41</v>
      </c>
      <c r="V167">
        <v>90.41</v>
      </c>
      <c r="W167" s="6" t="s">
        <v>764</v>
      </c>
      <c r="X167" s="6" t="s">
        <v>765</v>
      </c>
      <c r="Y167" s="6" t="s">
        <v>766</v>
      </c>
      <c r="Z167" s="6" t="s">
        <v>767</v>
      </c>
      <c r="AA167" s="6" t="s">
        <v>61</v>
      </c>
      <c r="AB167" s="6" t="s">
        <v>768</v>
      </c>
    </row>
    <row r="168" spans="1:28" x14ac:dyDescent="0.25">
      <c r="A168" t="s">
        <v>756</v>
      </c>
      <c r="B168" t="s">
        <v>757</v>
      </c>
      <c r="C168">
        <v>0</v>
      </c>
      <c r="D168" t="s">
        <v>1101</v>
      </c>
      <c r="E168" t="s">
        <v>806</v>
      </c>
      <c r="F168" t="s">
        <v>1102</v>
      </c>
      <c r="G168" t="s">
        <v>760</v>
      </c>
      <c r="H168" t="s">
        <v>761</v>
      </c>
      <c r="I168" t="s">
        <v>762</v>
      </c>
      <c r="J168" t="s">
        <v>763</v>
      </c>
      <c r="K168">
        <v>90.41</v>
      </c>
      <c r="L168">
        <v>90.41</v>
      </c>
      <c r="M168">
        <v>90.41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 s="6" t="s">
        <v>764</v>
      </c>
      <c r="X168" s="6" t="s">
        <v>765</v>
      </c>
      <c r="Y168" s="6" t="s">
        <v>766</v>
      </c>
      <c r="Z168" s="6" t="s">
        <v>767</v>
      </c>
      <c r="AA168" s="6" t="s">
        <v>61</v>
      </c>
      <c r="AB168" s="6" t="s">
        <v>768</v>
      </c>
    </row>
    <row r="169" spans="1:28" x14ac:dyDescent="0.25">
      <c r="A169" t="s">
        <v>756</v>
      </c>
      <c r="B169" t="s">
        <v>757</v>
      </c>
      <c r="C169">
        <v>0</v>
      </c>
      <c r="D169" t="s">
        <v>1103</v>
      </c>
      <c r="E169" t="s">
        <v>806</v>
      </c>
      <c r="F169" t="s">
        <v>1104</v>
      </c>
      <c r="G169" t="s">
        <v>760</v>
      </c>
      <c r="H169" t="s">
        <v>761</v>
      </c>
      <c r="I169" t="s">
        <v>762</v>
      </c>
      <c r="J169" t="s">
        <v>763</v>
      </c>
      <c r="K169">
        <v>90.41</v>
      </c>
      <c r="L169">
        <v>90.41</v>
      </c>
      <c r="M169">
        <v>90.41</v>
      </c>
      <c r="N169">
        <v>90.41</v>
      </c>
      <c r="O169">
        <v>90.41</v>
      </c>
      <c r="P169">
        <v>90.41</v>
      </c>
      <c r="Q169">
        <v>90.41</v>
      </c>
      <c r="R169">
        <v>90.41</v>
      </c>
      <c r="S169">
        <v>90.41</v>
      </c>
      <c r="T169">
        <v>90.41</v>
      </c>
      <c r="U169">
        <v>90.41</v>
      </c>
      <c r="V169">
        <v>90.41</v>
      </c>
      <c r="W169" s="6" t="s">
        <v>764</v>
      </c>
      <c r="X169" s="6" t="s">
        <v>765</v>
      </c>
      <c r="Y169" s="6" t="s">
        <v>766</v>
      </c>
      <c r="Z169" s="6" t="s">
        <v>767</v>
      </c>
      <c r="AA169" s="6" t="s">
        <v>61</v>
      </c>
      <c r="AB169" s="6" t="s">
        <v>768</v>
      </c>
    </row>
    <row r="170" spans="1:28" x14ac:dyDescent="0.25">
      <c r="A170" t="s">
        <v>756</v>
      </c>
      <c r="B170" t="s">
        <v>757</v>
      </c>
      <c r="C170">
        <v>0</v>
      </c>
      <c r="D170" t="s">
        <v>1105</v>
      </c>
      <c r="E170" t="s">
        <v>806</v>
      </c>
      <c r="F170" t="s">
        <v>1106</v>
      </c>
      <c r="G170" t="s">
        <v>760</v>
      </c>
      <c r="H170" t="s">
        <v>761</v>
      </c>
      <c r="I170" t="s">
        <v>762</v>
      </c>
      <c r="J170" t="s">
        <v>763</v>
      </c>
      <c r="K170">
        <v>0</v>
      </c>
      <c r="L170">
        <v>90.41</v>
      </c>
      <c r="M170">
        <v>90.41</v>
      </c>
      <c r="N170">
        <v>90.41</v>
      </c>
      <c r="O170">
        <v>90.41</v>
      </c>
      <c r="P170">
        <v>90.41</v>
      </c>
      <c r="Q170">
        <v>90.41</v>
      </c>
      <c r="R170">
        <v>90.41</v>
      </c>
      <c r="S170">
        <v>90.41</v>
      </c>
      <c r="T170">
        <v>90.41</v>
      </c>
      <c r="U170">
        <v>90.41</v>
      </c>
      <c r="V170">
        <v>90.41</v>
      </c>
      <c r="W170" s="6" t="s">
        <v>764</v>
      </c>
      <c r="X170" s="6" t="s">
        <v>765</v>
      </c>
      <c r="Y170" s="6" t="s">
        <v>766</v>
      </c>
      <c r="Z170" s="6" t="s">
        <v>767</v>
      </c>
      <c r="AA170" s="6" t="s">
        <v>61</v>
      </c>
      <c r="AB170" s="6" t="s">
        <v>768</v>
      </c>
    </row>
    <row r="171" spans="1:28" x14ac:dyDescent="0.25">
      <c r="A171" t="s">
        <v>756</v>
      </c>
      <c r="B171" t="s">
        <v>757</v>
      </c>
      <c r="C171">
        <v>0</v>
      </c>
      <c r="D171" t="s">
        <v>1107</v>
      </c>
      <c r="E171" t="s">
        <v>806</v>
      </c>
      <c r="F171" t="s">
        <v>1108</v>
      </c>
      <c r="G171" t="s">
        <v>760</v>
      </c>
      <c r="H171" t="s">
        <v>761</v>
      </c>
      <c r="I171" t="s">
        <v>762</v>
      </c>
      <c r="J171" t="s">
        <v>763</v>
      </c>
      <c r="K171">
        <v>90.41</v>
      </c>
      <c r="L171">
        <v>90.41</v>
      </c>
      <c r="M171">
        <v>90.41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 s="6" t="s">
        <v>764</v>
      </c>
      <c r="X171" s="6" t="s">
        <v>765</v>
      </c>
      <c r="Y171" s="6" t="s">
        <v>766</v>
      </c>
      <c r="Z171" s="6" t="s">
        <v>767</v>
      </c>
      <c r="AA171" s="6" t="s">
        <v>61</v>
      </c>
      <c r="AB171" s="6" t="s">
        <v>768</v>
      </c>
    </row>
    <row r="172" spans="1:28" x14ac:dyDescent="0.25">
      <c r="A172" t="s">
        <v>756</v>
      </c>
      <c r="B172" t="s">
        <v>757</v>
      </c>
      <c r="C172">
        <v>0</v>
      </c>
      <c r="D172" t="s">
        <v>1109</v>
      </c>
      <c r="E172" t="s">
        <v>837</v>
      </c>
      <c r="F172" t="s">
        <v>1110</v>
      </c>
      <c r="G172" t="s">
        <v>760</v>
      </c>
      <c r="H172" t="s">
        <v>761</v>
      </c>
      <c r="I172" t="s">
        <v>762</v>
      </c>
      <c r="J172" t="s">
        <v>763</v>
      </c>
      <c r="K172">
        <v>50.5</v>
      </c>
      <c r="L172">
        <v>50.5</v>
      </c>
      <c r="M172">
        <v>50.5</v>
      </c>
      <c r="N172">
        <v>50.5</v>
      </c>
      <c r="O172">
        <v>50.5</v>
      </c>
      <c r="P172">
        <v>50.5</v>
      </c>
      <c r="Q172">
        <v>50.5</v>
      </c>
      <c r="R172">
        <v>50.5</v>
      </c>
      <c r="S172">
        <v>50.5</v>
      </c>
      <c r="T172">
        <v>50.5</v>
      </c>
      <c r="U172">
        <v>50.5</v>
      </c>
      <c r="V172">
        <v>50.5</v>
      </c>
      <c r="W172" s="6" t="s">
        <v>764</v>
      </c>
      <c r="X172" s="6" t="s">
        <v>765</v>
      </c>
      <c r="Y172" s="6" t="s">
        <v>766</v>
      </c>
      <c r="Z172" s="6" t="s">
        <v>767</v>
      </c>
      <c r="AA172" s="6" t="s">
        <v>61</v>
      </c>
      <c r="AB172" s="6" t="s">
        <v>768</v>
      </c>
    </row>
    <row r="173" spans="1:28" x14ac:dyDescent="0.25">
      <c r="A173" t="s">
        <v>756</v>
      </c>
      <c r="B173" t="s">
        <v>757</v>
      </c>
      <c r="C173">
        <v>0</v>
      </c>
      <c r="D173" t="s">
        <v>1111</v>
      </c>
      <c r="E173" t="s">
        <v>837</v>
      </c>
      <c r="F173" t="s">
        <v>1112</v>
      </c>
      <c r="G173" t="s">
        <v>760</v>
      </c>
      <c r="H173" t="s">
        <v>761</v>
      </c>
      <c r="I173" t="s">
        <v>762</v>
      </c>
      <c r="J173" t="s">
        <v>763</v>
      </c>
      <c r="K173">
        <v>50.5</v>
      </c>
      <c r="L173">
        <v>50.5</v>
      </c>
      <c r="M173">
        <v>50.5</v>
      </c>
      <c r="N173">
        <v>50.5</v>
      </c>
      <c r="O173">
        <v>50.5</v>
      </c>
      <c r="P173">
        <v>50.5</v>
      </c>
      <c r="Q173">
        <v>50.5</v>
      </c>
      <c r="R173">
        <v>50.5</v>
      </c>
      <c r="S173">
        <v>50.5</v>
      </c>
      <c r="T173">
        <v>50.5</v>
      </c>
      <c r="U173">
        <v>50.5</v>
      </c>
      <c r="V173">
        <v>50.5</v>
      </c>
      <c r="W173" s="6" t="s">
        <v>764</v>
      </c>
      <c r="X173" s="6" t="s">
        <v>765</v>
      </c>
      <c r="Y173" s="6" t="s">
        <v>766</v>
      </c>
      <c r="Z173" s="6" t="s">
        <v>767</v>
      </c>
      <c r="AA173" s="6" t="s">
        <v>61</v>
      </c>
      <c r="AB173" s="6" t="s">
        <v>768</v>
      </c>
    </row>
    <row r="174" spans="1:28" x14ac:dyDescent="0.25">
      <c r="A174" t="s">
        <v>756</v>
      </c>
      <c r="B174" t="s">
        <v>757</v>
      </c>
      <c r="C174">
        <v>0</v>
      </c>
      <c r="D174" t="s">
        <v>1113</v>
      </c>
      <c r="E174" t="s">
        <v>837</v>
      </c>
      <c r="F174" t="s">
        <v>1114</v>
      </c>
      <c r="G174" t="s">
        <v>760</v>
      </c>
      <c r="H174" t="s">
        <v>761</v>
      </c>
      <c r="I174" t="s">
        <v>762</v>
      </c>
      <c r="J174" t="s">
        <v>763</v>
      </c>
      <c r="K174">
        <v>50.5</v>
      </c>
      <c r="L174">
        <v>50.5</v>
      </c>
      <c r="M174">
        <v>50.5</v>
      </c>
      <c r="N174">
        <v>50.5</v>
      </c>
      <c r="O174">
        <v>50.5</v>
      </c>
      <c r="P174">
        <v>50.5</v>
      </c>
      <c r="Q174">
        <v>50.5</v>
      </c>
      <c r="R174">
        <v>50.5</v>
      </c>
      <c r="S174">
        <v>50.5</v>
      </c>
      <c r="T174">
        <v>50.5</v>
      </c>
      <c r="U174">
        <v>50.5</v>
      </c>
      <c r="V174">
        <v>50.5</v>
      </c>
      <c r="W174" s="6" t="s">
        <v>764</v>
      </c>
      <c r="X174" s="6" t="s">
        <v>765</v>
      </c>
      <c r="Y174" s="6" t="s">
        <v>766</v>
      </c>
      <c r="Z174" s="6" t="s">
        <v>767</v>
      </c>
      <c r="AA174" s="6" t="s">
        <v>61</v>
      </c>
      <c r="AB174" s="6" t="s">
        <v>768</v>
      </c>
    </row>
    <row r="175" spans="1:28" x14ac:dyDescent="0.25">
      <c r="A175" t="s">
        <v>756</v>
      </c>
      <c r="B175" t="s">
        <v>757</v>
      </c>
      <c r="C175">
        <v>0</v>
      </c>
      <c r="D175" t="s">
        <v>1115</v>
      </c>
      <c r="E175" t="s">
        <v>837</v>
      </c>
      <c r="F175" t="s">
        <v>1116</v>
      </c>
      <c r="G175" t="s">
        <v>760</v>
      </c>
      <c r="H175" t="s">
        <v>761</v>
      </c>
      <c r="I175" t="s">
        <v>762</v>
      </c>
      <c r="J175" t="s">
        <v>763</v>
      </c>
      <c r="K175">
        <v>50.5</v>
      </c>
      <c r="L175">
        <v>50.5</v>
      </c>
      <c r="M175">
        <v>50.5</v>
      </c>
      <c r="N175">
        <v>50.5</v>
      </c>
      <c r="O175">
        <v>50.5</v>
      </c>
      <c r="P175">
        <v>50.5</v>
      </c>
      <c r="Q175">
        <v>50.5</v>
      </c>
      <c r="R175">
        <v>50.5</v>
      </c>
      <c r="S175">
        <v>50.5</v>
      </c>
      <c r="T175">
        <v>50.5</v>
      </c>
      <c r="U175">
        <v>50.5</v>
      </c>
      <c r="V175">
        <v>50.5</v>
      </c>
      <c r="W175" s="6" t="s">
        <v>764</v>
      </c>
      <c r="X175" s="6" t="s">
        <v>765</v>
      </c>
      <c r="Y175" s="6" t="s">
        <v>766</v>
      </c>
      <c r="Z175" s="6" t="s">
        <v>767</v>
      </c>
      <c r="AA175" s="6" t="s">
        <v>61</v>
      </c>
      <c r="AB175" s="6" t="s">
        <v>768</v>
      </c>
    </row>
    <row r="176" spans="1:28" x14ac:dyDescent="0.25">
      <c r="A176" t="s">
        <v>756</v>
      </c>
      <c r="B176" t="s">
        <v>757</v>
      </c>
      <c r="C176">
        <v>0</v>
      </c>
      <c r="D176" t="s">
        <v>1117</v>
      </c>
      <c r="E176" t="s">
        <v>806</v>
      </c>
      <c r="F176" t="s">
        <v>1118</v>
      </c>
      <c r="G176" t="s">
        <v>760</v>
      </c>
      <c r="H176" t="s">
        <v>761</v>
      </c>
      <c r="I176" t="s">
        <v>762</v>
      </c>
      <c r="J176" t="s">
        <v>763</v>
      </c>
      <c r="K176">
        <v>90.41</v>
      </c>
      <c r="L176">
        <v>90.41</v>
      </c>
      <c r="M176">
        <v>90.41</v>
      </c>
      <c r="N176">
        <v>90.41</v>
      </c>
      <c r="O176">
        <v>90.41</v>
      </c>
      <c r="P176">
        <v>90.41</v>
      </c>
      <c r="Q176">
        <v>90.41</v>
      </c>
      <c r="R176">
        <v>90.41</v>
      </c>
      <c r="S176">
        <v>90.41</v>
      </c>
      <c r="T176">
        <v>90.41</v>
      </c>
      <c r="U176">
        <v>90.41</v>
      </c>
      <c r="V176">
        <v>90.41</v>
      </c>
      <c r="W176" s="6" t="s">
        <v>764</v>
      </c>
      <c r="X176" s="6" t="s">
        <v>765</v>
      </c>
      <c r="Y176" s="6" t="s">
        <v>766</v>
      </c>
      <c r="Z176" s="6" t="s">
        <v>767</v>
      </c>
      <c r="AA176" s="6" t="s">
        <v>61</v>
      </c>
      <c r="AB176" s="6" t="s">
        <v>768</v>
      </c>
    </row>
    <row r="177" spans="1:28" x14ac:dyDescent="0.25">
      <c r="A177" t="s">
        <v>756</v>
      </c>
      <c r="B177" t="s">
        <v>757</v>
      </c>
      <c r="C177">
        <v>0</v>
      </c>
      <c r="D177" t="s">
        <v>1119</v>
      </c>
      <c r="E177" t="s">
        <v>806</v>
      </c>
      <c r="F177" t="s">
        <v>1120</v>
      </c>
      <c r="G177" t="s">
        <v>760</v>
      </c>
      <c r="H177" t="s">
        <v>761</v>
      </c>
      <c r="I177" t="s">
        <v>762</v>
      </c>
      <c r="J177" t="s">
        <v>763</v>
      </c>
      <c r="K177">
        <v>90.41</v>
      </c>
      <c r="L177">
        <v>90.41</v>
      </c>
      <c r="M177">
        <v>90.41</v>
      </c>
      <c r="N177">
        <v>90.41</v>
      </c>
      <c r="O177">
        <v>90.41</v>
      </c>
      <c r="P177">
        <v>90.41</v>
      </c>
      <c r="Q177">
        <v>90.41</v>
      </c>
      <c r="R177">
        <v>90.41</v>
      </c>
      <c r="S177">
        <v>90.41</v>
      </c>
      <c r="T177">
        <v>90.41</v>
      </c>
      <c r="U177">
        <v>90.41</v>
      </c>
      <c r="V177">
        <v>90.41</v>
      </c>
      <c r="W177" s="6" t="s">
        <v>764</v>
      </c>
      <c r="X177" s="6" t="s">
        <v>765</v>
      </c>
      <c r="Y177" s="6" t="s">
        <v>766</v>
      </c>
      <c r="Z177" s="6" t="s">
        <v>767</v>
      </c>
      <c r="AA177" s="6" t="s">
        <v>61</v>
      </c>
      <c r="AB177" s="6" t="s">
        <v>768</v>
      </c>
    </row>
    <row r="178" spans="1:28" x14ac:dyDescent="0.25">
      <c r="A178" t="s">
        <v>756</v>
      </c>
      <c r="B178" t="s">
        <v>757</v>
      </c>
      <c r="C178">
        <v>0</v>
      </c>
      <c r="D178" t="s">
        <v>1121</v>
      </c>
      <c r="E178" t="s">
        <v>806</v>
      </c>
      <c r="F178" t="s">
        <v>1122</v>
      </c>
      <c r="G178" t="s">
        <v>760</v>
      </c>
      <c r="H178" t="s">
        <v>761</v>
      </c>
      <c r="I178" t="s">
        <v>762</v>
      </c>
      <c r="J178" t="s">
        <v>763</v>
      </c>
      <c r="K178">
        <v>90.41</v>
      </c>
      <c r="L178">
        <v>90.41</v>
      </c>
      <c r="M178">
        <v>90.41</v>
      </c>
      <c r="N178">
        <v>90.41</v>
      </c>
      <c r="O178">
        <v>90.41</v>
      </c>
      <c r="P178">
        <v>90.41</v>
      </c>
      <c r="Q178">
        <v>90.41</v>
      </c>
      <c r="R178">
        <v>90.41</v>
      </c>
      <c r="S178">
        <v>90.41</v>
      </c>
      <c r="T178">
        <v>90.41</v>
      </c>
      <c r="U178">
        <v>90.41</v>
      </c>
      <c r="V178">
        <v>90.41</v>
      </c>
      <c r="W178" s="6" t="s">
        <v>764</v>
      </c>
      <c r="X178" s="6" t="s">
        <v>765</v>
      </c>
      <c r="Y178" s="6" t="s">
        <v>766</v>
      </c>
      <c r="Z178" s="6" t="s">
        <v>767</v>
      </c>
      <c r="AA178" s="6" t="s">
        <v>61</v>
      </c>
      <c r="AB178" s="6" t="s">
        <v>768</v>
      </c>
    </row>
    <row r="179" spans="1:28" x14ac:dyDescent="0.25">
      <c r="A179" t="s">
        <v>756</v>
      </c>
      <c r="B179" t="s">
        <v>757</v>
      </c>
      <c r="C179">
        <v>0</v>
      </c>
      <c r="D179" t="s">
        <v>1123</v>
      </c>
      <c r="E179" t="s">
        <v>806</v>
      </c>
      <c r="F179" t="s">
        <v>1124</v>
      </c>
      <c r="G179" t="s">
        <v>760</v>
      </c>
      <c r="H179" t="s">
        <v>761</v>
      </c>
      <c r="I179" t="s">
        <v>762</v>
      </c>
      <c r="J179" t="s">
        <v>763</v>
      </c>
      <c r="K179">
        <v>90.41</v>
      </c>
      <c r="L179">
        <v>90.41</v>
      </c>
      <c r="M179">
        <v>90.41</v>
      </c>
      <c r="N179">
        <v>90.41</v>
      </c>
      <c r="O179">
        <v>90.41</v>
      </c>
      <c r="P179">
        <v>90.41</v>
      </c>
      <c r="Q179">
        <v>90.41</v>
      </c>
      <c r="R179">
        <v>90.41</v>
      </c>
      <c r="S179">
        <v>90.41</v>
      </c>
      <c r="T179">
        <v>90.41</v>
      </c>
      <c r="U179">
        <v>90.41</v>
      </c>
      <c r="V179">
        <v>90.41</v>
      </c>
      <c r="W179" s="6" t="s">
        <v>764</v>
      </c>
      <c r="X179" s="6" t="s">
        <v>765</v>
      </c>
      <c r="Y179" s="6" t="s">
        <v>766</v>
      </c>
      <c r="Z179" s="6" t="s">
        <v>767</v>
      </c>
      <c r="AA179" s="6" t="s">
        <v>61</v>
      </c>
      <c r="AB179" s="6" t="s">
        <v>768</v>
      </c>
    </row>
    <row r="180" spans="1:28" x14ac:dyDescent="0.25">
      <c r="A180" t="s">
        <v>756</v>
      </c>
      <c r="B180" t="s">
        <v>757</v>
      </c>
      <c r="C180">
        <v>0</v>
      </c>
      <c r="D180" t="s">
        <v>1125</v>
      </c>
      <c r="E180" t="s">
        <v>837</v>
      </c>
      <c r="F180" t="s">
        <v>1126</v>
      </c>
      <c r="G180" t="s">
        <v>760</v>
      </c>
      <c r="H180" t="s">
        <v>761</v>
      </c>
      <c r="I180" t="s">
        <v>762</v>
      </c>
      <c r="J180" t="s">
        <v>763</v>
      </c>
      <c r="K180">
        <v>50.5</v>
      </c>
      <c r="L180">
        <v>50.5</v>
      </c>
      <c r="M180">
        <v>50.5</v>
      </c>
      <c r="N180">
        <v>50.5</v>
      </c>
      <c r="O180">
        <v>50.5</v>
      </c>
      <c r="P180">
        <v>50.5</v>
      </c>
      <c r="Q180">
        <v>50.5</v>
      </c>
      <c r="R180">
        <v>50.5</v>
      </c>
      <c r="S180">
        <v>50.5</v>
      </c>
      <c r="T180">
        <v>50.5</v>
      </c>
      <c r="U180">
        <v>50.5</v>
      </c>
      <c r="V180">
        <v>50.5</v>
      </c>
      <c r="W180" s="6" t="s">
        <v>764</v>
      </c>
      <c r="X180" s="6" t="s">
        <v>765</v>
      </c>
      <c r="Y180" s="6" t="s">
        <v>766</v>
      </c>
      <c r="Z180" s="6" t="s">
        <v>767</v>
      </c>
      <c r="AA180" s="6" t="s">
        <v>61</v>
      </c>
      <c r="AB180" s="6" t="s">
        <v>768</v>
      </c>
    </row>
    <row r="181" spans="1:28" x14ac:dyDescent="0.25">
      <c r="A181" t="s">
        <v>756</v>
      </c>
      <c r="B181" t="s">
        <v>757</v>
      </c>
      <c r="C181">
        <v>0</v>
      </c>
      <c r="D181" t="s">
        <v>1127</v>
      </c>
      <c r="E181" t="s">
        <v>837</v>
      </c>
      <c r="F181" t="s">
        <v>1128</v>
      </c>
      <c r="G181" t="s">
        <v>760</v>
      </c>
      <c r="H181" t="s">
        <v>761</v>
      </c>
      <c r="I181" t="s">
        <v>762</v>
      </c>
      <c r="J181" t="s">
        <v>763</v>
      </c>
      <c r="K181">
        <v>50.5</v>
      </c>
      <c r="L181">
        <v>50.5</v>
      </c>
      <c r="M181">
        <v>50.5</v>
      </c>
      <c r="N181">
        <v>50.5</v>
      </c>
      <c r="O181">
        <v>50.5</v>
      </c>
      <c r="P181">
        <v>50.5</v>
      </c>
      <c r="Q181">
        <v>50.5</v>
      </c>
      <c r="R181">
        <v>50.5</v>
      </c>
      <c r="S181">
        <v>50.5</v>
      </c>
      <c r="T181">
        <v>50.5</v>
      </c>
      <c r="U181">
        <v>50.5</v>
      </c>
      <c r="V181">
        <v>50.5</v>
      </c>
      <c r="W181" s="6" t="s">
        <v>764</v>
      </c>
      <c r="X181" s="6" t="s">
        <v>765</v>
      </c>
      <c r="Y181" s="6" t="s">
        <v>766</v>
      </c>
      <c r="Z181" s="6" t="s">
        <v>767</v>
      </c>
      <c r="AA181" s="6" t="s">
        <v>61</v>
      </c>
      <c r="AB181" s="6" t="s">
        <v>768</v>
      </c>
    </row>
    <row r="182" spans="1:28" x14ac:dyDescent="0.25">
      <c r="A182" t="s">
        <v>756</v>
      </c>
      <c r="B182" t="s">
        <v>757</v>
      </c>
      <c r="C182">
        <v>0</v>
      </c>
      <c r="D182" t="s">
        <v>1129</v>
      </c>
      <c r="E182" t="s">
        <v>837</v>
      </c>
      <c r="F182" t="s">
        <v>1130</v>
      </c>
      <c r="G182" t="s">
        <v>760</v>
      </c>
      <c r="H182" t="s">
        <v>761</v>
      </c>
      <c r="I182" t="s">
        <v>762</v>
      </c>
      <c r="J182" t="s">
        <v>763</v>
      </c>
      <c r="K182">
        <v>50.5</v>
      </c>
      <c r="L182">
        <v>50.5</v>
      </c>
      <c r="M182">
        <v>50.5</v>
      </c>
      <c r="N182">
        <v>50.5</v>
      </c>
      <c r="O182">
        <v>50.5</v>
      </c>
      <c r="P182">
        <v>50.5</v>
      </c>
      <c r="Q182">
        <v>50.5</v>
      </c>
      <c r="R182">
        <v>50.5</v>
      </c>
      <c r="S182">
        <v>50.5</v>
      </c>
      <c r="T182">
        <v>50.5</v>
      </c>
      <c r="U182">
        <v>50.5</v>
      </c>
      <c r="V182">
        <v>50.5</v>
      </c>
      <c r="W182" s="6" t="s">
        <v>764</v>
      </c>
      <c r="X182" s="6" t="s">
        <v>765</v>
      </c>
      <c r="Y182" s="6" t="s">
        <v>766</v>
      </c>
      <c r="Z182" s="6" t="s">
        <v>767</v>
      </c>
      <c r="AA182" s="6" t="s">
        <v>61</v>
      </c>
      <c r="AB182" s="6" t="s">
        <v>768</v>
      </c>
    </row>
    <row r="183" spans="1:28" x14ac:dyDescent="0.25">
      <c r="A183" t="s">
        <v>756</v>
      </c>
      <c r="B183" t="s">
        <v>757</v>
      </c>
      <c r="C183">
        <v>0</v>
      </c>
      <c r="D183" t="s">
        <v>1131</v>
      </c>
      <c r="E183" t="s">
        <v>837</v>
      </c>
      <c r="F183" t="s">
        <v>1132</v>
      </c>
      <c r="G183" t="s">
        <v>760</v>
      </c>
      <c r="H183" t="s">
        <v>761</v>
      </c>
      <c r="I183" t="s">
        <v>762</v>
      </c>
      <c r="J183" t="s">
        <v>763</v>
      </c>
      <c r="K183">
        <v>50.5</v>
      </c>
      <c r="L183">
        <v>50.5</v>
      </c>
      <c r="M183">
        <v>50.5</v>
      </c>
      <c r="N183">
        <v>50.5</v>
      </c>
      <c r="O183">
        <v>50.5</v>
      </c>
      <c r="P183">
        <v>50.5</v>
      </c>
      <c r="Q183">
        <v>50.5</v>
      </c>
      <c r="R183">
        <v>50.5</v>
      </c>
      <c r="S183">
        <v>50.5</v>
      </c>
      <c r="T183">
        <v>50.5</v>
      </c>
      <c r="U183">
        <v>50.5</v>
      </c>
      <c r="V183">
        <v>50.5</v>
      </c>
      <c r="W183" s="6" t="s">
        <v>764</v>
      </c>
      <c r="X183" s="6" t="s">
        <v>765</v>
      </c>
      <c r="Y183" s="6" t="s">
        <v>766</v>
      </c>
      <c r="Z183" s="6" t="s">
        <v>767</v>
      </c>
      <c r="AA183" s="6" t="s">
        <v>61</v>
      </c>
      <c r="AB183" s="6" t="s">
        <v>768</v>
      </c>
    </row>
    <row r="184" spans="1:28" x14ac:dyDescent="0.25">
      <c r="A184" t="s">
        <v>756</v>
      </c>
      <c r="B184" t="s">
        <v>757</v>
      </c>
      <c r="C184">
        <v>0</v>
      </c>
      <c r="D184" t="s">
        <v>1133</v>
      </c>
      <c r="E184" t="s">
        <v>837</v>
      </c>
      <c r="F184" t="s">
        <v>1134</v>
      </c>
      <c r="G184" t="s">
        <v>760</v>
      </c>
      <c r="H184" t="s">
        <v>761</v>
      </c>
      <c r="I184" t="s">
        <v>762</v>
      </c>
      <c r="J184" t="s">
        <v>763</v>
      </c>
      <c r="K184">
        <v>50.5</v>
      </c>
      <c r="L184">
        <v>50.5</v>
      </c>
      <c r="M184">
        <v>50.5</v>
      </c>
      <c r="N184">
        <v>50.5</v>
      </c>
      <c r="O184">
        <v>50.5</v>
      </c>
      <c r="P184">
        <v>50.5</v>
      </c>
      <c r="Q184">
        <v>50.5</v>
      </c>
      <c r="R184">
        <v>50.5</v>
      </c>
      <c r="S184">
        <v>50.5</v>
      </c>
      <c r="T184">
        <v>50.5</v>
      </c>
      <c r="U184">
        <v>50.5</v>
      </c>
      <c r="V184">
        <v>50.5</v>
      </c>
      <c r="W184" s="6" t="s">
        <v>764</v>
      </c>
      <c r="X184" s="6" t="s">
        <v>765</v>
      </c>
      <c r="Y184" s="6" t="s">
        <v>766</v>
      </c>
      <c r="Z184" s="6" t="s">
        <v>767</v>
      </c>
      <c r="AA184" s="6" t="s">
        <v>61</v>
      </c>
      <c r="AB184" s="6" t="s">
        <v>768</v>
      </c>
    </row>
    <row r="185" spans="1:28" x14ac:dyDescent="0.25">
      <c r="A185" t="s">
        <v>756</v>
      </c>
      <c r="B185" t="s">
        <v>757</v>
      </c>
      <c r="C185">
        <v>0</v>
      </c>
      <c r="D185" t="s">
        <v>1135</v>
      </c>
      <c r="E185" t="s">
        <v>837</v>
      </c>
      <c r="F185" t="s">
        <v>1136</v>
      </c>
      <c r="G185" t="s">
        <v>760</v>
      </c>
      <c r="H185" t="s">
        <v>761</v>
      </c>
      <c r="I185" t="s">
        <v>762</v>
      </c>
      <c r="J185" t="s">
        <v>763</v>
      </c>
      <c r="K185">
        <v>50.5</v>
      </c>
      <c r="L185">
        <v>50.5</v>
      </c>
      <c r="M185">
        <v>50.5</v>
      </c>
      <c r="N185">
        <v>50.5</v>
      </c>
      <c r="O185">
        <v>50.5</v>
      </c>
      <c r="P185">
        <v>50.5</v>
      </c>
      <c r="Q185">
        <v>50.5</v>
      </c>
      <c r="R185">
        <v>50.5</v>
      </c>
      <c r="S185">
        <v>50.5</v>
      </c>
      <c r="T185">
        <v>50.5</v>
      </c>
      <c r="U185">
        <v>50.5</v>
      </c>
      <c r="V185">
        <v>50.5</v>
      </c>
      <c r="W185" s="6" t="s">
        <v>764</v>
      </c>
      <c r="X185" s="6" t="s">
        <v>765</v>
      </c>
      <c r="Y185" s="6" t="s">
        <v>766</v>
      </c>
      <c r="Z185" s="6" t="s">
        <v>767</v>
      </c>
      <c r="AA185" s="6" t="s">
        <v>61</v>
      </c>
      <c r="AB185" s="6" t="s">
        <v>768</v>
      </c>
    </row>
    <row r="186" spans="1:28" x14ac:dyDescent="0.25">
      <c r="A186" t="s">
        <v>756</v>
      </c>
      <c r="B186" t="s">
        <v>757</v>
      </c>
      <c r="C186">
        <v>0</v>
      </c>
      <c r="D186" t="s">
        <v>1137</v>
      </c>
      <c r="E186" t="s">
        <v>837</v>
      </c>
      <c r="F186" t="s">
        <v>1138</v>
      </c>
      <c r="G186" t="s">
        <v>760</v>
      </c>
      <c r="H186" t="s">
        <v>761</v>
      </c>
      <c r="I186" t="s">
        <v>762</v>
      </c>
      <c r="J186" t="s">
        <v>763</v>
      </c>
      <c r="K186">
        <v>50.5</v>
      </c>
      <c r="L186">
        <v>50.5</v>
      </c>
      <c r="M186">
        <v>50.5</v>
      </c>
      <c r="N186">
        <v>50.5</v>
      </c>
      <c r="O186">
        <v>50.5</v>
      </c>
      <c r="P186">
        <v>50.5</v>
      </c>
      <c r="Q186">
        <v>50.5</v>
      </c>
      <c r="R186">
        <v>50.5</v>
      </c>
      <c r="S186">
        <v>50.5</v>
      </c>
      <c r="T186">
        <v>50.5</v>
      </c>
      <c r="U186">
        <v>50.5</v>
      </c>
      <c r="V186">
        <v>50.5</v>
      </c>
      <c r="W186" s="6" t="s">
        <v>764</v>
      </c>
      <c r="X186" s="6" t="s">
        <v>765</v>
      </c>
      <c r="Y186" s="6" t="s">
        <v>766</v>
      </c>
      <c r="Z186" s="6" t="s">
        <v>767</v>
      </c>
      <c r="AA186" s="6" t="s">
        <v>61</v>
      </c>
      <c r="AB186" s="6" t="s">
        <v>768</v>
      </c>
    </row>
    <row r="187" spans="1:28" x14ac:dyDescent="0.25">
      <c r="A187" t="s">
        <v>756</v>
      </c>
      <c r="B187" t="s">
        <v>757</v>
      </c>
      <c r="C187">
        <v>0</v>
      </c>
      <c r="D187" t="s">
        <v>1139</v>
      </c>
      <c r="E187" t="s">
        <v>837</v>
      </c>
      <c r="F187" t="s">
        <v>1140</v>
      </c>
      <c r="G187" t="s">
        <v>760</v>
      </c>
      <c r="H187" t="s">
        <v>761</v>
      </c>
      <c r="I187" t="s">
        <v>762</v>
      </c>
      <c r="J187" t="s">
        <v>763</v>
      </c>
      <c r="K187">
        <v>50.5</v>
      </c>
      <c r="L187">
        <v>50.5</v>
      </c>
      <c r="M187">
        <v>50.5</v>
      </c>
      <c r="N187">
        <v>50.5</v>
      </c>
      <c r="O187">
        <v>50.5</v>
      </c>
      <c r="P187">
        <v>50.5</v>
      </c>
      <c r="Q187">
        <v>50.5</v>
      </c>
      <c r="R187">
        <v>50.5</v>
      </c>
      <c r="S187">
        <v>50.5</v>
      </c>
      <c r="T187">
        <v>50.5</v>
      </c>
      <c r="U187">
        <v>50.5</v>
      </c>
      <c r="V187">
        <v>50.5</v>
      </c>
      <c r="W187" s="6" t="s">
        <v>764</v>
      </c>
      <c r="X187" s="6" t="s">
        <v>765</v>
      </c>
      <c r="Y187" s="6" t="s">
        <v>766</v>
      </c>
      <c r="Z187" s="6" t="s">
        <v>767</v>
      </c>
      <c r="AA187" s="6" t="s">
        <v>61</v>
      </c>
      <c r="AB187" s="6" t="s">
        <v>768</v>
      </c>
    </row>
    <row r="188" spans="1:28" x14ac:dyDescent="0.25">
      <c r="A188" t="s">
        <v>756</v>
      </c>
      <c r="B188" t="s">
        <v>757</v>
      </c>
      <c r="C188">
        <v>0</v>
      </c>
      <c r="D188" t="s">
        <v>1141</v>
      </c>
      <c r="E188" t="s">
        <v>837</v>
      </c>
      <c r="F188" t="s">
        <v>1142</v>
      </c>
      <c r="G188" t="s">
        <v>760</v>
      </c>
      <c r="H188" t="s">
        <v>761</v>
      </c>
      <c r="I188" t="s">
        <v>762</v>
      </c>
      <c r="J188" t="s">
        <v>763</v>
      </c>
      <c r="K188">
        <v>50.5</v>
      </c>
      <c r="L188">
        <v>50.5</v>
      </c>
      <c r="M188">
        <v>50.5</v>
      </c>
      <c r="N188">
        <v>50.5</v>
      </c>
      <c r="O188">
        <v>50.5</v>
      </c>
      <c r="P188">
        <v>50.5</v>
      </c>
      <c r="Q188">
        <v>50.5</v>
      </c>
      <c r="R188">
        <v>50.5</v>
      </c>
      <c r="S188">
        <v>50.5</v>
      </c>
      <c r="T188">
        <v>50.5</v>
      </c>
      <c r="U188">
        <v>50.5</v>
      </c>
      <c r="V188">
        <v>50.5</v>
      </c>
      <c r="W188" s="6" t="s">
        <v>764</v>
      </c>
      <c r="X188" s="6" t="s">
        <v>765</v>
      </c>
      <c r="Y188" s="6" t="s">
        <v>766</v>
      </c>
      <c r="Z188" s="6" t="s">
        <v>767</v>
      </c>
      <c r="AA188" s="6" t="s">
        <v>61</v>
      </c>
      <c r="AB188" s="6" t="s">
        <v>768</v>
      </c>
    </row>
    <row r="189" spans="1:28" x14ac:dyDescent="0.25">
      <c r="A189" t="s">
        <v>756</v>
      </c>
      <c r="B189" t="s">
        <v>757</v>
      </c>
      <c r="C189">
        <v>0</v>
      </c>
      <c r="D189" t="s">
        <v>1143</v>
      </c>
      <c r="E189" t="s">
        <v>837</v>
      </c>
      <c r="F189" t="s">
        <v>1144</v>
      </c>
      <c r="G189" t="s">
        <v>760</v>
      </c>
      <c r="H189" t="s">
        <v>761</v>
      </c>
      <c r="I189" t="s">
        <v>762</v>
      </c>
      <c r="J189" t="s">
        <v>763</v>
      </c>
      <c r="K189">
        <v>50.5</v>
      </c>
      <c r="L189">
        <v>50.5</v>
      </c>
      <c r="M189">
        <v>50.5</v>
      </c>
      <c r="N189">
        <v>50.5</v>
      </c>
      <c r="O189">
        <v>50.5</v>
      </c>
      <c r="P189">
        <v>50.5</v>
      </c>
      <c r="Q189">
        <v>50.5</v>
      </c>
      <c r="R189">
        <v>50.5</v>
      </c>
      <c r="S189">
        <v>50.5</v>
      </c>
      <c r="T189">
        <v>50.5</v>
      </c>
      <c r="U189">
        <v>50.5</v>
      </c>
      <c r="V189">
        <v>50.5</v>
      </c>
      <c r="W189" s="6" t="s">
        <v>764</v>
      </c>
      <c r="X189" s="6" t="s">
        <v>765</v>
      </c>
      <c r="Y189" s="6" t="s">
        <v>766</v>
      </c>
      <c r="Z189" s="6" t="s">
        <v>767</v>
      </c>
      <c r="AA189" s="6" t="s">
        <v>61</v>
      </c>
      <c r="AB189" s="6" t="s">
        <v>768</v>
      </c>
    </row>
    <row r="190" spans="1:28" x14ac:dyDescent="0.25">
      <c r="A190" t="s">
        <v>756</v>
      </c>
      <c r="B190" t="s">
        <v>757</v>
      </c>
      <c r="C190">
        <v>0</v>
      </c>
      <c r="D190" t="s">
        <v>1145</v>
      </c>
      <c r="E190" t="s">
        <v>837</v>
      </c>
      <c r="F190" t="s">
        <v>1146</v>
      </c>
      <c r="G190" t="s">
        <v>760</v>
      </c>
      <c r="H190" t="s">
        <v>761</v>
      </c>
      <c r="I190" t="s">
        <v>762</v>
      </c>
      <c r="J190" t="s">
        <v>763</v>
      </c>
      <c r="K190">
        <v>50.5</v>
      </c>
      <c r="L190">
        <v>50.5</v>
      </c>
      <c r="M190">
        <v>50.5</v>
      </c>
      <c r="N190">
        <v>50.5</v>
      </c>
      <c r="O190">
        <v>50.5</v>
      </c>
      <c r="P190">
        <v>50.5</v>
      </c>
      <c r="Q190">
        <v>50.5</v>
      </c>
      <c r="R190">
        <v>50.5</v>
      </c>
      <c r="S190">
        <v>50.5</v>
      </c>
      <c r="T190">
        <v>50.5</v>
      </c>
      <c r="U190">
        <v>50.5</v>
      </c>
      <c r="V190">
        <v>50.5</v>
      </c>
      <c r="W190" s="6" t="s">
        <v>764</v>
      </c>
      <c r="X190" s="6" t="s">
        <v>765</v>
      </c>
      <c r="Y190" s="6" t="s">
        <v>766</v>
      </c>
      <c r="Z190" s="6" t="s">
        <v>767</v>
      </c>
      <c r="AA190" s="6" t="s">
        <v>61</v>
      </c>
      <c r="AB190" s="6" t="s">
        <v>768</v>
      </c>
    </row>
    <row r="191" spans="1:28" x14ac:dyDescent="0.25">
      <c r="A191" t="s">
        <v>756</v>
      </c>
      <c r="B191" t="s">
        <v>757</v>
      </c>
      <c r="C191">
        <v>0</v>
      </c>
      <c r="D191" t="s">
        <v>1147</v>
      </c>
      <c r="E191" t="s">
        <v>32</v>
      </c>
      <c r="F191" t="s">
        <v>1148</v>
      </c>
      <c r="G191" t="s">
        <v>760</v>
      </c>
      <c r="H191" t="s">
        <v>761</v>
      </c>
      <c r="I191" t="s">
        <v>762</v>
      </c>
      <c r="J191" t="s">
        <v>763</v>
      </c>
      <c r="K191">
        <v>27.72</v>
      </c>
      <c r="L191">
        <v>27.72</v>
      </c>
      <c r="M191">
        <v>27.72</v>
      </c>
      <c r="N191">
        <v>27.72</v>
      </c>
      <c r="O191">
        <v>27.72</v>
      </c>
      <c r="P191">
        <v>27.72</v>
      </c>
      <c r="Q191">
        <v>27.72</v>
      </c>
      <c r="R191">
        <v>27.72</v>
      </c>
      <c r="S191">
        <v>27.72</v>
      </c>
      <c r="T191">
        <v>27.72</v>
      </c>
      <c r="U191">
        <v>27.72</v>
      </c>
      <c r="V191">
        <v>27.72</v>
      </c>
      <c r="W191" s="6" t="s">
        <v>764</v>
      </c>
      <c r="X191" s="6" t="s">
        <v>765</v>
      </c>
      <c r="Y191" s="6" t="s">
        <v>766</v>
      </c>
      <c r="Z191" s="6" t="s">
        <v>767</v>
      </c>
      <c r="AA191" s="6" t="s">
        <v>61</v>
      </c>
      <c r="AB191" s="6" t="s">
        <v>768</v>
      </c>
    </row>
    <row r="192" spans="1:28" x14ac:dyDescent="0.25">
      <c r="A192" t="s">
        <v>756</v>
      </c>
      <c r="B192" t="s">
        <v>757</v>
      </c>
      <c r="C192">
        <v>0</v>
      </c>
      <c r="D192" t="s">
        <v>1149</v>
      </c>
      <c r="E192" t="s">
        <v>32</v>
      </c>
      <c r="F192" t="s">
        <v>1150</v>
      </c>
      <c r="G192" t="s">
        <v>760</v>
      </c>
      <c r="H192" t="s">
        <v>761</v>
      </c>
      <c r="I192" t="s">
        <v>762</v>
      </c>
      <c r="J192" t="s">
        <v>763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27.72</v>
      </c>
      <c r="U192">
        <v>27.72</v>
      </c>
      <c r="V192">
        <v>27.72</v>
      </c>
      <c r="W192" s="6" t="s">
        <v>764</v>
      </c>
      <c r="X192" s="6" t="s">
        <v>765</v>
      </c>
      <c r="Y192" s="6" t="s">
        <v>766</v>
      </c>
      <c r="Z192" s="6" t="s">
        <v>767</v>
      </c>
      <c r="AA192" s="6" t="s">
        <v>61</v>
      </c>
      <c r="AB192" s="6" t="s">
        <v>768</v>
      </c>
    </row>
    <row r="193" spans="1:28" x14ac:dyDescent="0.25">
      <c r="A193" t="s">
        <v>756</v>
      </c>
      <c r="B193" t="s">
        <v>757</v>
      </c>
      <c r="C193">
        <v>0</v>
      </c>
      <c r="D193" t="s">
        <v>1151</v>
      </c>
      <c r="E193" t="s">
        <v>32</v>
      </c>
      <c r="F193" t="s">
        <v>1152</v>
      </c>
      <c r="G193" t="s">
        <v>760</v>
      </c>
      <c r="H193" t="s">
        <v>761</v>
      </c>
      <c r="I193" t="s">
        <v>762</v>
      </c>
      <c r="J193" t="s">
        <v>763</v>
      </c>
      <c r="K193">
        <v>27.72</v>
      </c>
      <c r="L193">
        <v>27.72</v>
      </c>
      <c r="M193">
        <v>27.72</v>
      </c>
      <c r="N193">
        <v>27.72</v>
      </c>
      <c r="O193">
        <v>27.72</v>
      </c>
      <c r="P193">
        <v>27.72</v>
      </c>
      <c r="Q193">
        <v>27.72</v>
      </c>
      <c r="R193">
        <v>27.72</v>
      </c>
      <c r="S193">
        <v>27.72</v>
      </c>
      <c r="T193">
        <v>27.72</v>
      </c>
      <c r="U193">
        <v>27.72</v>
      </c>
      <c r="V193">
        <v>27.72</v>
      </c>
      <c r="W193" s="6" t="s">
        <v>764</v>
      </c>
      <c r="X193" s="6" t="s">
        <v>765</v>
      </c>
      <c r="Y193" s="6" t="s">
        <v>766</v>
      </c>
      <c r="Z193" s="6" t="s">
        <v>767</v>
      </c>
      <c r="AA193" s="6" t="s">
        <v>61</v>
      </c>
      <c r="AB193" s="6" t="s">
        <v>768</v>
      </c>
    </row>
    <row r="194" spans="1:28" x14ac:dyDescent="0.25">
      <c r="A194" t="s">
        <v>1045</v>
      </c>
      <c r="B194" t="s">
        <v>757</v>
      </c>
      <c r="C194">
        <v>0</v>
      </c>
      <c r="D194" t="s">
        <v>1153</v>
      </c>
      <c r="E194" t="s">
        <v>32</v>
      </c>
      <c r="F194" t="s">
        <v>1154</v>
      </c>
      <c r="G194" t="s">
        <v>760</v>
      </c>
      <c r="H194" t="s">
        <v>761</v>
      </c>
      <c r="I194" t="s">
        <v>762</v>
      </c>
      <c r="J194" t="s">
        <v>763</v>
      </c>
      <c r="K194">
        <v>27.72</v>
      </c>
      <c r="L194">
        <v>27.72</v>
      </c>
      <c r="M194">
        <v>27.72</v>
      </c>
      <c r="N194">
        <v>27.72</v>
      </c>
      <c r="O194">
        <v>27.72</v>
      </c>
      <c r="P194">
        <v>27.72</v>
      </c>
      <c r="Q194">
        <v>27.72</v>
      </c>
      <c r="R194">
        <v>27.72</v>
      </c>
      <c r="S194">
        <v>27.72</v>
      </c>
      <c r="T194">
        <v>27.72</v>
      </c>
      <c r="U194">
        <v>27.72</v>
      </c>
      <c r="V194">
        <v>27.72</v>
      </c>
      <c r="W194" s="6" t="s">
        <v>764</v>
      </c>
      <c r="X194" s="6" t="s">
        <v>765</v>
      </c>
      <c r="Y194" s="6" t="s">
        <v>766</v>
      </c>
      <c r="Z194" s="6" t="s">
        <v>767</v>
      </c>
      <c r="AA194" s="6" t="s">
        <v>1048</v>
      </c>
      <c r="AB194" s="6" t="s">
        <v>768</v>
      </c>
    </row>
    <row r="195" spans="1:28" x14ac:dyDescent="0.25">
      <c r="A195" t="s">
        <v>1045</v>
      </c>
      <c r="B195" t="s">
        <v>757</v>
      </c>
      <c r="C195">
        <v>0</v>
      </c>
      <c r="D195" t="s">
        <v>1155</v>
      </c>
      <c r="E195" t="s">
        <v>32</v>
      </c>
      <c r="F195" t="s">
        <v>1156</v>
      </c>
      <c r="G195" t="s">
        <v>760</v>
      </c>
      <c r="H195" t="s">
        <v>761</v>
      </c>
      <c r="I195" t="s">
        <v>762</v>
      </c>
      <c r="J195" t="s">
        <v>763</v>
      </c>
      <c r="K195">
        <v>27.72</v>
      </c>
      <c r="L195">
        <v>27.72</v>
      </c>
      <c r="M195">
        <v>27.72</v>
      </c>
      <c r="N195">
        <v>27.72</v>
      </c>
      <c r="O195">
        <v>27.72</v>
      </c>
      <c r="P195">
        <v>27.72</v>
      </c>
      <c r="Q195">
        <v>27.72</v>
      </c>
      <c r="R195">
        <v>27.72</v>
      </c>
      <c r="S195">
        <v>27.72</v>
      </c>
      <c r="T195">
        <v>27.72</v>
      </c>
      <c r="U195">
        <v>27.72</v>
      </c>
      <c r="V195">
        <v>27.72</v>
      </c>
      <c r="W195" s="6" t="s">
        <v>764</v>
      </c>
      <c r="X195" s="6" t="s">
        <v>765</v>
      </c>
      <c r="Y195" s="6" t="s">
        <v>766</v>
      </c>
      <c r="Z195" s="6" t="s">
        <v>767</v>
      </c>
      <c r="AA195" s="6" t="s">
        <v>1048</v>
      </c>
      <c r="AB195" s="6" t="s">
        <v>768</v>
      </c>
    </row>
    <row r="196" spans="1:28" x14ac:dyDescent="0.25">
      <c r="A196" t="s">
        <v>756</v>
      </c>
      <c r="B196" t="s">
        <v>757</v>
      </c>
      <c r="C196">
        <v>0</v>
      </c>
      <c r="D196" t="s">
        <v>1157</v>
      </c>
      <c r="E196" t="s">
        <v>32</v>
      </c>
      <c r="F196" t="s">
        <v>1158</v>
      </c>
      <c r="G196" t="s">
        <v>760</v>
      </c>
      <c r="H196" t="s">
        <v>761</v>
      </c>
      <c r="I196" t="s">
        <v>762</v>
      </c>
      <c r="J196" t="s">
        <v>763</v>
      </c>
      <c r="K196">
        <v>27.72</v>
      </c>
      <c r="L196">
        <v>27.72</v>
      </c>
      <c r="M196">
        <v>27.72</v>
      </c>
      <c r="N196">
        <v>27.72</v>
      </c>
      <c r="O196">
        <v>27.72</v>
      </c>
      <c r="P196">
        <v>27.72</v>
      </c>
      <c r="Q196">
        <v>27.72</v>
      </c>
      <c r="R196">
        <v>27.72</v>
      </c>
      <c r="S196">
        <v>27.72</v>
      </c>
      <c r="T196">
        <v>27.72</v>
      </c>
      <c r="U196">
        <v>27.72</v>
      </c>
      <c r="V196">
        <v>27.72</v>
      </c>
      <c r="W196" s="6" t="s">
        <v>764</v>
      </c>
      <c r="X196" s="6" t="s">
        <v>765</v>
      </c>
      <c r="Y196" s="6" t="s">
        <v>766</v>
      </c>
      <c r="Z196" s="6" t="s">
        <v>767</v>
      </c>
      <c r="AA196" s="6" t="s">
        <v>61</v>
      </c>
      <c r="AB196" s="6" t="s">
        <v>768</v>
      </c>
    </row>
    <row r="197" spans="1:28" x14ac:dyDescent="0.25">
      <c r="A197" t="s">
        <v>1045</v>
      </c>
      <c r="B197" t="s">
        <v>757</v>
      </c>
      <c r="C197">
        <v>0</v>
      </c>
      <c r="D197" t="s">
        <v>1159</v>
      </c>
      <c r="E197" t="s">
        <v>32</v>
      </c>
      <c r="F197" t="s">
        <v>1160</v>
      </c>
      <c r="G197" t="s">
        <v>760</v>
      </c>
      <c r="H197" t="s">
        <v>761</v>
      </c>
      <c r="I197" t="s">
        <v>762</v>
      </c>
      <c r="J197" t="s">
        <v>763</v>
      </c>
      <c r="K197">
        <v>27.72</v>
      </c>
      <c r="L197">
        <v>27.72</v>
      </c>
      <c r="M197">
        <v>27.72</v>
      </c>
      <c r="N197">
        <v>27.72</v>
      </c>
      <c r="O197">
        <v>27.72</v>
      </c>
      <c r="P197">
        <v>27.72</v>
      </c>
      <c r="Q197">
        <v>27.72</v>
      </c>
      <c r="R197">
        <v>27.72</v>
      </c>
      <c r="S197">
        <v>27.72</v>
      </c>
      <c r="T197">
        <v>27.72</v>
      </c>
      <c r="U197">
        <v>27.72</v>
      </c>
      <c r="V197">
        <v>27.72</v>
      </c>
      <c r="W197" s="6" t="s">
        <v>764</v>
      </c>
      <c r="X197" s="6" t="s">
        <v>765</v>
      </c>
      <c r="Y197" s="6" t="s">
        <v>766</v>
      </c>
      <c r="Z197" s="6" t="s">
        <v>767</v>
      </c>
      <c r="AA197" s="6" t="s">
        <v>1048</v>
      </c>
      <c r="AB197" s="6" t="s">
        <v>768</v>
      </c>
    </row>
    <row r="198" spans="1:28" x14ac:dyDescent="0.25">
      <c r="A198" t="s">
        <v>756</v>
      </c>
      <c r="B198" t="s">
        <v>757</v>
      </c>
      <c r="C198">
        <v>0</v>
      </c>
      <c r="D198" t="s">
        <v>1161</v>
      </c>
      <c r="E198" t="s">
        <v>32</v>
      </c>
      <c r="F198" t="s">
        <v>1162</v>
      </c>
      <c r="G198" t="s">
        <v>760</v>
      </c>
      <c r="H198" t="s">
        <v>761</v>
      </c>
      <c r="I198" t="s">
        <v>762</v>
      </c>
      <c r="J198" t="s">
        <v>763</v>
      </c>
      <c r="K198">
        <v>0</v>
      </c>
      <c r="L198">
        <v>0</v>
      </c>
      <c r="M198">
        <v>0</v>
      </c>
      <c r="N198">
        <v>0</v>
      </c>
      <c r="O198">
        <v>27.72</v>
      </c>
      <c r="P198">
        <v>27.72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 s="6" t="s">
        <v>764</v>
      </c>
      <c r="X198" s="6" t="s">
        <v>765</v>
      </c>
      <c r="Y198" s="6" t="s">
        <v>766</v>
      </c>
      <c r="Z198" s="6" t="s">
        <v>767</v>
      </c>
      <c r="AA198" s="6" t="s">
        <v>61</v>
      </c>
      <c r="AB198" s="6" t="s">
        <v>768</v>
      </c>
    </row>
    <row r="199" spans="1:28" x14ac:dyDescent="0.25">
      <c r="A199" t="s">
        <v>1045</v>
      </c>
      <c r="B199" t="s">
        <v>757</v>
      </c>
      <c r="C199">
        <v>0</v>
      </c>
      <c r="D199" t="s">
        <v>1163</v>
      </c>
      <c r="E199" t="s">
        <v>32</v>
      </c>
      <c r="F199" t="s">
        <v>1164</v>
      </c>
      <c r="G199" t="s">
        <v>760</v>
      </c>
      <c r="H199" t="s">
        <v>761</v>
      </c>
      <c r="I199" t="s">
        <v>762</v>
      </c>
      <c r="J199" t="s">
        <v>763</v>
      </c>
      <c r="K199">
        <v>27.72</v>
      </c>
      <c r="L199">
        <v>27.72</v>
      </c>
      <c r="M199">
        <v>27.72</v>
      </c>
      <c r="N199">
        <v>27.72</v>
      </c>
      <c r="O199">
        <v>27.72</v>
      </c>
      <c r="P199">
        <v>27.72</v>
      </c>
      <c r="Q199">
        <v>27.72</v>
      </c>
      <c r="R199">
        <v>27.72</v>
      </c>
      <c r="S199">
        <v>27.72</v>
      </c>
      <c r="T199">
        <v>27.72</v>
      </c>
      <c r="U199">
        <v>27.72</v>
      </c>
      <c r="V199">
        <v>27.72</v>
      </c>
      <c r="W199" s="6" t="s">
        <v>764</v>
      </c>
      <c r="X199" s="6" t="s">
        <v>765</v>
      </c>
      <c r="Y199" s="6" t="s">
        <v>766</v>
      </c>
      <c r="Z199" s="6" t="s">
        <v>767</v>
      </c>
      <c r="AA199" s="6" t="s">
        <v>1048</v>
      </c>
      <c r="AB199" s="6" t="s">
        <v>768</v>
      </c>
    </row>
    <row r="200" spans="1:28" x14ac:dyDescent="0.25">
      <c r="A200" t="s">
        <v>756</v>
      </c>
      <c r="B200" t="s">
        <v>757</v>
      </c>
      <c r="C200">
        <v>0</v>
      </c>
      <c r="D200" t="s">
        <v>1165</v>
      </c>
      <c r="E200" t="s">
        <v>32</v>
      </c>
      <c r="F200" t="s">
        <v>1166</v>
      </c>
      <c r="G200" t="s">
        <v>760</v>
      </c>
      <c r="H200" t="s">
        <v>761</v>
      </c>
      <c r="I200" t="s">
        <v>762</v>
      </c>
      <c r="J200" t="s">
        <v>763</v>
      </c>
      <c r="K200">
        <v>27.72</v>
      </c>
      <c r="L200">
        <v>27.72</v>
      </c>
      <c r="M200">
        <v>27.72</v>
      </c>
      <c r="N200">
        <v>27.72</v>
      </c>
      <c r="O200">
        <v>27.72</v>
      </c>
      <c r="P200">
        <v>27.72</v>
      </c>
      <c r="Q200">
        <v>27.72</v>
      </c>
      <c r="R200">
        <v>27.72</v>
      </c>
      <c r="S200">
        <v>27.72</v>
      </c>
      <c r="T200">
        <v>27.72</v>
      </c>
      <c r="U200">
        <v>27.72</v>
      </c>
      <c r="V200">
        <v>27.72</v>
      </c>
      <c r="W200" s="6" t="s">
        <v>764</v>
      </c>
      <c r="X200" s="6" t="s">
        <v>765</v>
      </c>
      <c r="Y200" s="6" t="s">
        <v>766</v>
      </c>
      <c r="Z200" s="6" t="s">
        <v>767</v>
      </c>
      <c r="AA200" s="6" t="s">
        <v>61</v>
      </c>
      <c r="AB200" s="6" t="s">
        <v>768</v>
      </c>
    </row>
    <row r="201" spans="1:28" x14ac:dyDescent="0.25">
      <c r="A201" t="s">
        <v>1045</v>
      </c>
      <c r="B201" t="s">
        <v>757</v>
      </c>
      <c r="C201">
        <v>0</v>
      </c>
      <c r="D201" t="s">
        <v>1167</v>
      </c>
      <c r="E201" t="s">
        <v>32</v>
      </c>
      <c r="F201" t="s">
        <v>1168</v>
      </c>
      <c r="G201" t="s">
        <v>760</v>
      </c>
      <c r="H201" t="s">
        <v>761</v>
      </c>
      <c r="I201" t="s">
        <v>762</v>
      </c>
      <c r="J201" t="s">
        <v>763</v>
      </c>
      <c r="K201">
        <v>27.72</v>
      </c>
      <c r="L201">
        <v>27.72</v>
      </c>
      <c r="M201">
        <v>27.72</v>
      </c>
      <c r="N201">
        <v>27.72</v>
      </c>
      <c r="O201">
        <v>27.72</v>
      </c>
      <c r="P201">
        <v>27.72</v>
      </c>
      <c r="Q201">
        <v>27.72</v>
      </c>
      <c r="R201">
        <v>27.72</v>
      </c>
      <c r="S201">
        <v>27.72</v>
      </c>
      <c r="T201">
        <v>27.72</v>
      </c>
      <c r="U201">
        <v>27.72</v>
      </c>
      <c r="V201">
        <v>27.72</v>
      </c>
      <c r="W201" s="6" t="s">
        <v>764</v>
      </c>
      <c r="X201" s="6" t="s">
        <v>765</v>
      </c>
      <c r="Y201" s="6" t="s">
        <v>766</v>
      </c>
      <c r="Z201" s="6" t="s">
        <v>767</v>
      </c>
      <c r="AA201" s="6" t="s">
        <v>1048</v>
      </c>
      <c r="AB201" s="6" t="s">
        <v>768</v>
      </c>
    </row>
    <row r="202" spans="1:28" x14ac:dyDescent="0.25">
      <c r="A202" t="s">
        <v>756</v>
      </c>
      <c r="B202" t="s">
        <v>757</v>
      </c>
      <c r="C202">
        <v>0</v>
      </c>
      <c r="D202" t="s">
        <v>1169</v>
      </c>
      <c r="E202" t="s">
        <v>32</v>
      </c>
      <c r="F202" t="s">
        <v>1170</v>
      </c>
      <c r="G202" t="s">
        <v>760</v>
      </c>
      <c r="H202" t="s">
        <v>761</v>
      </c>
      <c r="I202" t="s">
        <v>762</v>
      </c>
      <c r="J202" t="s">
        <v>763</v>
      </c>
      <c r="K202">
        <v>27.72</v>
      </c>
      <c r="L202">
        <v>27.72</v>
      </c>
      <c r="M202">
        <v>27.72</v>
      </c>
      <c r="N202">
        <v>27.72</v>
      </c>
      <c r="O202">
        <v>27.72</v>
      </c>
      <c r="P202">
        <v>27.72</v>
      </c>
      <c r="Q202">
        <v>27.72</v>
      </c>
      <c r="R202">
        <v>27.72</v>
      </c>
      <c r="S202">
        <v>27.72</v>
      </c>
      <c r="T202">
        <v>27.72</v>
      </c>
      <c r="U202">
        <v>27.72</v>
      </c>
      <c r="V202">
        <v>27.72</v>
      </c>
      <c r="W202" s="6" t="s">
        <v>764</v>
      </c>
      <c r="X202" s="6" t="s">
        <v>765</v>
      </c>
      <c r="Y202" s="6" t="s">
        <v>766</v>
      </c>
      <c r="Z202" s="6" t="s">
        <v>767</v>
      </c>
      <c r="AA202" s="6" t="s">
        <v>61</v>
      </c>
      <c r="AB202" s="6" t="s">
        <v>768</v>
      </c>
    </row>
    <row r="203" spans="1:28" x14ac:dyDescent="0.25">
      <c r="A203" t="s">
        <v>1045</v>
      </c>
      <c r="B203" t="s">
        <v>757</v>
      </c>
      <c r="C203">
        <v>0</v>
      </c>
      <c r="D203" t="s">
        <v>1171</v>
      </c>
      <c r="E203" t="s">
        <v>32</v>
      </c>
      <c r="F203" t="s">
        <v>1172</v>
      </c>
      <c r="G203" t="s">
        <v>760</v>
      </c>
      <c r="H203" t="s">
        <v>761</v>
      </c>
      <c r="I203" t="s">
        <v>762</v>
      </c>
      <c r="J203" t="s">
        <v>763</v>
      </c>
      <c r="K203">
        <v>27.72</v>
      </c>
      <c r="L203">
        <v>27.72</v>
      </c>
      <c r="M203">
        <v>27.72</v>
      </c>
      <c r="N203">
        <v>27.72</v>
      </c>
      <c r="O203">
        <v>27.72</v>
      </c>
      <c r="P203">
        <v>27.72</v>
      </c>
      <c r="Q203">
        <v>27.72</v>
      </c>
      <c r="R203">
        <v>27.72</v>
      </c>
      <c r="S203">
        <v>27.72</v>
      </c>
      <c r="T203">
        <v>27.72</v>
      </c>
      <c r="U203">
        <v>27.72</v>
      </c>
      <c r="V203">
        <v>27.72</v>
      </c>
      <c r="W203" s="6" t="s">
        <v>764</v>
      </c>
      <c r="X203" s="6" t="s">
        <v>765</v>
      </c>
      <c r="Y203" s="6" t="s">
        <v>766</v>
      </c>
      <c r="Z203" s="6" t="s">
        <v>767</v>
      </c>
      <c r="AA203" s="6" t="s">
        <v>1048</v>
      </c>
      <c r="AB203" s="6" t="s">
        <v>768</v>
      </c>
    </row>
    <row r="204" spans="1:28" x14ac:dyDescent="0.25">
      <c r="A204" t="s">
        <v>1045</v>
      </c>
      <c r="B204" t="s">
        <v>757</v>
      </c>
      <c r="C204">
        <v>0</v>
      </c>
      <c r="D204" t="s">
        <v>1173</v>
      </c>
      <c r="E204" t="s">
        <v>32</v>
      </c>
      <c r="F204" t="s">
        <v>1174</v>
      </c>
      <c r="G204" t="s">
        <v>760</v>
      </c>
      <c r="H204" t="s">
        <v>761</v>
      </c>
      <c r="I204" t="s">
        <v>762</v>
      </c>
      <c r="J204" t="s">
        <v>763</v>
      </c>
      <c r="K204">
        <v>27.72</v>
      </c>
      <c r="L204">
        <v>27.72</v>
      </c>
      <c r="M204">
        <v>27.72</v>
      </c>
      <c r="N204">
        <v>27.72</v>
      </c>
      <c r="O204">
        <v>27.72</v>
      </c>
      <c r="P204">
        <v>27.72</v>
      </c>
      <c r="Q204">
        <v>27.72</v>
      </c>
      <c r="R204">
        <v>27.72</v>
      </c>
      <c r="S204">
        <v>27.72</v>
      </c>
      <c r="T204">
        <v>27.72</v>
      </c>
      <c r="U204">
        <v>27.72</v>
      </c>
      <c r="V204">
        <v>27.72</v>
      </c>
      <c r="W204" s="6" t="s">
        <v>764</v>
      </c>
      <c r="X204" s="6" t="s">
        <v>765</v>
      </c>
      <c r="Y204" s="6" t="s">
        <v>766</v>
      </c>
      <c r="Z204" s="6" t="s">
        <v>767</v>
      </c>
      <c r="AA204" s="6" t="s">
        <v>1048</v>
      </c>
      <c r="AB204" s="6" t="s">
        <v>768</v>
      </c>
    </row>
    <row r="205" spans="1:28" x14ac:dyDescent="0.25">
      <c r="A205" t="s">
        <v>1045</v>
      </c>
      <c r="B205" t="s">
        <v>757</v>
      </c>
      <c r="C205">
        <v>0</v>
      </c>
      <c r="D205" t="s">
        <v>1175</v>
      </c>
      <c r="E205" t="s">
        <v>32</v>
      </c>
      <c r="F205" t="s">
        <v>1176</v>
      </c>
      <c r="G205" t="s">
        <v>760</v>
      </c>
      <c r="H205" t="s">
        <v>761</v>
      </c>
      <c r="I205" t="s">
        <v>762</v>
      </c>
      <c r="J205" t="s">
        <v>763</v>
      </c>
      <c r="K205">
        <v>27.72</v>
      </c>
      <c r="L205">
        <v>27.72</v>
      </c>
      <c r="M205">
        <v>27.72</v>
      </c>
      <c r="N205">
        <v>27.72</v>
      </c>
      <c r="O205">
        <v>27.72</v>
      </c>
      <c r="P205">
        <v>27.72</v>
      </c>
      <c r="Q205">
        <v>27.72</v>
      </c>
      <c r="R205">
        <v>27.72</v>
      </c>
      <c r="S205">
        <v>27.72</v>
      </c>
      <c r="T205">
        <v>27.72</v>
      </c>
      <c r="U205">
        <v>27.72</v>
      </c>
      <c r="V205">
        <v>27.72</v>
      </c>
      <c r="W205" s="6" t="s">
        <v>764</v>
      </c>
      <c r="X205" s="6" t="s">
        <v>765</v>
      </c>
      <c r="Y205" s="6" t="s">
        <v>766</v>
      </c>
      <c r="Z205" s="6" t="s">
        <v>767</v>
      </c>
      <c r="AA205" s="6" t="s">
        <v>1048</v>
      </c>
      <c r="AB205" s="6" t="s">
        <v>768</v>
      </c>
    </row>
    <row r="206" spans="1:28" x14ac:dyDescent="0.25">
      <c r="A206" t="s">
        <v>756</v>
      </c>
      <c r="B206" t="s">
        <v>757</v>
      </c>
      <c r="C206">
        <v>0</v>
      </c>
      <c r="D206" t="s">
        <v>1177</v>
      </c>
      <c r="E206" t="s">
        <v>32</v>
      </c>
      <c r="F206" t="s">
        <v>1178</v>
      </c>
      <c r="G206" t="s">
        <v>760</v>
      </c>
      <c r="H206" t="s">
        <v>761</v>
      </c>
      <c r="I206" t="s">
        <v>762</v>
      </c>
      <c r="J206" t="s">
        <v>763</v>
      </c>
      <c r="K206">
        <v>27.72</v>
      </c>
      <c r="L206">
        <v>27.72</v>
      </c>
      <c r="M206">
        <v>27.72</v>
      </c>
      <c r="N206">
        <v>27.72</v>
      </c>
      <c r="O206">
        <v>27.72</v>
      </c>
      <c r="P206">
        <v>27.72</v>
      </c>
      <c r="Q206">
        <v>27.72</v>
      </c>
      <c r="R206">
        <v>27.72</v>
      </c>
      <c r="S206">
        <v>27.72</v>
      </c>
      <c r="T206">
        <v>27.72</v>
      </c>
      <c r="U206">
        <v>27.72</v>
      </c>
      <c r="V206">
        <v>27.72</v>
      </c>
      <c r="W206" s="6" t="s">
        <v>764</v>
      </c>
      <c r="X206" s="6" t="s">
        <v>765</v>
      </c>
      <c r="Y206" s="6" t="s">
        <v>766</v>
      </c>
      <c r="Z206" s="6" t="s">
        <v>767</v>
      </c>
      <c r="AA206" s="6" t="s">
        <v>61</v>
      </c>
      <c r="AB206" s="6" t="s">
        <v>768</v>
      </c>
    </row>
    <row r="207" spans="1:28" x14ac:dyDescent="0.25">
      <c r="A207" t="s">
        <v>1045</v>
      </c>
      <c r="B207" t="s">
        <v>757</v>
      </c>
      <c r="C207">
        <v>0</v>
      </c>
      <c r="D207" t="s">
        <v>1179</v>
      </c>
      <c r="E207" t="s">
        <v>32</v>
      </c>
      <c r="F207" t="s">
        <v>1180</v>
      </c>
      <c r="G207" t="s">
        <v>760</v>
      </c>
      <c r="H207" t="s">
        <v>761</v>
      </c>
      <c r="I207" t="s">
        <v>762</v>
      </c>
      <c r="J207" t="s">
        <v>763</v>
      </c>
      <c r="K207">
        <v>27.72</v>
      </c>
      <c r="L207">
        <v>27.72</v>
      </c>
      <c r="M207">
        <v>27.72</v>
      </c>
      <c r="N207">
        <v>27.72</v>
      </c>
      <c r="O207">
        <v>27.72</v>
      </c>
      <c r="P207">
        <v>27.72</v>
      </c>
      <c r="Q207">
        <v>27.72</v>
      </c>
      <c r="R207">
        <v>27.72</v>
      </c>
      <c r="S207">
        <v>27.72</v>
      </c>
      <c r="T207">
        <v>27.72</v>
      </c>
      <c r="U207">
        <v>27.72</v>
      </c>
      <c r="V207">
        <v>27.72</v>
      </c>
      <c r="W207" s="6" t="s">
        <v>764</v>
      </c>
      <c r="X207" s="6" t="s">
        <v>765</v>
      </c>
      <c r="Y207" s="6" t="s">
        <v>766</v>
      </c>
      <c r="Z207" s="6" t="s">
        <v>767</v>
      </c>
      <c r="AA207" s="6" t="s">
        <v>1048</v>
      </c>
      <c r="AB207" s="6" t="s">
        <v>768</v>
      </c>
    </row>
    <row r="208" spans="1:28" x14ac:dyDescent="0.25">
      <c r="A208" t="s">
        <v>1045</v>
      </c>
      <c r="B208" t="s">
        <v>757</v>
      </c>
      <c r="C208">
        <v>0</v>
      </c>
      <c r="D208" t="s">
        <v>1181</v>
      </c>
      <c r="E208" t="s">
        <v>32</v>
      </c>
      <c r="F208" t="s">
        <v>1182</v>
      </c>
      <c r="G208" t="s">
        <v>760</v>
      </c>
      <c r="H208" t="s">
        <v>761</v>
      </c>
      <c r="I208" t="s">
        <v>762</v>
      </c>
      <c r="J208" t="s">
        <v>763</v>
      </c>
      <c r="K208">
        <v>27.72</v>
      </c>
      <c r="L208">
        <v>27.72</v>
      </c>
      <c r="M208">
        <v>27.72</v>
      </c>
      <c r="N208">
        <v>27.72</v>
      </c>
      <c r="O208">
        <v>27.72</v>
      </c>
      <c r="P208">
        <v>27.72</v>
      </c>
      <c r="Q208">
        <v>27.72</v>
      </c>
      <c r="R208">
        <v>27.72</v>
      </c>
      <c r="S208">
        <v>27.72</v>
      </c>
      <c r="T208">
        <v>27.72</v>
      </c>
      <c r="U208">
        <v>27.72</v>
      </c>
      <c r="V208">
        <v>27.72</v>
      </c>
      <c r="W208" s="6" t="s">
        <v>764</v>
      </c>
      <c r="X208" s="6" t="s">
        <v>765</v>
      </c>
      <c r="Y208" s="6" t="s">
        <v>766</v>
      </c>
      <c r="Z208" s="6" t="s">
        <v>767</v>
      </c>
      <c r="AA208" s="6" t="s">
        <v>1048</v>
      </c>
      <c r="AB208" s="6" t="s">
        <v>768</v>
      </c>
    </row>
    <row r="209" spans="1:28" x14ac:dyDescent="0.25">
      <c r="A209" t="s">
        <v>1045</v>
      </c>
      <c r="B209" t="s">
        <v>757</v>
      </c>
      <c r="C209">
        <v>0</v>
      </c>
      <c r="D209" t="s">
        <v>1183</v>
      </c>
      <c r="E209" t="s">
        <v>32</v>
      </c>
      <c r="F209" t="s">
        <v>1184</v>
      </c>
      <c r="G209" t="s">
        <v>760</v>
      </c>
      <c r="H209" t="s">
        <v>761</v>
      </c>
      <c r="I209" t="s">
        <v>762</v>
      </c>
      <c r="J209" t="s">
        <v>763</v>
      </c>
      <c r="K209">
        <v>27.72</v>
      </c>
      <c r="L209">
        <v>27.72</v>
      </c>
      <c r="M209">
        <v>27.72</v>
      </c>
      <c r="N209">
        <v>27.72</v>
      </c>
      <c r="O209">
        <v>27.72</v>
      </c>
      <c r="P209">
        <v>27.72</v>
      </c>
      <c r="Q209">
        <v>27.72</v>
      </c>
      <c r="R209">
        <v>27.72</v>
      </c>
      <c r="S209">
        <v>27.72</v>
      </c>
      <c r="T209">
        <v>27.72</v>
      </c>
      <c r="U209">
        <v>27.72</v>
      </c>
      <c r="V209">
        <v>27.72</v>
      </c>
      <c r="W209" s="6" t="s">
        <v>764</v>
      </c>
      <c r="X209" s="6" t="s">
        <v>765</v>
      </c>
      <c r="Y209" s="6" t="s">
        <v>766</v>
      </c>
      <c r="Z209" s="6" t="s">
        <v>767</v>
      </c>
      <c r="AA209" s="6" t="s">
        <v>1048</v>
      </c>
      <c r="AB209" s="6" t="s">
        <v>768</v>
      </c>
    </row>
    <row r="210" spans="1:28" x14ac:dyDescent="0.25">
      <c r="A210" t="s">
        <v>1045</v>
      </c>
      <c r="B210" t="s">
        <v>757</v>
      </c>
      <c r="C210">
        <v>0</v>
      </c>
      <c r="D210" t="s">
        <v>1185</v>
      </c>
      <c r="E210" t="s">
        <v>32</v>
      </c>
      <c r="F210" t="s">
        <v>1186</v>
      </c>
      <c r="G210" t="s">
        <v>760</v>
      </c>
      <c r="H210" t="s">
        <v>761</v>
      </c>
      <c r="I210" t="s">
        <v>762</v>
      </c>
      <c r="J210" t="s">
        <v>763</v>
      </c>
      <c r="K210">
        <v>27.72</v>
      </c>
      <c r="L210">
        <v>27.72</v>
      </c>
      <c r="M210">
        <v>27.72</v>
      </c>
      <c r="N210">
        <v>27.72</v>
      </c>
      <c r="O210">
        <v>27.72</v>
      </c>
      <c r="P210">
        <v>27.72</v>
      </c>
      <c r="Q210">
        <v>27.72</v>
      </c>
      <c r="R210">
        <v>27.72</v>
      </c>
      <c r="S210">
        <v>27.72</v>
      </c>
      <c r="T210">
        <v>27.72</v>
      </c>
      <c r="U210">
        <v>27.72</v>
      </c>
      <c r="V210">
        <v>27.72</v>
      </c>
      <c r="W210" s="6" t="s">
        <v>764</v>
      </c>
      <c r="X210" s="6" t="s">
        <v>765</v>
      </c>
      <c r="Y210" s="6" t="s">
        <v>766</v>
      </c>
      <c r="Z210" s="6" t="s">
        <v>767</v>
      </c>
      <c r="AA210" s="6" t="s">
        <v>1048</v>
      </c>
      <c r="AB210" s="6" t="s">
        <v>768</v>
      </c>
    </row>
    <row r="211" spans="1:28" x14ac:dyDescent="0.25">
      <c r="A211" t="s">
        <v>1045</v>
      </c>
      <c r="B211" t="s">
        <v>757</v>
      </c>
      <c r="C211">
        <v>0</v>
      </c>
      <c r="D211" t="s">
        <v>1187</v>
      </c>
      <c r="E211" t="s">
        <v>32</v>
      </c>
      <c r="F211" t="s">
        <v>1188</v>
      </c>
      <c r="G211" t="s">
        <v>760</v>
      </c>
      <c r="H211" t="s">
        <v>761</v>
      </c>
      <c r="I211" t="s">
        <v>762</v>
      </c>
      <c r="J211" t="s">
        <v>763</v>
      </c>
      <c r="K211">
        <v>27.72</v>
      </c>
      <c r="L211">
        <v>27.72</v>
      </c>
      <c r="M211">
        <v>27.72</v>
      </c>
      <c r="N211">
        <v>27.72</v>
      </c>
      <c r="O211">
        <v>27.72</v>
      </c>
      <c r="P211">
        <v>27.72</v>
      </c>
      <c r="Q211">
        <v>27.72</v>
      </c>
      <c r="R211">
        <v>27.72</v>
      </c>
      <c r="S211">
        <v>27.72</v>
      </c>
      <c r="T211">
        <v>27.72</v>
      </c>
      <c r="U211">
        <v>27.72</v>
      </c>
      <c r="V211">
        <v>27.72</v>
      </c>
      <c r="W211" s="6" t="s">
        <v>764</v>
      </c>
      <c r="X211" s="6" t="s">
        <v>765</v>
      </c>
      <c r="Y211" s="6" t="s">
        <v>766</v>
      </c>
      <c r="Z211" s="6" t="s">
        <v>767</v>
      </c>
      <c r="AA211" s="6" t="s">
        <v>1048</v>
      </c>
      <c r="AB211" s="6" t="s">
        <v>768</v>
      </c>
    </row>
    <row r="212" spans="1:28" x14ac:dyDescent="0.25">
      <c r="A212" t="s">
        <v>1045</v>
      </c>
      <c r="B212" t="s">
        <v>757</v>
      </c>
      <c r="C212">
        <v>0</v>
      </c>
      <c r="D212" t="s">
        <v>1189</v>
      </c>
      <c r="E212" t="s">
        <v>32</v>
      </c>
      <c r="F212" t="s">
        <v>1190</v>
      </c>
      <c r="G212" t="s">
        <v>760</v>
      </c>
      <c r="H212" t="s">
        <v>761</v>
      </c>
      <c r="I212" t="s">
        <v>762</v>
      </c>
      <c r="J212" t="s">
        <v>763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27.72</v>
      </c>
      <c r="Q212">
        <v>27.72</v>
      </c>
      <c r="R212">
        <v>27.72</v>
      </c>
      <c r="S212">
        <v>27.72</v>
      </c>
      <c r="T212">
        <v>27.72</v>
      </c>
      <c r="U212">
        <v>27.72</v>
      </c>
      <c r="V212">
        <v>27.72</v>
      </c>
      <c r="W212" s="6" t="s">
        <v>764</v>
      </c>
      <c r="X212" s="6" t="s">
        <v>765</v>
      </c>
      <c r="Y212" s="6" t="s">
        <v>766</v>
      </c>
      <c r="Z212" s="6" t="s">
        <v>767</v>
      </c>
      <c r="AA212" s="6" t="s">
        <v>1048</v>
      </c>
      <c r="AB212" s="6" t="s">
        <v>768</v>
      </c>
    </row>
    <row r="213" spans="1:28" x14ac:dyDescent="0.25">
      <c r="A213" t="s">
        <v>1045</v>
      </c>
      <c r="B213" t="s">
        <v>757</v>
      </c>
      <c r="C213">
        <v>0</v>
      </c>
      <c r="D213" t="s">
        <v>1191</v>
      </c>
      <c r="E213" t="s">
        <v>32</v>
      </c>
      <c r="F213" t="s">
        <v>1192</v>
      </c>
      <c r="G213" t="s">
        <v>760</v>
      </c>
      <c r="H213" t="s">
        <v>761</v>
      </c>
      <c r="I213" t="s">
        <v>762</v>
      </c>
      <c r="J213" t="s">
        <v>763</v>
      </c>
      <c r="K213">
        <v>27.72</v>
      </c>
      <c r="L213">
        <v>27.72</v>
      </c>
      <c r="M213">
        <v>27.72</v>
      </c>
      <c r="N213">
        <v>27.72</v>
      </c>
      <c r="O213">
        <v>27.72</v>
      </c>
      <c r="P213">
        <v>27.72</v>
      </c>
      <c r="Q213">
        <v>27.72</v>
      </c>
      <c r="R213">
        <v>27.72</v>
      </c>
      <c r="S213">
        <v>27.72</v>
      </c>
      <c r="T213">
        <v>27.72</v>
      </c>
      <c r="U213">
        <v>27.72</v>
      </c>
      <c r="V213">
        <v>27.72</v>
      </c>
      <c r="W213" s="6" t="s">
        <v>764</v>
      </c>
      <c r="X213" s="6" t="s">
        <v>765</v>
      </c>
      <c r="Y213" s="6" t="s">
        <v>766</v>
      </c>
      <c r="Z213" s="6" t="s">
        <v>767</v>
      </c>
      <c r="AA213" s="6" t="s">
        <v>1048</v>
      </c>
      <c r="AB213" s="6" t="s">
        <v>768</v>
      </c>
    </row>
    <row r="214" spans="1:28" x14ac:dyDescent="0.25">
      <c r="A214" t="s">
        <v>1045</v>
      </c>
      <c r="B214" t="s">
        <v>757</v>
      </c>
      <c r="C214">
        <v>0</v>
      </c>
      <c r="D214" t="s">
        <v>1193</v>
      </c>
      <c r="E214" t="s">
        <v>32</v>
      </c>
      <c r="F214" t="s">
        <v>1194</v>
      </c>
      <c r="G214" t="s">
        <v>760</v>
      </c>
      <c r="H214" t="s">
        <v>761</v>
      </c>
      <c r="I214" t="s">
        <v>762</v>
      </c>
      <c r="J214" t="s">
        <v>763</v>
      </c>
      <c r="K214">
        <v>27.72</v>
      </c>
      <c r="L214">
        <v>27.72</v>
      </c>
      <c r="M214">
        <v>27.72</v>
      </c>
      <c r="N214">
        <v>27.72</v>
      </c>
      <c r="O214">
        <v>27.72</v>
      </c>
      <c r="P214">
        <v>27.72</v>
      </c>
      <c r="Q214">
        <v>27.72</v>
      </c>
      <c r="R214">
        <v>27.72</v>
      </c>
      <c r="S214">
        <v>27.72</v>
      </c>
      <c r="T214">
        <v>27.72</v>
      </c>
      <c r="U214">
        <v>27.72</v>
      </c>
      <c r="V214">
        <v>27.72</v>
      </c>
      <c r="W214" s="6" t="s">
        <v>764</v>
      </c>
      <c r="X214" s="6" t="s">
        <v>765</v>
      </c>
      <c r="Y214" s="6" t="s">
        <v>766</v>
      </c>
      <c r="Z214" s="6" t="s">
        <v>767</v>
      </c>
      <c r="AA214" s="6" t="s">
        <v>1048</v>
      </c>
      <c r="AB214" s="6" t="s">
        <v>768</v>
      </c>
    </row>
    <row r="215" spans="1:28" x14ac:dyDescent="0.25">
      <c r="A215" t="s">
        <v>1045</v>
      </c>
      <c r="B215" t="s">
        <v>757</v>
      </c>
      <c r="C215">
        <v>0</v>
      </c>
      <c r="D215" t="s">
        <v>1195</v>
      </c>
      <c r="E215" t="s">
        <v>32</v>
      </c>
      <c r="F215" t="s">
        <v>1196</v>
      </c>
      <c r="G215" t="s">
        <v>760</v>
      </c>
      <c r="H215" t="s">
        <v>761</v>
      </c>
      <c r="I215" t="s">
        <v>762</v>
      </c>
      <c r="J215" t="s">
        <v>763</v>
      </c>
      <c r="K215">
        <v>27.72</v>
      </c>
      <c r="L215">
        <v>27.72</v>
      </c>
      <c r="M215">
        <v>27.72</v>
      </c>
      <c r="N215">
        <v>27.72</v>
      </c>
      <c r="O215">
        <v>27.72</v>
      </c>
      <c r="P215">
        <v>27.72</v>
      </c>
      <c r="Q215">
        <v>27.72</v>
      </c>
      <c r="R215">
        <v>27.72</v>
      </c>
      <c r="S215">
        <v>27.72</v>
      </c>
      <c r="T215">
        <v>27.72</v>
      </c>
      <c r="U215">
        <v>27.72</v>
      </c>
      <c r="V215">
        <v>27.72</v>
      </c>
      <c r="W215" s="6" t="s">
        <v>764</v>
      </c>
      <c r="X215" s="6" t="s">
        <v>765</v>
      </c>
      <c r="Y215" s="6" t="s">
        <v>766</v>
      </c>
      <c r="Z215" s="6" t="s">
        <v>767</v>
      </c>
      <c r="AA215" s="6" t="s">
        <v>1048</v>
      </c>
      <c r="AB215" s="6" t="s">
        <v>768</v>
      </c>
    </row>
    <row r="216" spans="1:28" x14ac:dyDescent="0.25">
      <c r="A216" t="s">
        <v>1045</v>
      </c>
      <c r="B216" t="s">
        <v>757</v>
      </c>
      <c r="C216">
        <v>0</v>
      </c>
      <c r="D216" t="s">
        <v>1197</v>
      </c>
      <c r="E216" t="s">
        <v>32</v>
      </c>
      <c r="F216" t="s">
        <v>1198</v>
      </c>
      <c r="G216" t="s">
        <v>760</v>
      </c>
      <c r="H216" t="s">
        <v>761</v>
      </c>
      <c r="I216" t="s">
        <v>762</v>
      </c>
      <c r="J216" t="s">
        <v>763</v>
      </c>
      <c r="K216">
        <v>27.72</v>
      </c>
      <c r="L216">
        <v>27.72</v>
      </c>
      <c r="M216">
        <v>27.72</v>
      </c>
      <c r="N216">
        <v>27.72</v>
      </c>
      <c r="O216">
        <v>27.72</v>
      </c>
      <c r="P216">
        <v>27.72</v>
      </c>
      <c r="Q216">
        <v>27.72</v>
      </c>
      <c r="R216">
        <v>27.72</v>
      </c>
      <c r="S216">
        <v>27.72</v>
      </c>
      <c r="T216">
        <v>27.72</v>
      </c>
      <c r="U216">
        <v>27.72</v>
      </c>
      <c r="V216">
        <v>27.72</v>
      </c>
      <c r="W216" s="6" t="s">
        <v>764</v>
      </c>
      <c r="X216" s="6" t="s">
        <v>765</v>
      </c>
      <c r="Y216" s="6" t="s">
        <v>766</v>
      </c>
      <c r="Z216" s="6" t="s">
        <v>767</v>
      </c>
      <c r="AA216" s="6" t="s">
        <v>1048</v>
      </c>
      <c r="AB216" s="6" t="s">
        <v>768</v>
      </c>
    </row>
    <row r="217" spans="1:28" x14ac:dyDescent="0.25">
      <c r="A217" t="s">
        <v>1045</v>
      </c>
      <c r="B217" t="s">
        <v>757</v>
      </c>
      <c r="C217">
        <v>0</v>
      </c>
      <c r="D217" t="s">
        <v>1199</v>
      </c>
      <c r="E217" t="s">
        <v>32</v>
      </c>
      <c r="F217" t="s">
        <v>1200</v>
      </c>
      <c r="G217" t="s">
        <v>760</v>
      </c>
      <c r="H217" t="s">
        <v>761</v>
      </c>
      <c r="I217" t="s">
        <v>762</v>
      </c>
      <c r="J217" t="s">
        <v>763</v>
      </c>
      <c r="K217">
        <v>27.72</v>
      </c>
      <c r="L217">
        <v>27.72</v>
      </c>
      <c r="M217">
        <v>27.72</v>
      </c>
      <c r="N217">
        <v>27.72</v>
      </c>
      <c r="O217">
        <v>27.72</v>
      </c>
      <c r="P217">
        <v>27.72</v>
      </c>
      <c r="Q217">
        <v>27.72</v>
      </c>
      <c r="R217">
        <v>27.72</v>
      </c>
      <c r="S217">
        <v>27.72</v>
      </c>
      <c r="T217">
        <v>27.72</v>
      </c>
      <c r="U217">
        <v>27.72</v>
      </c>
      <c r="V217">
        <v>27.72</v>
      </c>
      <c r="W217" s="6" t="s">
        <v>764</v>
      </c>
      <c r="X217" s="6" t="s">
        <v>765</v>
      </c>
      <c r="Y217" s="6" t="s">
        <v>766</v>
      </c>
      <c r="Z217" s="6" t="s">
        <v>767</v>
      </c>
      <c r="AA217" s="6" t="s">
        <v>1048</v>
      </c>
      <c r="AB217" s="6" t="s">
        <v>768</v>
      </c>
    </row>
    <row r="218" spans="1:28" x14ac:dyDescent="0.25">
      <c r="A218" t="s">
        <v>1045</v>
      </c>
      <c r="B218" t="s">
        <v>757</v>
      </c>
      <c r="C218">
        <v>0</v>
      </c>
      <c r="D218" t="s">
        <v>1201</v>
      </c>
      <c r="E218" t="s">
        <v>32</v>
      </c>
      <c r="F218" t="s">
        <v>1202</v>
      </c>
      <c r="G218" t="s">
        <v>760</v>
      </c>
      <c r="H218" t="s">
        <v>761</v>
      </c>
      <c r="I218" t="s">
        <v>762</v>
      </c>
      <c r="J218" t="s">
        <v>763</v>
      </c>
      <c r="K218">
        <v>27.72</v>
      </c>
      <c r="L218">
        <v>27.72</v>
      </c>
      <c r="M218">
        <v>27.72</v>
      </c>
      <c r="N218">
        <v>27.72</v>
      </c>
      <c r="O218">
        <v>27.72</v>
      </c>
      <c r="P218">
        <v>27.72</v>
      </c>
      <c r="Q218">
        <v>27.72</v>
      </c>
      <c r="R218">
        <v>27.72</v>
      </c>
      <c r="S218">
        <v>27.72</v>
      </c>
      <c r="T218">
        <v>27.72</v>
      </c>
      <c r="U218">
        <v>27.72</v>
      </c>
      <c r="V218">
        <v>27.72</v>
      </c>
      <c r="W218" s="6" t="s">
        <v>764</v>
      </c>
      <c r="X218" s="6" t="s">
        <v>765</v>
      </c>
      <c r="Y218" s="6" t="s">
        <v>766</v>
      </c>
      <c r="Z218" s="6" t="s">
        <v>767</v>
      </c>
      <c r="AA218" s="6" t="s">
        <v>1048</v>
      </c>
      <c r="AB218" s="6" t="s">
        <v>768</v>
      </c>
    </row>
    <row r="219" spans="1:28" x14ac:dyDescent="0.25">
      <c r="A219" t="s">
        <v>1045</v>
      </c>
      <c r="B219" t="s">
        <v>757</v>
      </c>
      <c r="C219">
        <v>0</v>
      </c>
      <c r="D219" t="s">
        <v>1203</v>
      </c>
      <c r="E219" t="s">
        <v>32</v>
      </c>
      <c r="F219" t="s">
        <v>1204</v>
      </c>
      <c r="G219" t="s">
        <v>760</v>
      </c>
      <c r="H219" t="s">
        <v>761</v>
      </c>
      <c r="I219" t="s">
        <v>762</v>
      </c>
      <c r="J219" t="s">
        <v>763</v>
      </c>
      <c r="K219">
        <v>27.72</v>
      </c>
      <c r="L219">
        <v>27.72</v>
      </c>
      <c r="M219">
        <v>27.72</v>
      </c>
      <c r="N219">
        <v>27.72</v>
      </c>
      <c r="O219">
        <v>27.72</v>
      </c>
      <c r="P219">
        <v>27.72</v>
      </c>
      <c r="Q219">
        <v>27.72</v>
      </c>
      <c r="R219">
        <v>27.72</v>
      </c>
      <c r="S219">
        <v>27.72</v>
      </c>
      <c r="T219">
        <v>27.72</v>
      </c>
      <c r="U219">
        <v>27.72</v>
      </c>
      <c r="V219">
        <v>27.72</v>
      </c>
      <c r="W219" s="6" t="s">
        <v>764</v>
      </c>
      <c r="X219" s="6" t="s">
        <v>765</v>
      </c>
      <c r="Y219" s="6" t="s">
        <v>766</v>
      </c>
      <c r="Z219" s="6" t="s">
        <v>767</v>
      </c>
      <c r="AA219" s="6" t="s">
        <v>1048</v>
      </c>
      <c r="AB219" s="6" t="s">
        <v>768</v>
      </c>
    </row>
    <row r="220" spans="1:28" x14ac:dyDescent="0.25">
      <c r="A220" t="s">
        <v>756</v>
      </c>
      <c r="B220" t="s">
        <v>757</v>
      </c>
      <c r="C220">
        <v>0</v>
      </c>
      <c r="D220" t="s">
        <v>1205</v>
      </c>
      <c r="E220" t="s">
        <v>32</v>
      </c>
      <c r="F220" t="s">
        <v>1206</v>
      </c>
      <c r="G220" t="s">
        <v>760</v>
      </c>
      <c r="H220" t="s">
        <v>761</v>
      </c>
      <c r="I220" t="s">
        <v>762</v>
      </c>
      <c r="J220" t="s">
        <v>763</v>
      </c>
      <c r="K220">
        <v>27.72</v>
      </c>
      <c r="L220">
        <v>27.72</v>
      </c>
      <c r="M220">
        <v>27.72</v>
      </c>
      <c r="N220">
        <v>27.72</v>
      </c>
      <c r="O220">
        <v>27.72</v>
      </c>
      <c r="P220">
        <v>27.72</v>
      </c>
      <c r="Q220">
        <v>27.72</v>
      </c>
      <c r="R220">
        <v>27.72</v>
      </c>
      <c r="S220">
        <v>27.72</v>
      </c>
      <c r="T220">
        <v>27.72</v>
      </c>
      <c r="U220">
        <v>27.72</v>
      </c>
      <c r="V220">
        <v>27.72</v>
      </c>
      <c r="W220" s="6" t="s">
        <v>764</v>
      </c>
      <c r="X220" s="6" t="s">
        <v>765</v>
      </c>
      <c r="Y220" s="6" t="s">
        <v>766</v>
      </c>
      <c r="Z220" s="6" t="s">
        <v>767</v>
      </c>
      <c r="AA220" s="6" t="s">
        <v>61</v>
      </c>
      <c r="AB220" s="6" t="s">
        <v>768</v>
      </c>
    </row>
    <row r="221" spans="1:28" x14ac:dyDescent="0.25">
      <c r="A221" t="s">
        <v>756</v>
      </c>
      <c r="B221" t="s">
        <v>757</v>
      </c>
      <c r="C221">
        <v>0</v>
      </c>
      <c r="D221" t="s">
        <v>1207</v>
      </c>
      <c r="E221" t="s">
        <v>32</v>
      </c>
      <c r="F221" t="s">
        <v>1208</v>
      </c>
      <c r="G221" t="s">
        <v>760</v>
      </c>
      <c r="H221" t="s">
        <v>761</v>
      </c>
      <c r="I221" t="s">
        <v>762</v>
      </c>
      <c r="J221" t="s">
        <v>763</v>
      </c>
      <c r="K221">
        <v>27.72</v>
      </c>
      <c r="L221">
        <v>27.72</v>
      </c>
      <c r="M221">
        <v>27.72</v>
      </c>
      <c r="N221">
        <v>27.72</v>
      </c>
      <c r="O221">
        <v>27.72</v>
      </c>
      <c r="P221">
        <v>27.72</v>
      </c>
      <c r="Q221">
        <v>27.72</v>
      </c>
      <c r="R221">
        <v>27.72</v>
      </c>
      <c r="S221">
        <v>27.72</v>
      </c>
      <c r="T221">
        <v>27.72</v>
      </c>
      <c r="U221">
        <v>27.72</v>
      </c>
      <c r="V221">
        <v>27.72</v>
      </c>
      <c r="W221" s="6" t="s">
        <v>764</v>
      </c>
      <c r="X221" s="6" t="s">
        <v>765</v>
      </c>
      <c r="Y221" s="6" t="s">
        <v>766</v>
      </c>
      <c r="Z221" s="6" t="s">
        <v>767</v>
      </c>
      <c r="AA221" s="6" t="s">
        <v>61</v>
      </c>
      <c r="AB221" s="6" t="s">
        <v>768</v>
      </c>
    </row>
    <row r="222" spans="1:28" x14ac:dyDescent="0.25">
      <c r="A222" t="s">
        <v>756</v>
      </c>
      <c r="B222" t="s">
        <v>757</v>
      </c>
      <c r="C222">
        <v>0</v>
      </c>
      <c r="D222" t="s">
        <v>1209</v>
      </c>
      <c r="E222" t="s">
        <v>32</v>
      </c>
      <c r="F222" t="s">
        <v>1210</v>
      </c>
      <c r="G222" t="s">
        <v>760</v>
      </c>
      <c r="H222" t="s">
        <v>761</v>
      </c>
      <c r="I222" t="s">
        <v>762</v>
      </c>
      <c r="J222" t="s">
        <v>763</v>
      </c>
      <c r="K222">
        <v>27.72</v>
      </c>
      <c r="L222">
        <v>27.72</v>
      </c>
      <c r="M222">
        <v>27.72</v>
      </c>
      <c r="N222">
        <v>27.72</v>
      </c>
      <c r="O222">
        <v>27.72</v>
      </c>
      <c r="P222">
        <v>27.72</v>
      </c>
      <c r="Q222">
        <v>27.72</v>
      </c>
      <c r="R222">
        <v>27.72</v>
      </c>
      <c r="S222">
        <v>27.72</v>
      </c>
      <c r="T222">
        <v>27.72</v>
      </c>
      <c r="U222">
        <v>27.72</v>
      </c>
      <c r="V222">
        <v>27.72</v>
      </c>
      <c r="W222" s="6" t="s">
        <v>764</v>
      </c>
      <c r="X222" s="6" t="s">
        <v>765</v>
      </c>
      <c r="Y222" s="6" t="s">
        <v>766</v>
      </c>
      <c r="Z222" s="6" t="s">
        <v>767</v>
      </c>
      <c r="AA222" s="6" t="s">
        <v>61</v>
      </c>
      <c r="AB222" s="6" t="s">
        <v>768</v>
      </c>
    </row>
    <row r="223" spans="1:28" x14ac:dyDescent="0.25">
      <c r="A223" t="s">
        <v>756</v>
      </c>
      <c r="B223" t="s">
        <v>757</v>
      </c>
      <c r="C223">
        <v>0</v>
      </c>
      <c r="D223" t="s">
        <v>1211</v>
      </c>
      <c r="E223" t="s">
        <v>32</v>
      </c>
      <c r="F223" t="s">
        <v>1212</v>
      </c>
      <c r="G223" t="s">
        <v>760</v>
      </c>
      <c r="H223" t="s">
        <v>761</v>
      </c>
      <c r="I223" t="s">
        <v>762</v>
      </c>
      <c r="J223" t="s">
        <v>763</v>
      </c>
      <c r="K223">
        <v>27.72</v>
      </c>
      <c r="L223">
        <v>27.72</v>
      </c>
      <c r="M223">
        <v>27.72</v>
      </c>
      <c r="N223">
        <v>27.72</v>
      </c>
      <c r="O223">
        <v>27.72</v>
      </c>
      <c r="P223">
        <v>27.72</v>
      </c>
      <c r="Q223">
        <v>27.72</v>
      </c>
      <c r="R223">
        <v>27.72</v>
      </c>
      <c r="S223">
        <v>27.72</v>
      </c>
      <c r="T223">
        <v>27.72</v>
      </c>
      <c r="U223">
        <v>27.72</v>
      </c>
      <c r="V223">
        <v>27.72</v>
      </c>
      <c r="W223" s="6" t="s">
        <v>764</v>
      </c>
      <c r="X223" s="6" t="s">
        <v>765</v>
      </c>
      <c r="Y223" s="6" t="s">
        <v>766</v>
      </c>
      <c r="Z223" s="6" t="s">
        <v>767</v>
      </c>
      <c r="AA223" s="6" t="s">
        <v>61</v>
      </c>
      <c r="AB223" s="6" t="s">
        <v>768</v>
      </c>
    </row>
    <row r="224" spans="1:28" x14ac:dyDescent="0.25">
      <c r="A224" t="s">
        <v>756</v>
      </c>
      <c r="B224" t="s">
        <v>757</v>
      </c>
      <c r="C224">
        <v>0</v>
      </c>
      <c r="D224" t="s">
        <v>1213</v>
      </c>
      <c r="E224" t="s">
        <v>32</v>
      </c>
      <c r="F224" t="s">
        <v>1214</v>
      </c>
      <c r="G224" t="s">
        <v>760</v>
      </c>
      <c r="H224" t="s">
        <v>761</v>
      </c>
      <c r="I224" t="s">
        <v>762</v>
      </c>
      <c r="J224" t="s">
        <v>763</v>
      </c>
      <c r="K224">
        <v>27.72</v>
      </c>
      <c r="L224">
        <v>27.72</v>
      </c>
      <c r="M224">
        <v>27.72</v>
      </c>
      <c r="N224">
        <v>27.72</v>
      </c>
      <c r="O224">
        <v>27.72</v>
      </c>
      <c r="P224">
        <v>27.72</v>
      </c>
      <c r="Q224">
        <v>27.72</v>
      </c>
      <c r="R224">
        <v>27.72</v>
      </c>
      <c r="S224">
        <v>27.72</v>
      </c>
      <c r="T224">
        <v>27.72</v>
      </c>
      <c r="U224">
        <v>27.72</v>
      </c>
      <c r="V224">
        <v>27.72</v>
      </c>
      <c r="W224" s="6" t="s">
        <v>764</v>
      </c>
      <c r="X224" s="6" t="s">
        <v>765</v>
      </c>
      <c r="Y224" s="6" t="s">
        <v>766</v>
      </c>
      <c r="Z224" s="6" t="s">
        <v>767</v>
      </c>
      <c r="AA224" s="6" t="s">
        <v>61</v>
      </c>
      <c r="AB224" s="6" t="s">
        <v>768</v>
      </c>
    </row>
    <row r="225" spans="1:28" x14ac:dyDescent="0.25">
      <c r="A225" t="s">
        <v>756</v>
      </c>
      <c r="B225" t="s">
        <v>757</v>
      </c>
      <c r="C225">
        <v>0</v>
      </c>
      <c r="D225" t="s">
        <v>1215</v>
      </c>
      <c r="E225" t="s">
        <v>32</v>
      </c>
      <c r="F225" t="s">
        <v>1216</v>
      </c>
      <c r="G225" t="s">
        <v>760</v>
      </c>
      <c r="H225" t="s">
        <v>761</v>
      </c>
      <c r="I225" t="s">
        <v>762</v>
      </c>
      <c r="J225" t="s">
        <v>763</v>
      </c>
      <c r="K225">
        <v>27.72</v>
      </c>
      <c r="L225">
        <v>27.72</v>
      </c>
      <c r="M225">
        <v>27.72</v>
      </c>
      <c r="N225">
        <v>27.72</v>
      </c>
      <c r="O225">
        <v>27.72</v>
      </c>
      <c r="P225">
        <v>27.72</v>
      </c>
      <c r="Q225">
        <v>27.72</v>
      </c>
      <c r="R225">
        <v>27.72</v>
      </c>
      <c r="S225">
        <v>27.72</v>
      </c>
      <c r="T225">
        <v>27.72</v>
      </c>
      <c r="U225">
        <v>27.72</v>
      </c>
      <c r="V225">
        <v>27.72</v>
      </c>
      <c r="W225" s="6" t="s">
        <v>764</v>
      </c>
      <c r="X225" s="6" t="s">
        <v>765</v>
      </c>
      <c r="Y225" s="6" t="s">
        <v>766</v>
      </c>
      <c r="Z225" s="6" t="s">
        <v>767</v>
      </c>
      <c r="AA225" s="6" t="s">
        <v>61</v>
      </c>
      <c r="AB225" s="6" t="s">
        <v>768</v>
      </c>
    </row>
    <row r="226" spans="1:28" x14ac:dyDescent="0.25">
      <c r="A226" t="s">
        <v>756</v>
      </c>
      <c r="B226" t="s">
        <v>757</v>
      </c>
      <c r="C226">
        <v>0</v>
      </c>
      <c r="D226" t="s">
        <v>1217</v>
      </c>
      <c r="E226" t="s">
        <v>32</v>
      </c>
      <c r="F226" t="s">
        <v>1218</v>
      </c>
      <c r="G226" t="s">
        <v>760</v>
      </c>
      <c r="H226" t="s">
        <v>761</v>
      </c>
      <c r="I226" t="s">
        <v>762</v>
      </c>
      <c r="J226" t="s">
        <v>763</v>
      </c>
      <c r="K226">
        <v>27.72</v>
      </c>
      <c r="L226">
        <v>27.72</v>
      </c>
      <c r="M226">
        <v>27.72</v>
      </c>
      <c r="N226">
        <v>27.72</v>
      </c>
      <c r="O226">
        <v>27.72</v>
      </c>
      <c r="P226">
        <v>27.72</v>
      </c>
      <c r="Q226">
        <v>27.72</v>
      </c>
      <c r="R226">
        <v>27.72</v>
      </c>
      <c r="S226">
        <v>27.72</v>
      </c>
      <c r="T226">
        <v>27.72</v>
      </c>
      <c r="U226">
        <v>27.72</v>
      </c>
      <c r="V226">
        <v>27.72</v>
      </c>
      <c r="W226" s="6" t="s">
        <v>764</v>
      </c>
      <c r="X226" s="6" t="s">
        <v>765</v>
      </c>
      <c r="Y226" s="6" t="s">
        <v>766</v>
      </c>
      <c r="Z226" s="6" t="s">
        <v>767</v>
      </c>
      <c r="AA226" s="6" t="s">
        <v>61</v>
      </c>
      <c r="AB226" s="6" t="s">
        <v>768</v>
      </c>
    </row>
    <row r="227" spans="1:28" x14ac:dyDescent="0.25">
      <c r="A227" t="s">
        <v>756</v>
      </c>
      <c r="B227" t="s">
        <v>757</v>
      </c>
      <c r="C227">
        <v>0</v>
      </c>
      <c r="D227" t="s">
        <v>1219</v>
      </c>
      <c r="E227" t="s">
        <v>32</v>
      </c>
      <c r="F227" t="s">
        <v>1220</v>
      </c>
      <c r="G227" t="s">
        <v>760</v>
      </c>
      <c r="H227" t="s">
        <v>761</v>
      </c>
      <c r="I227" t="s">
        <v>762</v>
      </c>
      <c r="J227" t="s">
        <v>763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27.72</v>
      </c>
      <c r="W227" s="6" t="s">
        <v>764</v>
      </c>
      <c r="X227" s="6" t="s">
        <v>765</v>
      </c>
      <c r="Y227" s="6" t="s">
        <v>766</v>
      </c>
      <c r="Z227" s="6" t="s">
        <v>767</v>
      </c>
      <c r="AA227" s="6" t="s">
        <v>61</v>
      </c>
      <c r="AB227" s="6" t="s">
        <v>768</v>
      </c>
    </row>
    <row r="228" spans="1:28" x14ac:dyDescent="0.25">
      <c r="A228" t="s">
        <v>756</v>
      </c>
      <c r="B228" t="s">
        <v>757</v>
      </c>
      <c r="C228">
        <v>0</v>
      </c>
      <c r="D228" t="s">
        <v>1221</v>
      </c>
      <c r="E228" t="s">
        <v>32</v>
      </c>
      <c r="F228" t="s">
        <v>1222</v>
      </c>
      <c r="G228" t="s">
        <v>760</v>
      </c>
      <c r="H228" t="s">
        <v>761</v>
      </c>
      <c r="I228" t="s">
        <v>762</v>
      </c>
      <c r="J228" t="s">
        <v>763</v>
      </c>
      <c r="K228">
        <v>27.72</v>
      </c>
      <c r="L228">
        <v>27.72</v>
      </c>
      <c r="M228">
        <v>27.72</v>
      </c>
      <c r="N228">
        <v>27.72</v>
      </c>
      <c r="O228">
        <v>27.72</v>
      </c>
      <c r="P228">
        <v>27.72</v>
      </c>
      <c r="Q228">
        <v>27.72</v>
      </c>
      <c r="R228">
        <v>27.72</v>
      </c>
      <c r="S228">
        <v>27.72</v>
      </c>
      <c r="T228">
        <v>27.72</v>
      </c>
      <c r="U228">
        <v>27.72</v>
      </c>
      <c r="V228">
        <v>27.72</v>
      </c>
      <c r="W228" s="6" t="s">
        <v>764</v>
      </c>
      <c r="X228" s="6" t="s">
        <v>765</v>
      </c>
      <c r="Y228" s="6" t="s">
        <v>766</v>
      </c>
      <c r="Z228" s="6" t="s">
        <v>767</v>
      </c>
      <c r="AA228" s="6" t="s">
        <v>61</v>
      </c>
      <c r="AB228" s="6" t="s">
        <v>768</v>
      </c>
    </row>
    <row r="229" spans="1:28" x14ac:dyDescent="0.25">
      <c r="A229" t="s">
        <v>756</v>
      </c>
      <c r="B229" t="s">
        <v>757</v>
      </c>
      <c r="C229">
        <v>0</v>
      </c>
      <c r="D229" t="s">
        <v>1223</v>
      </c>
      <c r="E229" t="s">
        <v>806</v>
      </c>
      <c r="F229" t="s">
        <v>1224</v>
      </c>
      <c r="G229" t="s">
        <v>760</v>
      </c>
      <c r="H229" t="s">
        <v>761</v>
      </c>
      <c r="I229" t="s">
        <v>762</v>
      </c>
      <c r="J229" t="s">
        <v>763</v>
      </c>
      <c r="K229">
        <v>90.41</v>
      </c>
      <c r="L229">
        <v>90.41</v>
      </c>
      <c r="M229">
        <v>90.41</v>
      </c>
      <c r="N229">
        <v>90.41</v>
      </c>
      <c r="O229">
        <v>90.41</v>
      </c>
      <c r="P229">
        <v>90.41</v>
      </c>
      <c r="Q229">
        <v>90.41</v>
      </c>
      <c r="R229">
        <v>90.41</v>
      </c>
      <c r="S229">
        <v>90.41</v>
      </c>
      <c r="T229">
        <v>90.41</v>
      </c>
      <c r="U229">
        <v>90.41</v>
      </c>
      <c r="V229">
        <v>90.41</v>
      </c>
      <c r="W229" s="6" t="s">
        <v>764</v>
      </c>
      <c r="X229" s="6" t="s">
        <v>765</v>
      </c>
      <c r="Y229" s="6" t="s">
        <v>766</v>
      </c>
      <c r="Z229" s="6" t="s">
        <v>767</v>
      </c>
      <c r="AA229" s="6" t="s">
        <v>61</v>
      </c>
      <c r="AB229" s="6" t="s">
        <v>768</v>
      </c>
    </row>
    <row r="230" spans="1:28" x14ac:dyDescent="0.25">
      <c r="A230" t="s">
        <v>756</v>
      </c>
      <c r="B230" t="s">
        <v>757</v>
      </c>
      <c r="C230">
        <v>0</v>
      </c>
      <c r="D230" t="s">
        <v>1225</v>
      </c>
      <c r="E230" t="s">
        <v>806</v>
      </c>
      <c r="F230" t="s">
        <v>1226</v>
      </c>
      <c r="G230" t="s">
        <v>760</v>
      </c>
      <c r="H230" t="s">
        <v>761</v>
      </c>
      <c r="I230" t="s">
        <v>762</v>
      </c>
      <c r="J230" t="s">
        <v>763</v>
      </c>
      <c r="K230">
        <v>90.41</v>
      </c>
      <c r="L230">
        <v>90.41</v>
      </c>
      <c r="M230">
        <v>90.41</v>
      </c>
      <c r="N230">
        <v>90.41</v>
      </c>
      <c r="O230">
        <v>90.41</v>
      </c>
      <c r="P230">
        <v>90.41</v>
      </c>
      <c r="Q230">
        <v>90.41</v>
      </c>
      <c r="R230">
        <v>90.41</v>
      </c>
      <c r="S230">
        <v>90.41</v>
      </c>
      <c r="T230">
        <v>90.41</v>
      </c>
      <c r="U230">
        <v>90.41</v>
      </c>
      <c r="V230">
        <v>90.41</v>
      </c>
      <c r="W230" s="6" t="s">
        <v>764</v>
      </c>
      <c r="X230" s="6" t="s">
        <v>765</v>
      </c>
      <c r="Y230" s="6" t="s">
        <v>766</v>
      </c>
      <c r="Z230" s="6" t="s">
        <v>767</v>
      </c>
      <c r="AA230" s="6" t="s">
        <v>61</v>
      </c>
      <c r="AB230" s="6" t="s">
        <v>768</v>
      </c>
    </row>
    <row r="231" spans="1:28" x14ac:dyDescent="0.25">
      <c r="A231" t="s">
        <v>756</v>
      </c>
      <c r="B231" t="s">
        <v>757</v>
      </c>
      <c r="C231">
        <v>0</v>
      </c>
      <c r="D231" t="s">
        <v>1227</v>
      </c>
      <c r="E231" t="s">
        <v>806</v>
      </c>
      <c r="F231" t="s">
        <v>1228</v>
      </c>
      <c r="G231" t="s">
        <v>760</v>
      </c>
      <c r="H231" t="s">
        <v>761</v>
      </c>
      <c r="I231" t="s">
        <v>762</v>
      </c>
      <c r="J231" t="s">
        <v>763</v>
      </c>
      <c r="K231">
        <v>90.41</v>
      </c>
      <c r="L231">
        <v>90.41</v>
      </c>
      <c r="M231">
        <v>90.41</v>
      </c>
      <c r="N231">
        <v>90.41</v>
      </c>
      <c r="O231">
        <v>90.41</v>
      </c>
      <c r="P231">
        <v>90.41</v>
      </c>
      <c r="Q231">
        <v>90.41</v>
      </c>
      <c r="R231">
        <v>90.41</v>
      </c>
      <c r="S231">
        <v>90.41</v>
      </c>
      <c r="T231">
        <v>90.41</v>
      </c>
      <c r="U231">
        <v>90.41</v>
      </c>
      <c r="V231">
        <v>90.41</v>
      </c>
      <c r="W231" s="6" t="s">
        <v>764</v>
      </c>
      <c r="X231" s="6" t="s">
        <v>765</v>
      </c>
      <c r="Y231" s="6" t="s">
        <v>766</v>
      </c>
      <c r="Z231" s="6" t="s">
        <v>767</v>
      </c>
      <c r="AA231" s="6" t="s">
        <v>61</v>
      </c>
      <c r="AB231" s="6" t="s">
        <v>768</v>
      </c>
    </row>
    <row r="232" spans="1:28" x14ac:dyDescent="0.25">
      <c r="A232" t="s">
        <v>756</v>
      </c>
      <c r="B232" t="s">
        <v>757</v>
      </c>
      <c r="C232">
        <v>0</v>
      </c>
      <c r="D232" t="s">
        <v>1229</v>
      </c>
      <c r="E232" t="s">
        <v>806</v>
      </c>
      <c r="F232" t="s">
        <v>1230</v>
      </c>
      <c r="G232" t="s">
        <v>760</v>
      </c>
      <c r="H232" t="s">
        <v>761</v>
      </c>
      <c r="I232" t="s">
        <v>762</v>
      </c>
      <c r="J232" t="s">
        <v>763</v>
      </c>
      <c r="K232">
        <v>90.41</v>
      </c>
      <c r="L232">
        <v>90.41</v>
      </c>
      <c r="M232">
        <v>90.41</v>
      </c>
      <c r="N232">
        <v>90.41</v>
      </c>
      <c r="O232">
        <v>90.41</v>
      </c>
      <c r="P232">
        <v>90.41</v>
      </c>
      <c r="Q232">
        <v>90.41</v>
      </c>
      <c r="R232">
        <v>90.41</v>
      </c>
      <c r="S232">
        <v>90.41</v>
      </c>
      <c r="T232">
        <v>90.41</v>
      </c>
      <c r="U232">
        <v>90.41</v>
      </c>
      <c r="V232">
        <v>90.41</v>
      </c>
      <c r="W232" s="6" t="s">
        <v>764</v>
      </c>
      <c r="X232" s="6" t="s">
        <v>765</v>
      </c>
      <c r="Y232" s="6" t="s">
        <v>766</v>
      </c>
      <c r="Z232" s="6" t="s">
        <v>767</v>
      </c>
      <c r="AA232" s="6" t="s">
        <v>61</v>
      </c>
      <c r="AB232" s="6" t="s">
        <v>768</v>
      </c>
    </row>
    <row r="233" spans="1:28" x14ac:dyDescent="0.25">
      <c r="A233" t="s">
        <v>756</v>
      </c>
      <c r="B233" t="s">
        <v>757</v>
      </c>
      <c r="C233">
        <v>0</v>
      </c>
      <c r="D233" t="s">
        <v>1231</v>
      </c>
      <c r="E233" t="s">
        <v>806</v>
      </c>
      <c r="F233" t="s">
        <v>1232</v>
      </c>
      <c r="G233" t="s">
        <v>760</v>
      </c>
      <c r="H233" t="s">
        <v>761</v>
      </c>
      <c r="I233" t="s">
        <v>762</v>
      </c>
      <c r="J233" t="s">
        <v>763</v>
      </c>
      <c r="K233">
        <v>90.41</v>
      </c>
      <c r="L233">
        <v>90.41</v>
      </c>
      <c r="M233">
        <v>90.41</v>
      </c>
      <c r="N233">
        <v>90.41</v>
      </c>
      <c r="O233">
        <v>90.41</v>
      </c>
      <c r="P233">
        <v>90.41</v>
      </c>
      <c r="Q233">
        <v>90.41</v>
      </c>
      <c r="R233">
        <v>90.41</v>
      </c>
      <c r="S233">
        <v>0</v>
      </c>
      <c r="T233">
        <v>90.41</v>
      </c>
      <c r="U233">
        <v>90.41</v>
      </c>
      <c r="V233">
        <v>90.41</v>
      </c>
      <c r="W233" s="6" t="s">
        <v>764</v>
      </c>
      <c r="X233" s="6" t="s">
        <v>765</v>
      </c>
      <c r="Y233" s="6" t="s">
        <v>766</v>
      </c>
      <c r="Z233" s="6" t="s">
        <v>767</v>
      </c>
      <c r="AA233" s="6" t="s">
        <v>61</v>
      </c>
      <c r="AB233" s="6" t="s">
        <v>768</v>
      </c>
    </row>
    <row r="234" spans="1:28" x14ac:dyDescent="0.25">
      <c r="A234" t="s">
        <v>756</v>
      </c>
      <c r="B234" t="s">
        <v>757</v>
      </c>
      <c r="C234">
        <v>0</v>
      </c>
      <c r="D234" t="s">
        <v>1233</v>
      </c>
      <c r="E234" t="s">
        <v>806</v>
      </c>
      <c r="F234" t="s">
        <v>1234</v>
      </c>
      <c r="G234" t="s">
        <v>760</v>
      </c>
      <c r="H234" t="s">
        <v>761</v>
      </c>
      <c r="I234" t="s">
        <v>762</v>
      </c>
      <c r="J234" t="s">
        <v>763</v>
      </c>
      <c r="K234">
        <v>90.41</v>
      </c>
      <c r="L234">
        <v>90.41</v>
      </c>
      <c r="M234">
        <v>90.41</v>
      </c>
      <c r="N234">
        <v>90.41</v>
      </c>
      <c r="O234">
        <v>90.41</v>
      </c>
      <c r="P234">
        <v>90.41</v>
      </c>
      <c r="Q234">
        <v>90.41</v>
      </c>
      <c r="R234">
        <v>90.41</v>
      </c>
      <c r="S234">
        <v>90.41</v>
      </c>
      <c r="T234">
        <v>90.41</v>
      </c>
      <c r="U234">
        <v>90.41</v>
      </c>
      <c r="V234">
        <v>90.41</v>
      </c>
      <c r="W234" s="6" t="s">
        <v>764</v>
      </c>
      <c r="X234" s="6" t="s">
        <v>765</v>
      </c>
      <c r="Y234" s="6" t="s">
        <v>766</v>
      </c>
      <c r="Z234" s="6" t="s">
        <v>767</v>
      </c>
      <c r="AA234" s="6" t="s">
        <v>61</v>
      </c>
      <c r="AB234" s="6" t="s">
        <v>768</v>
      </c>
    </row>
    <row r="235" spans="1:28" x14ac:dyDescent="0.25">
      <c r="A235" t="s">
        <v>756</v>
      </c>
      <c r="B235" t="s">
        <v>757</v>
      </c>
      <c r="C235">
        <v>0</v>
      </c>
      <c r="D235" t="s">
        <v>1235</v>
      </c>
      <c r="E235" t="s">
        <v>806</v>
      </c>
      <c r="F235" t="s">
        <v>1236</v>
      </c>
      <c r="G235" t="s">
        <v>760</v>
      </c>
      <c r="H235" t="s">
        <v>761</v>
      </c>
      <c r="I235" t="s">
        <v>762</v>
      </c>
      <c r="J235" t="s">
        <v>763</v>
      </c>
      <c r="K235">
        <v>90.41</v>
      </c>
      <c r="L235">
        <v>90.41</v>
      </c>
      <c r="M235">
        <v>90.41</v>
      </c>
      <c r="N235">
        <v>90.41</v>
      </c>
      <c r="O235">
        <v>90.41</v>
      </c>
      <c r="P235">
        <v>90.41</v>
      </c>
      <c r="Q235">
        <v>90.41</v>
      </c>
      <c r="R235">
        <v>90.41</v>
      </c>
      <c r="S235">
        <v>90.41</v>
      </c>
      <c r="T235">
        <v>90.41</v>
      </c>
      <c r="U235">
        <v>90.41</v>
      </c>
      <c r="V235">
        <v>90.41</v>
      </c>
      <c r="W235" s="6" t="s">
        <v>764</v>
      </c>
      <c r="X235" s="6" t="s">
        <v>765</v>
      </c>
      <c r="Y235" s="6" t="s">
        <v>766</v>
      </c>
      <c r="Z235" s="6" t="s">
        <v>767</v>
      </c>
      <c r="AA235" s="6" t="s">
        <v>61</v>
      </c>
      <c r="AB235" s="6" t="s">
        <v>768</v>
      </c>
    </row>
    <row r="236" spans="1:28" x14ac:dyDescent="0.25">
      <c r="A236" t="s">
        <v>756</v>
      </c>
      <c r="B236" t="s">
        <v>757</v>
      </c>
      <c r="C236">
        <v>0</v>
      </c>
      <c r="D236" t="s">
        <v>1237</v>
      </c>
      <c r="E236" t="s">
        <v>806</v>
      </c>
      <c r="F236" t="s">
        <v>1238</v>
      </c>
      <c r="G236" t="s">
        <v>760</v>
      </c>
      <c r="H236" t="s">
        <v>761</v>
      </c>
      <c r="I236" t="s">
        <v>762</v>
      </c>
      <c r="J236" t="s">
        <v>763</v>
      </c>
      <c r="K236">
        <v>90.41</v>
      </c>
      <c r="L236">
        <v>90.41</v>
      </c>
      <c r="M236">
        <v>90.41</v>
      </c>
      <c r="N236">
        <v>90.41</v>
      </c>
      <c r="O236">
        <v>90.41</v>
      </c>
      <c r="P236">
        <v>90.41</v>
      </c>
      <c r="Q236">
        <v>90.41</v>
      </c>
      <c r="R236">
        <v>90.41</v>
      </c>
      <c r="S236">
        <v>90.41</v>
      </c>
      <c r="T236">
        <v>90.41</v>
      </c>
      <c r="U236">
        <v>90.41</v>
      </c>
      <c r="V236">
        <v>90.41</v>
      </c>
      <c r="W236" s="6" t="s">
        <v>764</v>
      </c>
      <c r="X236" s="6" t="s">
        <v>765</v>
      </c>
      <c r="Y236" s="6" t="s">
        <v>766</v>
      </c>
      <c r="Z236" s="6" t="s">
        <v>767</v>
      </c>
      <c r="AA236" s="6" t="s">
        <v>61</v>
      </c>
      <c r="AB236" s="6" t="s">
        <v>768</v>
      </c>
    </row>
    <row r="237" spans="1:28" x14ac:dyDescent="0.25">
      <c r="A237" t="s">
        <v>756</v>
      </c>
      <c r="B237" t="s">
        <v>757</v>
      </c>
      <c r="C237">
        <v>0</v>
      </c>
      <c r="D237" t="s">
        <v>1239</v>
      </c>
      <c r="E237" t="s">
        <v>806</v>
      </c>
      <c r="F237" t="s">
        <v>1240</v>
      </c>
      <c r="G237" t="s">
        <v>760</v>
      </c>
      <c r="H237" t="s">
        <v>761</v>
      </c>
      <c r="I237" t="s">
        <v>762</v>
      </c>
      <c r="J237" t="s">
        <v>763</v>
      </c>
      <c r="K237">
        <v>0</v>
      </c>
      <c r="L237">
        <v>0</v>
      </c>
      <c r="M237">
        <v>0</v>
      </c>
      <c r="N237">
        <v>0</v>
      </c>
      <c r="O237">
        <v>90.41</v>
      </c>
      <c r="P237">
        <v>90.41</v>
      </c>
      <c r="Q237">
        <v>90.41</v>
      </c>
      <c r="R237">
        <v>90.41</v>
      </c>
      <c r="S237">
        <v>90.41</v>
      </c>
      <c r="T237">
        <v>90.41</v>
      </c>
      <c r="U237">
        <v>90.41</v>
      </c>
      <c r="V237">
        <v>90.41</v>
      </c>
      <c r="W237" s="6" t="s">
        <v>764</v>
      </c>
      <c r="X237" s="6" t="s">
        <v>765</v>
      </c>
      <c r="Y237" s="6" t="s">
        <v>766</v>
      </c>
      <c r="Z237" s="6" t="s">
        <v>767</v>
      </c>
      <c r="AA237" s="6" t="s">
        <v>61</v>
      </c>
      <c r="AB237" s="6" t="s">
        <v>768</v>
      </c>
    </row>
    <row r="238" spans="1:28" x14ac:dyDescent="0.25">
      <c r="A238" t="s">
        <v>756</v>
      </c>
      <c r="B238" t="s">
        <v>757</v>
      </c>
      <c r="C238">
        <v>0</v>
      </c>
      <c r="D238" t="s">
        <v>1241</v>
      </c>
      <c r="E238" t="s">
        <v>806</v>
      </c>
      <c r="F238" t="s">
        <v>1242</v>
      </c>
      <c r="G238" t="s">
        <v>760</v>
      </c>
      <c r="H238" t="s">
        <v>761</v>
      </c>
      <c r="I238" t="s">
        <v>762</v>
      </c>
      <c r="J238" t="s">
        <v>763</v>
      </c>
      <c r="K238">
        <v>90.41</v>
      </c>
      <c r="L238">
        <v>90.41</v>
      </c>
      <c r="M238">
        <v>90.41</v>
      </c>
      <c r="N238">
        <v>90.41</v>
      </c>
      <c r="O238">
        <v>90.41</v>
      </c>
      <c r="P238">
        <v>90.41</v>
      </c>
      <c r="Q238">
        <v>90.41</v>
      </c>
      <c r="R238">
        <v>90.41</v>
      </c>
      <c r="S238">
        <v>90.41</v>
      </c>
      <c r="T238">
        <v>90.41</v>
      </c>
      <c r="U238">
        <v>90.41</v>
      </c>
      <c r="V238">
        <v>90.41</v>
      </c>
      <c r="W238" s="6" t="s">
        <v>764</v>
      </c>
      <c r="X238" s="6" t="s">
        <v>765</v>
      </c>
      <c r="Y238" s="6" t="s">
        <v>766</v>
      </c>
      <c r="Z238" s="6" t="s">
        <v>767</v>
      </c>
      <c r="AA238" s="6" t="s">
        <v>61</v>
      </c>
      <c r="AB238" s="6" t="s">
        <v>768</v>
      </c>
    </row>
    <row r="239" spans="1:28" x14ac:dyDescent="0.25">
      <c r="A239" t="s">
        <v>756</v>
      </c>
      <c r="B239" t="s">
        <v>757</v>
      </c>
      <c r="C239">
        <v>0</v>
      </c>
      <c r="D239" t="s">
        <v>1243</v>
      </c>
      <c r="E239" t="s">
        <v>36</v>
      </c>
      <c r="F239" t="s">
        <v>1244</v>
      </c>
      <c r="G239" t="s">
        <v>760</v>
      </c>
      <c r="H239" t="s">
        <v>761</v>
      </c>
      <c r="I239" t="s">
        <v>762</v>
      </c>
      <c r="J239" t="s">
        <v>763</v>
      </c>
      <c r="K239">
        <v>22.54</v>
      </c>
      <c r="L239">
        <v>22.54</v>
      </c>
      <c r="M239">
        <v>22.54</v>
      </c>
      <c r="N239">
        <v>22.54</v>
      </c>
      <c r="O239">
        <v>22.54</v>
      </c>
      <c r="P239">
        <v>22.54</v>
      </c>
      <c r="Q239">
        <v>22.54</v>
      </c>
      <c r="R239">
        <v>22.54</v>
      </c>
      <c r="S239">
        <v>22.54</v>
      </c>
      <c r="T239">
        <v>22.54</v>
      </c>
      <c r="U239">
        <v>22.54</v>
      </c>
      <c r="V239">
        <v>22.54</v>
      </c>
      <c r="W239" s="6" t="s">
        <v>764</v>
      </c>
      <c r="X239" s="6" t="s">
        <v>765</v>
      </c>
      <c r="Y239" s="6" t="s">
        <v>766</v>
      </c>
      <c r="Z239" s="6" t="s">
        <v>767</v>
      </c>
      <c r="AA239" s="6" t="s">
        <v>61</v>
      </c>
      <c r="AB239" s="6" t="s">
        <v>768</v>
      </c>
    </row>
    <row r="240" spans="1:28" x14ac:dyDescent="0.25">
      <c r="A240" t="s">
        <v>756</v>
      </c>
      <c r="B240" t="s">
        <v>757</v>
      </c>
      <c r="C240">
        <v>0</v>
      </c>
      <c r="D240" t="s">
        <v>1245</v>
      </c>
      <c r="E240" t="s">
        <v>36</v>
      </c>
      <c r="F240" t="s">
        <v>1246</v>
      </c>
      <c r="G240" t="s">
        <v>760</v>
      </c>
      <c r="H240" t="s">
        <v>761</v>
      </c>
      <c r="I240" t="s">
        <v>762</v>
      </c>
      <c r="J240" t="s">
        <v>763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22.54</v>
      </c>
      <c r="R240">
        <v>22.54</v>
      </c>
      <c r="S240">
        <v>22.54</v>
      </c>
      <c r="T240">
        <v>22.54</v>
      </c>
      <c r="U240">
        <v>22.54</v>
      </c>
      <c r="V240">
        <v>22.54</v>
      </c>
      <c r="W240" s="6" t="s">
        <v>764</v>
      </c>
      <c r="X240" s="6" t="s">
        <v>765</v>
      </c>
      <c r="Y240" s="6" t="s">
        <v>766</v>
      </c>
      <c r="Z240" s="6" t="s">
        <v>767</v>
      </c>
      <c r="AA240" s="6" t="s">
        <v>61</v>
      </c>
      <c r="AB240" s="6" t="s">
        <v>768</v>
      </c>
    </row>
    <row r="241" spans="1:28" x14ac:dyDescent="0.25">
      <c r="A241" t="s">
        <v>756</v>
      </c>
      <c r="B241" t="s">
        <v>757</v>
      </c>
      <c r="C241">
        <v>0</v>
      </c>
      <c r="D241" t="s">
        <v>1247</v>
      </c>
      <c r="E241" t="s">
        <v>806</v>
      </c>
      <c r="F241" t="s">
        <v>1248</v>
      </c>
      <c r="G241" t="s">
        <v>760</v>
      </c>
      <c r="H241" t="s">
        <v>761</v>
      </c>
      <c r="I241" t="s">
        <v>762</v>
      </c>
      <c r="J241" t="s">
        <v>763</v>
      </c>
      <c r="K241">
        <v>90.41</v>
      </c>
      <c r="L241">
        <v>90.41</v>
      </c>
      <c r="M241">
        <v>90.41</v>
      </c>
      <c r="N241">
        <v>90.41</v>
      </c>
      <c r="O241">
        <v>90.41</v>
      </c>
      <c r="P241">
        <v>90.41</v>
      </c>
      <c r="Q241">
        <v>90.41</v>
      </c>
      <c r="R241">
        <v>90.41</v>
      </c>
      <c r="S241">
        <v>90.41</v>
      </c>
      <c r="T241">
        <v>90.41</v>
      </c>
      <c r="U241">
        <v>90.41</v>
      </c>
      <c r="V241">
        <v>90.41</v>
      </c>
      <c r="W241" s="6" t="s">
        <v>764</v>
      </c>
      <c r="X241" s="6" t="s">
        <v>765</v>
      </c>
      <c r="Y241" s="6" t="s">
        <v>766</v>
      </c>
      <c r="Z241" s="6" t="s">
        <v>767</v>
      </c>
      <c r="AA241" s="6" t="s">
        <v>61</v>
      </c>
      <c r="AB241" s="6" t="s">
        <v>768</v>
      </c>
    </row>
    <row r="242" spans="1:28" x14ac:dyDescent="0.25">
      <c r="A242" t="s">
        <v>1045</v>
      </c>
      <c r="B242" t="s">
        <v>757</v>
      </c>
      <c r="C242">
        <v>0</v>
      </c>
      <c r="D242" t="s">
        <v>1249</v>
      </c>
      <c r="E242" t="s">
        <v>31</v>
      </c>
      <c r="F242" t="s">
        <v>1250</v>
      </c>
      <c r="G242" t="s">
        <v>760</v>
      </c>
      <c r="H242" t="s">
        <v>761</v>
      </c>
      <c r="I242" t="s">
        <v>762</v>
      </c>
      <c r="J242" t="s">
        <v>763</v>
      </c>
      <c r="K242">
        <v>27.49</v>
      </c>
      <c r="L242">
        <v>27.49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 s="6" t="s">
        <v>764</v>
      </c>
      <c r="X242" s="6" t="s">
        <v>765</v>
      </c>
      <c r="Y242" s="6" t="s">
        <v>766</v>
      </c>
      <c r="Z242" s="6" t="s">
        <v>767</v>
      </c>
      <c r="AA242" s="6" t="s">
        <v>1048</v>
      </c>
      <c r="AB242" s="6" t="s">
        <v>768</v>
      </c>
    </row>
    <row r="243" spans="1:28" x14ac:dyDescent="0.25">
      <c r="A243" t="s">
        <v>1045</v>
      </c>
      <c r="B243" t="s">
        <v>757</v>
      </c>
      <c r="C243">
        <v>0</v>
      </c>
      <c r="D243" t="s">
        <v>1251</v>
      </c>
      <c r="E243" t="s">
        <v>31</v>
      </c>
      <c r="F243" t="s">
        <v>1252</v>
      </c>
      <c r="G243" t="s">
        <v>760</v>
      </c>
      <c r="H243" t="s">
        <v>761</v>
      </c>
      <c r="I243" t="s">
        <v>762</v>
      </c>
      <c r="J243" t="s">
        <v>763</v>
      </c>
      <c r="K243">
        <v>27.49</v>
      </c>
      <c r="L243">
        <v>27.49</v>
      </c>
      <c r="M243">
        <v>27.49</v>
      </c>
      <c r="N243">
        <v>27.49</v>
      </c>
      <c r="O243">
        <v>27.49</v>
      </c>
      <c r="P243">
        <v>27.49</v>
      </c>
      <c r="Q243">
        <v>27.49</v>
      </c>
      <c r="R243">
        <v>27.49</v>
      </c>
      <c r="S243">
        <v>27.49</v>
      </c>
      <c r="T243">
        <v>27.49</v>
      </c>
      <c r="U243">
        <v>27.49</v>
      </c>
      <c r="V243">
        <v>27.49</v>
      </c>
      <c r="W243" s="6" t="s">
        <v>764</v>
      </c>
      <c r="X243" s="6" t="s">
        <v>765</v>
      </c>
      <c r="Y243" s="6" t="s">
        <v>766</v>
      </c>
      <c r="Z243" s="6" t="s">
        <v>767</v>
      </c>
      <c r="AA243" s="6" t="s">
        <v>1048</v>
      </c>
      <c r="AB243" s="6" t="s">
        <v>768</v>
      </c>
    </row>
    <row r="244" spans="1:28" x14ac:dyDescent="0.25">
      <c r="A244" t="s">
        <v>1045</v>
      </c>
      <c r="B244" t="s">
        <v>757</v>
      </c>
      <c r="C244">
        <v>0</v>
      </c>
      <c r="D244" t="s">
        <v>1253</v>
      </c>
      <c r="E244" t="s">
        <v>31</v>
      </c>
      <c r="F244" t="s">
        <v>1254</v>
      </c>
      <c r="G244" t="s">
        <v>760</v>
      </c>
      <c r="H244" t="s">
        <v>761</v>
      </c>
      <c r="I244" t="s">
        <v>762</v>
      </c>
      <c r="J244" t="s">
        <v>763</v>
      </c>
      <c r="K244">
        <v>27.49</v>
      </c>
      <c r="L244">
        <v>27.49</v>
      </c>
      <c r="M244">
        <v>27.49</v>
      </c>
      <c r="N244">
        <v>27.49</v>
      </c>
      <c r="O244">
        <v>27.49</v>
      </c>
      <c r="P244">
        <v>27.49</v>
      </c>
      <c r="Q244">
        <v>27.49</v>
      </c>
      <c r="R244">
        <v>27.49</v>
      </c>
      <c r="S244">
        <v>27.49</v>
      </c>
      <c r="T244">
        <v>27.49</v>
      </c>
      <c r="U244">
        <v>27.49</v>
      </c>
      <c r="V244">
        <v>27.49</v>
      </c>
      <c r="W244" s="6" t="s">
        <v>764</v>
      </c>
      <c r="X244" s="6" t="s">
        <v>765</v>
      </c>
      <c r="Y244" s="6" t="s">
        <v>766</v>
      </c>
      <c r="Z244" s="6" t="s">
        <v>767</v>
      </c>
      <c r="AA244" s="6" t="s">
        <v>1048</v>
      </c>
      <c r="AB244" s="6" t="s">
        <v>768</v>
      </c>
    </row>
    <row r="245" spans="1:28" x14ac:dyDescent="0.25">
      <c r="A245" t="s">
        <v>1045</v>
      </c>
      <c r="B245" t="s">
        <v>757</v>
      </c>
      <c r="C245">
        <v>0</v>
      </c>
      <c r="D245" t="s">
        <v>1255</v>
      </c>
      <c r="E245" t="s">
        <v>31</v>
      </c>
      <c r="F245" t="s">
        <v>1256</v>
      </c>
      <c r="G245" t="s">
        <v>760</v>
      </c>
      <c r="H245" t="s">
        <v>761</v>
      </c>
      <c r="I245" t="s">
        <v>762</v>
      </c>
      <c r="J245" t="s">
        <v>763</v>
      </c>
      <c r="K245">
        <v>27.49</v>
      </c>
      <c r="L245">
        <v>27.49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 s="6" t="s">
        <v>764</v>
      </c>
      <c r="X245" s="6" t="s">
        <v>765</v>
      </c>
      <c r="Y245" s="6" t="s">
        <v>766</v>
      </c>
      <c r="Z245" s="6" t="s">
        <v>767</v>
      </c>
      <c r="AA245" s="6" t="s">
        <v>1048</v>
      </c>
      <c r="AB245" s="6" t="s">
        <v>768</v>
      </c>
    </row>
    <row r="246" spans="1:28" x14ac:dyDescent="0.25">
      <c r="A246" t="s">
        <v>1045</v>
      </c>
      <c r="B246" t="s">
        <v>757</v>
      </c>
      <c r="C246">
        <v>0</v>
      </c>
      <c r="D246" t="s">
        <v>1257</v>
      </c>
      <c r="E246" t="s">
        <v>31</v>
      </c>
      <c r="F246" t="s">
        <v>1258</v>
      </c>
      <c r="G246" t="s">
        <v>760</v>
      </c>
      <c r="H246" t="s">
        <v>761</v>
      </c>
      <c r="I246" t="s">
        <v>762</v>
      </c>
      <c r="J246" t="s">
        <v>763</v>
      </c>
      <c r="K246">
        <v>27.49</v>
      </c>
      <c r="L246">
        <v>27.49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 s="6" t="s">
        <v>764</v>
      </c>
      <c r="X246" s="6" t="s">
        <v>765</v>
      </c>
      <c r="Y246" s="6" t="s">
        <v>766</v>
      </c>
      <c r="Z246" s="6" t="s">
        <v>767</v>
      </c>
      <c r="AA246" s="6" t="s">
        <v>1048</v>
      </c>
      <c r="AB246" s="6" t="s">
        <v>768</v>
      </c>
    </row>
    <row r="247" spans="1:28" x14ac:dyDescent="0.25">
      <c r="A247" t="s">
        <v>1045</v>
      </c>
      <c r="B247" t="s">
        <v>757</v>
      </c>
      <c r="C247">
        <v>0</v>
      </c>
      <c r="D247" t="s">
        <v>1259</v>
      </c>
      <c r="E247" t="s">
        <v>31</v>
      </c>
      <c r="F247" t="s">
        <v>1260</v>
      </c>
      <c r="G247" t="s">
        <v>760</v>
      </c>
      <c r="H247" t="s">
        <v>761</v>
      </c>
      <c r="I247" t="s">
        <v>762</v>
      </c>
      <c r="J247" t="s">
        <v>763</v>
      </c>
      <c r="K247">
        <v>27.49</v>
      </c>
      <c r="L247">
        <v>27.49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 s="6" t="s">
        <v>764</v>
      </c>
      <c r="X247" s="6" t="s">
        <v>765</v>
      </c>
      <c r="Y247" s="6" t="s">
        <v>766</v>
      </c>
      <c r="Z247" s="6" t="s">
        <v>767</v>
      </c>
      <c r="AA247" s="6" t="s">
        <v>1048</v>
      </c>
      <c r="AB247" s="6" t="s">
        <v>768</v>
      </c>
    </row>
    <row r="248" spans="1:28" x14ac:dyDescent="0.25">
      <c r="A248" t="s">
        <v>1045</v>
      </c>
      <c r="B248" t="s">
        <v>757</v>
      </c>
      <c r="C248">
        <v>0</v>
      </c>
      <c r="D248" t="s">
        <v>1261</v>
      </c>
      <c r="E248" t="s">
        <v>31</v>
      </c>
      <c r="F248" t="s">
        <v>1262</v>
      </c>
      <c r="G248" t="s">
        <v>760</v>
      </c>
      <c r="H248" t="s">
        <v>761</v>
      </c>
      <c r="I248" t="s">
        <v>762</v>
      </c>
      <c r="J248" t="s">
        <v>763</v>
      </c>
      <c r="K248">
        <v>27.49</v>
      </c>
      <c r="L248">
        <v>27.49</v>
      </c>
      <c r="M248">
        <v>27.49</v>
      </c>
      <c r="N248">
        <v>27.49</v>
      </c>
      <c r="O248">
        <v>27.49</v>
      </c>
      <c r="P248">
        <v>27.49</v>
      </c>
      <c r="Q248">
        <v>27.49</v>
      </c>
      <c r="R248">
        <v>27.49</v>
      </c>
      <c r="S248">
        <v>27.49</v>
      </c>
      <c r="T248">
        <v>27.49</v>
      </c>
      <c r="U248">
        <v>27.49</v>
      </c>
      <c r="V248">
        <v>27.49</v>
      </c>
      <c r="W248" s="6" t="s">
        <v>764</v>
      </c>
      <c r="X248" s="6" t="s">
        <v>765</v>
      </c>
      <c r="Y248" s="6" t="s">
        <v>766</v>
      </c>
      <c r="Z248" s="6" t="s">
        <v>767</v>
      </c>
      <c r="AA248" s="6" t="s">
        <v>1048</v>
      </c>
      <c r="AB248" s="6" t="s">
        <v>768</v>
      </c>
    </row>
    <row r="249" spans="1:28" x14ac:dyDescent="0.25">
      <c r="A249" t="s">
        <v>1045</v>
      </c>
      <c r="B249" t="s">
        <v>757</v>
      </c>
      <c r="C249">
        <v>0</v>
      </c>
      <c r="D249" t="s">
        <v>1263</v>
      </c>
      <c r="E249" t="s">
        <v>31</v>
      </c>
      <c r="F249" t="s">
        <v>1264</v>
      </c>
      <c r="G249" t="s">
        <v>760</v>
      </c>
      <c r="H249" t="s">
        <v>761</v>
      </c>
      <c r="I249" t="s">
        <v>762</v>
      </c>
      <c r="J249" t="s">
        <v>763</v>
      </c>
      <c r="K249">
        <v>27.49</v>
      </c>
      <c r="L249">
        <v>27.49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 s="6" t="s">
        <v>764</v>
      </c>
      <c r="X249" s="6" t="s">
        <v>765</v>
      </c>
      <c r="Y249" s="6" t="s">
        <v>766</v>
      </c>
      <c r="Z249" s="6" t="s">
        <v>767</v>
      </c>
      <c r="AA249" s="6" t="s">
        <v>1048</v>
      </c>
      <c r="AB249" s="6" t="s">
        <v>768</v>
      </c>
    </row>
    <row r="250" spans="1:28" x14ac:dyDescent="0.25">
      <c r="A250" t="s">
        <v>1045</v>
      </c>
      <c r="B250" t="s">
        <v>757</v>
      </c>
      <c r="C250">
        <v>0</v>
      </c>
      <c r="D250" t="s">
        <v>1265</v>
      </c>
      <c r="E250" t="s">
        <v>31</v>
      </c>
      <c r="F250" t="s">
        <v>1266</v>
      </c>
      <c r="G250" t="s">
        <v>760</v>
      </c>
      <c r="H250" t="s">
        <v>761</v>
      </c>
      <c r="I250" t="s">
        <v>762</v>
      </c>
      <c r="J250" t="s">
        <v>763</v>
      </c>
      <c r="K250">
        <v>27.49</v>
      </c>
      <c r="L250">
        <v>27.49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 s="6" t="s">
        <v>764</v>
      </c>
      <c r="X250" s="6" t="s">
        <v>765</v>
      </c>
      <c r="Y250" s="6" t="s">
        <v>766</v>
      </c>
      <c r="Z250" s="6" t="s">
        <v>767</v>
      </c>
      <c r="AA250" s="6" t="s">
        <v>1048</v>
      </c>
      <c r="AB250" s="6" t="s">
        <v>768</v>
      </c>
    </row>
    <row r="251" spans="1:28" x14ac:dyDescent="0.25">
      <c r="A251" t="s">
        <v>1045</v>
      </c>
      <c r="B251" t="s">
        <v>757</v>
      </c>
      <c r="C251">
        <v>0</v>
      </c>
      <c r="D251" t="s">
        <v>1267</v>
      </c>
      <c r="E251" t="s">
        <v>31</v>
      </c>
      <c r="F251" t="s">
        <v>1268</v>
      </c>
      <c r="G251" t="s">
        <v>760</v>
      </c>
      <c r="H251" t="s">
        <v>761</v>
      </c>
      <c r="I251" t="s">
        <v>762</v>
      </c>
      <c r="J251" t="s">
        <v>763</v>
      </c>
      <c r="K251">
        <v>27.49</v>
      </c>
      <c r="L251">
        <v>27.49</v>
      </c>
      <c r="M251">
        <v>27.49</v>
      </c>
      <c r="N251">
        <v>27.49</v>
      </c>
      <c r="O251">
        <v>27.49</v>
      </c>
      <c r="P251">
        <v>27.49</v>
      </c>
      <c r="Q251">
        <v>27.49</v>
      </c>
      <c r="R251">
        <v>27.49</v>
      </c>
      <c r="S251">
        <v>27.49</v>
      </c>
      <c r="T251">
        <v>27.49</v>
      </c>
      <c r="U251">
        <v>27.49</v>
      </c>
      <c r="V251">
        <v>27.49</v>
      </c>
      <c r="W251" s="6" t="s">
        <v>764</v>
      </c>
      <c r="X251" s="6" t="s">
        <v>765</v>
      </c>
      <c r="Y251" s="6" t="s">
        <v>766</v>
      </c>
      <c r="Z251" s="6" t="s">
        <v>767</v>
      </c>
      <c r="AA251" s="6" t="s">
        <v>1048</v>
      </c>
      <c r="AB251" s="6" t="s">
        <v>768</v>
      </c>
    </row>
    <row r="252" spans="1:28" x14ac:dyDescent="0.25">
      <c r="A252" t="s">
        <v>1045</v>
      </c>
      <c r="B252" t="s">
        <v>757</v>
      </c>
      <c r="C252">
        <v>0</v>
      </c>
      <c r="D252" t="s">
        <v>1269</v>
      </c>
      <c r="E252" t="s">
        <v>31</v>
      </c>
      <c r="F252" t="s">
        <v>1270</v>
      </c>
      <c r="G252" t="s">
        <v>760</v>
      </c>
      <c r="H252" t="s">
        <v>761</v>
      </c>
      <c r="I252" t="s">
        <v>762</v>
      </c>
      <c r="J252" t="s">
        <v>763</v>
      </c>
      <c r="K252">
        <v>27.49</v>
      </c>
      <c r="L252">
        <v>27.49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 s="6" t="s">
        <v>764</v>
      </c>
      <c r="X252" s="6" t="s">
        <v>765</v>
      </c>
      <c r="Y252" s="6" t="s">
        <v>766</v>
      </c>
      <c r="Z252" s="6" t="s">
        <v>767</v>
      </c>
      <c r="AA252" s="6" t="s">
        <v>1048</v>
      </c>
      <c r="AB252" s="6" t="s">
        <v>768</v>
      </c>
    </row>
    <row r="253" spans="1:28" x14ac:dyDescent="0.25">
      <c r="A253" t="s">
        <v>1045</v>
      </c>
      <c r="B253" t="s">
        <v>757</v>
      </c>
      <c r="C253">
        <v>0</v>
      </c>
      <c r="D253" t="s">
        <v>1271</v>
      </c>
      <c r="E253" t="s">
        <v>31</v>
      </c>
      <c r="F253" t="s">
        <v>1272</v>
      </c>
      <c r="G253" t="s">
        <v>760</v>
      </c>
      <c r="H253" t="s">
        <v>761</v>
      </c>
      <c r="I253" t="s">
        <v>762</v>
      </c>
      <c r="J253" t="s">
        <v>763</v>
      </c>
      <c r="K253">
        <v>27.49</v>
      </c>
      <c r="L253">
        <v>27.49</v>
      </c>
      <c r="M253">
        <v>27.49</v>
      </c>
      <c r="N253">
        <v>27.49</v>
      </c>
      <c r="O253">
        <v>27.49</v>
      </c>
      <c r="P253">
        <v>27.49</v>
      </c>
      <c r="Q253">
        <v>27.49</v>
      </c>
      <c r="R253">
        <v>27.49</v>
      </c>
      <c r="S253">
        <v>27.49</v>
      </c>
      <c r="T253">
        <v>27.49</v>
      </c>
      <c r="U253">
        <v>27.49</v>
      </c>
      <c r="V253">
        <v>27.49</v>
      </c>
      <c r="W253" s="6" t="s">
        <v>764</v>
      </c>
      <c r="X253" s="6" t="s">
        <v>765</v>
      </c>
      <c r="Y253" s="6" t="s">
        <v>766</v>
      </c>
      <c r="Z253" s="6" t="s">
        <v>767</v>
      </c>
      <c r="AA253" s="6" t="s">
        <v>1048</v>
      </c>
      <c r="AB253" s="6" t="s">
        <v>768</v>
      </c>
    </row>
    <row r="254" spans="1:28" x14ac:dyDescent="0.25">
      <c r="A254" t="s">
        <v>1045</v>
      </c>
      <c r="B254" t="s">
        <v>757</v>
      </c>
      <c r="C254">
        <v>0</v>
      </c>
      <c r="D254" t="s">
        <v>1273</v>
      </c>
      <c r="E254" t="s">
        <v>31</v>
      </c>
      <c r="F254" t="s">
        <v>1274</v>
      </c>
      <c r="G254" t="s">
        <v>760</v>
      </c>
      <c r="H254" t="s">
        <v>761</v>
      </c>
      <c r="I254" t="s">
        <v>762</v>
      </c>
      <c r="J254" t="s">
        <v>763</v>
      </c>
      <c r="K254">
        <v>27.49</v>
      </c>
      <c r="L254">
        <v>27.49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 s="6" t="s">
        <v>764</v>
      </c>
      <c r="X254" s="6" t="s">
        <v>765</v>
      </c>
      <c r="Y254" s="6" t="s">
        <v>766</v>
      </c>
      <c r="Z254" s="6" t="s">
        <v>767</v>
      </c>
      <c r="AA254" s="6" t="s">
        <v>1048</v>
      </c>
      <c r="AB254" s="6" t="s">
        <v>768</v>
      </c>
    </row>
    <row r="255" spans="1:28" x14ac:dyDescent="0.25">
      <c r="A255" t="s">
        <v>1045</v>
      </c>
      <c r="B255" t="s">
        <v>757</v>
      </c>
      <c r="C255">
        <v>0</v>
      </c>
      <c r="D255" t="s">
        <v>1275</v>
      </c>
      <c r="E255" t="s">
        <v>31</v>
      </c>
      <c r="F255" t="s">
        <v>1276</v>
      </c>
      <c r="G255" t="s">
        <v>760</v>
      </c>
      <c r="H255" t="s">
        <v>761</v>
      </c>
      <c r="I255" t="s">
        <v>762</v>
      </c>
      <c r="J255" t="s">
        <v>763</v>
      </c>
      <c r="K255">
        <v>27.49</v>
      </c>
      <c r="L255">
        <v>27.49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 s="6" t="s">
        <v>764</v>
      </c>
      <c r="X255" s="6" t="s">
        <v>765</v>
      </c>
      <c r="Y255" s="6" t="s">
        <v>766</v>
      </c>
      <c r="Z255" s="6" t="s">
        <v>767</v>
      </c>
      <c r="AA255" s="6" t="s">
        <v>1048</v>
      </c>
      <c r="AB255" s="6" t="s">
        <v>768</v>
      </c>
    </row>
    <row r="256" spans="1:28" x14ac:dyDescent="0.25">
      <c r="A256" t="s">
        <v>1045</v>
      </c>
      <c r="B256" t="s">
        <v>757</v>
      </c>
      <c r="C256">
        <v>0</v>
      </c>
      <c r="D256" t="s">
        <v>1277</v>
      </c>
      <c r="E256" t="s">
        <v>31</v>
      </c>
      <c r="F256" t="s">
        <v>1278</v>
      </c>
      <c r="G256" t="s">
        <v>760</v>
      </c>
      <c r="H256" t="s">
        <v>761</v>
      </c>
      <c r="I256" t="s">
        <v>762</v>
      </c>
      <c r="J256" t="s">
        <v>763</v>
      </c>
      <c r="K256">
        <v>27.49</v>
      </c>
      <c r="L256">
        <v>27.49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 s="6" t="s">
        <v>764</v>
      </c>
      <c r="X256" s="6" t="s">
        <v>765</v>
      </c>
      <c r="Y256" s="6" t="s">
        <v>766</v>
      </c>
      <c r="Z256" s="6" t="s">
        <v>767</v>
      </c>
      <c r="AA256" s="6" t="s">
        <v>1048</v>
      </c>
      <c r="AB256" s="6" t="s">
        <v>768</v>
      </c>
    </row>
    <row r="257" spans="1:28" x14ac:dyDescent="0.25">
      <c r="A257" t="s">
        <v>1045</v>
      </c>
      <c r="B257" t="s">
        <v>757</v>
      </c>
      <c r="C257">
        <v>0</v>
      </c>
      <c r="D257" t="s">
        <v>1279</v>
      </c>
      <c r="E257" t="s">
        <v>31</v>
      </c>
      <c r="F257" t="s">
        <v>1280</v>
      </c>
      <c r="G257" t="s">
        <v>760</v>
      </c>
      <c r="H257" t="s">
        <v>761</v>
      </c>
      <c r="I257" t="s">
        <v>762</v>
      </c>
      <c r="J257" t="s">
        <v>763</v>
      </c>
      <c r="K257">
        <v>27.49</v>
      </c>
      <c r="L257">
        <v>27.49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 s="6" t="s">
        <v>764</v>
      </c>
      <c r="X257" s="6" t="s">
        <v>765</v>
      </c>
      <c r="Y257" s="6" t="s">
        <v>766</v>
      </c>
      <c r="Z257" s="6" t="s">
        <v>767</v>
      </c>
      <c r="AA257" s="6" t="s">
        <v>1048</v>
      </c>
      <c r="AB257" s="6" t="s">
        <v>768</v>
      </c>
    </row>
    <row r="258" spans="1:28" x14ac:dyDescent="0.25">
      <c r="A258" t="s">
        <v>1045</v>
      </c>
      <c r="B258" t="s">
        <v>757</v>
      </c>
      <c r="C258">
        <v>0</v>
      </c>
      <c r="D258" t="s">
        <v>1281</v>
      </c>
      <c r="E258" t="s">
        <v>31</v>
      </c>
      <c r="F258" t="s">
        <v>1282</v>
      </c>
      <c r="G258" t="s">
        <v>760</v>
      </c>
      <c r="H258" t="s">
        <v>761</v>
      </c>
      <c r="I258" t="s">
        <v>762</v>
      </c>
      <c r="J258" t="s">
        <v>763</v>
      </c>
      <c r="K258">
        <v>27.49</v>
      </c>
      <c r="L258">
        <v>27.49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 s="6" t="s">
        <v>764</v>
      </c>
      <c r="X258" s="6" t="s">
        <v>765</v>
      </c>
      <c r="Y258" s="6" t="s">
        <v>766</v>
      </c>
      <c r="Z258" s="6" t="s">
        <v>767</v>
      </c>
      <c r="AA258" s="6" t="s">
        <v>1048</v>
      </c>
      <c r="AB258" s="6" t="s">
        <v>768</v>
      </c>
    </row>
    <row r="259" spans="1:28" x14ac:dyDescent="0.25">
      <c r="A259" t="s">
        <v>1045</v>
      </c>
      <c r="B259" t="s">
        <v>757</v>
      </c>
      <c r="C259">
        <v>0</v>
      </c>
      <c r="D259" t="s">
        <v>1283</v>
      </c>
      <c r="E259" t="s">
        <v>31</v>
      </c>
      <c r="F259" t="s">
        <v>1284</v>
      </c>
      <c r="G259" t="s">
        <v>760</v>
      </c>
      <c r="H259" t="s">
        <v>761</v>
      </c>
      <c r="I259" t="s">
        <v>762</v>
      </c>
      <c r="J259" t="s">
        <v>763</v>
      </c>
      <c r="K259">
        <v>27.49</v>
      </c>
      <c r="L259">
        <v>27.49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 s="6" t="s">
        <v>764</v>
      </c>
      <c r="X259" s="6" t="s">
        <v>765</v>
      </c>
      <c r="Y259" s="6" t="s">
        <v>766</v>
      </c>
      <c r="Z259" s="6" t="s">
        <v>767</v>
      </c>
      <c r="AA259" s="6" t="s">
        <v>1048</v>
      </c>
      <c r="AB259" s="6" t="s">
        <v>768</v>
      </c>
    </row>
    <row r="260" spans="1:28" x14ac:dyDescent="0.25">
      <c r="A260" t="s">
        <v>1045</v>
      </c>
      <c r="B260" t="s">
        <v>757</v>
      </c>
      <c r="C260">
        <v>0</v>
      </c>
      <c r="D260" t="s">
        <v>1285</v>
      </c>
      <c r="E260" t="s">
        <v>31</v>
      </c>
      <c r="F260" t="s">
        <v>1286</v>
      </c>
      <c r="G260" t="s">
        <v>760</v>
      </c>
      <c r="H260" t="s">
        <v>761</v>
      </c>
      <c r="I260" t="s">
        <v>762</v>
      </c>
      <c r="J260" t="s">
        <v>763</v>
      </c>
      <c r="K260">
        <v>27.49</v>
      </c>
      <c r="L260">
        <v>27.49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 s="6" t="s">
        <v>764</v>
      </c>
      <c r="X260" s="6" t="s">
        <v>765</v>
      </c>
      <c r="Y260" s="6" t="s">
        <v>766</v>
      </c>
      <c r="Z260" s="6" t="s">
        <v>767</v>
      </c>
      <c r="AA260" s="6" t="s">
        <v>1048</v>
      </c>
      <c r="AB260" s="6" t="s">
        <v>768</v>
      </c>
    </row>
    <row r="261" spans="1:28" x14ac:dyDescent="0.25">
      <c r="A261" t="s">
        <v>1045</v>
      </c>
      <c r="B261" t="s">
        <v>757</v>
      </c>
      <c r="C261">
        <v>0</v>
      </c>
      <c r="D261" t="s">
        <v>1287</v>
      </c>
      <c r="E261" t="s">
        <v>31</v>
      </c>
      <c r="F261" t="s">
        <v>1288</v>
      </c>
      <c r="G261" t="s">
        <v>760</v>
      </c>
      <c r="H261" t="s">
        <v>761</v>
      </c>
      <c r="I261" t="s">
        <v>762</v>
      </c>
      <c r="J261" t="s">
        <v>763</v>
      </c>
      <c r="K261">
        <v>27.49</v>
      </c>
      <c r="L261">
        <v>27.49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 s="6" t="s">
        <v>764</v>
      </c>
      <c r="X261" s="6" t="s">
        <v>765</v>
      </c>
      <c r="Y261" s="6" t="s">
        <v>766</v>
      </c>
      <c r="Z261" s="6" t="s">
        <v>767</v>
      </c>
      <c r="AA261" s="6" t="s">
        <v>1048</v>
      </c>
      <c r="AB261" s="6" t="s">
        <v>768</v>
      </c>
    </row>
    <row r="262" spans="1:28" x14ac:dyDescent="0.25">
      <c r="A262" t="s">
        <v>1045</v>
      </c>
      <c r="B262" t="s">
        <v>757</v>
      </c>
      <c r="C262">
        <v>0</v>
      </c>
      <c r="D262" t="s">
        <v>1289</v>
      </c>
      <c r="E262" t="s">
        <v>31</v>
      </c>
      <c r="F262" t="s">
        <v>1290</v>
      </c>
      <c r="G262" t="s">
        <v>760</v>
      </c>
      <c r="H262" t="s">
        <v>761</v>
      </c>
      <c r="I262" t="s">
        <v>762</v>
      </c>
      <c r="J262" t="s">
        <v>763</v>
      </c>
      <c r="K262">
        <v>27.49</v>
      </c>
      <c r="L262">
        <v>27.49</v>
      </c>
      <c r="M262">
        <v>27.49</v>
      </c>
      <c r="N262">
        <v>27.49</v>
      </c>
      <c r="O262">
        <v>27.49</v>
      </c>
      <c r="P262">
        <v>27.49</v>
      </c>
      <c r="Q262">
        <v>27.49</v>
      </c>
      <c r="R262">
        <v>27.49</v>
      </c>
      <c r="S262">
        <v>27.49</v>
      </c>
      <c r="T262">
        <v>27.49</v>
      </c>
      <c r="U262">
        <v>27.49</v>
      </c>
      <c r="V262">
        <v>27.49</v>
      </c>
      <c r="W262" s="6" t="s">
        <v>764</v>
      </c>
      <c r="X262" s="6" t="s">
        <v>765</v>
      </c>
      <c r="Y262" s="6" t="s">
        <v>766</v>
      </c>
      <c r="Z262" s="6" t="s">
        <v>767</v>
      </c>
      <c r="AA262" s="6" t="s">
        <v>1048</v>
      </c>
      <c r="AB262" s="6" t="s">
        <v>768</v>
      </c>
    </row>
    <row r="263" spans="1:28" x14ac:dyDescent="0.25">
      <c r="A263" t="s">
        <v>1045</v>
      </c>
      <c r="B263" t="s">
        <v>757</v>
      </c>
      <c r="C263">
        <v>0</v>
      </c>
      <c r="D263" t="s">
        <v>1291</v>
      </c>
      <c r="E263" t="s">
        <v>31</v>
      </c>
      <c r="F263" t="s">
        <v>1292</v>
      </c>
      <c r="G263" t="s">
        <v>760</v>
      </c>
      <c r="H263" t="s">
        <v>761</v>
      </c>
      <c r="I263" t="s">
        <v>762</v>
      </c>
      <c r="J263" t="s">
        <v>763</v>
      </c>
      <c r="K263">
        <v>27.49</v>
      </c>
      <c r="L263">
        <v>27.49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 s="6" t="s">
        <v>764</v>
      </c>
      <c r="X263" s="6" t="s">
        <v>765</v>
      </c>
      <c r="Y263" s="6" t="s">
        <v>766</v>
      </c>
      <c r="Z263" s="6" t="s">
        <v>767</v>
      </c>
      <c r="AA263" s="6" t="s">
        <v>1048</v>
      </c>
      <c r="AB263" s="6" t="s">
        <v>768</v>
      </c>
    </row>
    <row r="264" spans="1:28" x14ac:dyDescent="0.25">
      <c r="A264" t="s">
        <v>1045</v>
      </c>
      <c r="B264" t="s">
        <v>757</v>
      </c>
      <c r="C264">
        <v>0</v>
      </c>
      <c r="D264" t="s">
        <v>1293</v>
      </c>
      <c r="E264" t="s">
        <v>31</v>
      </c>
      <c r="F264" t="s">
        <v>1294</v>
      </c>
      <c r="G264" t="s">
        <v>760</v>
      </c>
      <c r="H264" t="s">
        <v>761</v>
      </c>
      <c r="I264" t="s">
        <v>762</v>
      </c>
      <c r="J264" t="s">
        <v>763</v>
      </c>
      <c r="K264">
        <v>27.49</v>
      </c>
      <c r="L264">
        <v>27.49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 s="6" t="s">
        <v>764</v>
      </c>
      <c r="X264" s="6" t="s">
        <v>765</v>
      </c>
      <c r="Y264" s="6" t="s">
        <v>766</v>
      </c>
      <c r="Z264" s="6" t="s">
        <v>767</v>
      </c>
      <c r="AA264" s="6" t="s">
        <v>1048</v>
      </c>
      <c r="AB264" s="6" t="s">
        <v>768</v>
      </c>
    </row>
    <row r="265" spans="1:28" x14ac:dyDescent="0.25">
      <c r="A265" t="s">
        <v>1045</v>
      </c>
      <c r="B265" t="s">
        <v>757</v>
      </c>
      <c r="C265">
        <v>0</v>
      </c>
      <c r="D265" t="s">
        <v>1295</v>
      </c>
      <c r="E265" t="s">
        <v>31</v>
      </c>
      <c r="F265" t="s">
        <v>1296</v>
      </c>
      <c r="G265" t="s">
        <v>760</v>
      </c>
      <c r="H265" t="s">
        <v>761</v>
      </c>
      <c r="I265" t="s">
        <v>762</v>
      </c>
      <c r="J265" t="s">
        <v>763</v>
      </c>
      <c r="K265">
        <v>27.49</v>
      </c>
      <c r="L265">
        <v>27.49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 s="6" t="s">
        <v>764</v>
      </c>
      <c r="X265" s="6" t="s">
        <v>765</v>
      </c>
      <c r="Y265" s="6" t="s">
        <v>766</v>
      </c>
      <c r="Z265" s="6" t="s">
        <v>767</v>
      </c>
      <c r="AA265" s="6" t="s">
        <v>1048</v>
      </c>
      <c r="AB265" s="6" t="s">
        <v>768</v>
      </c>
    </row>
    <row r="266" spans="1:28" x14ac:dyDescent="0.25">
      <c r="A266" t="s">
        <v>1045</v>
      </c>
      <c r="B266" t="s">
        <v>757</v>
      </c>
      <c r="C266">
        <v>0</v>
      </c>
      <c r="D266" t="s">
        <v>1297</v>
      </c>
      <c r="E266" t="s">
        <v>31</v>
      </c>
      <c r="F266" t="s">
        <v>1298</v>
      </c>
      <c r="G266" t="s">
        <v>760</v>
      </c>
      <c r="H266" t="s">
        <v>761</v>
      </c>
      <c r="I266" t="s">
        <v>762</v>
      </c>
      <c r="J266" t="s">
        <v>763</v>
      </c>
      <c r="K266">
        <v>27.49</v>
      </c>
      <c r="L266">
        <v>27.49</v>
      </c>
      <c r="M266">
        <v>27.49</v>
      </c>
      <c r="N266">
        <v>27.49</v>
      </c>
      <c r="O266">
        <v>27.49</v>
      </c>
      <c r="P266">
        <v>27.49</v>
      </c>
      <c r="Q266">
        <v>27.49</v>
      </c>
      <c r="R266">
        <v>27.49</v>
      </c>
      <c r="S266">
        <v>27.49</v>
      </c>
      <c r="T266">
        <v>27.49</v>
      </c>
      <c r="U266">
        <v>27.49</v>
      </c>
      <c r="V266">
        <v>27.49</v>
      </c>
      <c r="W266" s="6" t="s">
        <v>764</v>
      </c>
      <c r="X266" s="6" t="s">
        <v>765</v>
      </c>
      <c r="Y266" s="6" t="s">
        <v>766</v>
      </c>
      <c r="Z266" s="6" t="s">
        <v>767</v>
      </c>
      <c r="AA266" s="6" t="s">
        <v>1048</v>
      </c>
      <c r="AB266" s="6" t="s">
        <v>768</v>
      </c>
    </row>
    <row r="267" spans="1:28" x14ac:dyDescent="0.25">
      <c r="A267" t="s">
        <v>1045</v>
      </c>
      <c r="B267" t="s">
        <v>757</v>
      </c>
      <c r="C267">
        <v>0</v>
      </c>
      <c r="D267" t="s">
        <v>1299</v>
      </c>
      <c r="E267" t="s">
        <v>31</v>
      </c>
      <c r="F267" t="s">
        <v>1300</v>
      </c>
      <c r="G267" t="s">
        <v>760</v>
      </c>
      <c r="H267" t="s">
        <v>761</v>
      </c>
      <c r="I267" t="s">
        <v>762</v>
      </c>
      <c r="J267" t="s">
        <v>763</v>
      </c>
      <c r="K267">
        <v>27.49</v>
      </c>
      <c r="L267">
        <v>27.49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 s="6" t="s">
        <v>764</v>
      </c>
      <c r="X267" s="6" t="s">
        <v>765</v>
      </c>
      <c r="Y267" s="6" t="s">
        <v>766</v>
      </c>
      <c r="Z267" s="6" t="s">
        <v>767</v>
      </c>
      <c r="AA267" s="6" t="s">
        <v>1048</v>
      </c>
      <c r="AB267" s="6" t="s">
        <v>768</v>
      </c>
    </row>
    <row r="268" spans="1:28" x14ac:dyDescent="0.25">
      <c r="A268" t="s">
        <v>1045</v>
      </c>
      <c r="B268" t="s">
        <v>757</v>
      </c>
      <c r="C268">
        <v>0</v>
      </c>
      <c r="D268" t="s">
        <v>1301</v>
      </c>
      <c r="E268" t="s">
        <v>31</v>
      </c>
      <c r="F268" t="s">
        <v>1302</v>
      </c>
      <c r="G268" t="s">
        <v>760</v>
      </c>
      <c r="H268" t="s">
        <v>761</v>
      </c>
      <c r="I268" t="s">
        <v>762</v>
      </c>
      <c r="J268" t="s">
        <v>763</v>
      </c>
      <c r="K268">
        <v>27.49</v>
      </c>
      <c r="L268">
        <v>27.49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 s="6" t="s">
        <v>764</v>
      </c>
      <c r="X268" s="6" t="s">
        <v>765</v>
      </c>
      <c r="Y268" s="6" t="s">
        <v>766</v>
      </c>
      <c r="Z268" s="6" t="s">
        <v>767</v>
      </c>
      <c r="AA268" s="6" t="s">
        <v>1048</v>
      </c>
      <c r="AB268" s="6" t="s">
        <v>768</v>
      </c>
    </row>
    <row r="269" spans="1:28" x14ac:dyDescent="0.25">
      <c r="A269" t="s">
        <v>1045</v>
      </c>
      <c r="B269" t="s">
        <v>757</v>
      </c>
      <c r="C269">
        <v>0</v>
      </c>
      <c r="D269" t="s">
        <v>1303</v>
      </c>
      <c r="E269" t="s">
        <v>31</v>
      </c>
      <c r="F269" t="s">
        <v>1304</v>
      </c>
      <c r="G269" t="s">
        <v>760</v>
      </c>
      <c r="H269" t="s">
        <v>761</v>
      </c>
      <c r="I269" t="s">
        <v>762</v>
      </c>
      <c r="J269" t="s">
        <v>763</v>
      </c>
      <c r="K269">
        <v>27.49</v>
      </c>
      <c r="L269">
        <v>27.49</v>
      </c>
      <c r="M269">
        <v>27.49</v>
      </c>
      <c r="N269">
        <v>27.49</v>
      </c>
      <c r="O269">
        <v>27.49</v>
      </c>
      <c r="P269">
        <v>27.49</v>
      </c>
      <c r="Q269">
        <v>27.49</v>
      </c>
      <c r="R269">
        <v>27.49</v>
      </c>
      <c r="S269">
        <v>27.49</v>
      </c>
      <c r="T269">
        <v>27.49</v>
      </c>
      <c r="U269">
        <v>27.49</v>
      </c>
      <c r="V269">
        <v>27.49</v>
      </c>
      <c r="W269" s="6" t="s">
        <v>764</v>
      </c>
      <c r="X269" s="6" t="s">
        <v>765</v>
      </c>
      <c r="Y269" s="6" t="s">
        <v>766</v>
      </c>
      <c r="Z269" s="6" t="s">
        <v>767</v>
      </c>
      <c r="AA269" s="6" t="s">
        <v>1048</v>
      </c>
      <c r="AB269" s="6" t="s">
        <v>768</v>
      </c>
    </row>
    <row r="270" spans="1:28" x14ac:dyDescent="0.25">
      <c r="A270" t="s">
        <v>1045</v>
      </c>
      <c r="B270" t="s">
        <v>757</v>
      </c>
      <c r="C270">
        <v>0</v>
      </c>
      <c r="D270" t="s">
        <v>1305</v>
      </c>
      <c r="E270" t="s">
        <v>31</v>
      </c>
      <c r="F270" t="s">
        <v>1306</v>
      </c>
      <c r="G270" t="s">
        <v>760</v>
      </c>
      <c r="H270" t="s">
        <v>761</v>
      </c>
      <c r="I270" t="s">
        <v>762</v>
      </c>
      <c r="J270" t="s">
        <v>763</v>
      </c>
      <c r="K270">
        <v>27.49</v>
      </c>
      <c r="L270">
        <v>27.49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 s="6" t="s">
        <v>764</v>
      </c>
      <c r="X270" s="6" t="s">
        <v>765</v>
      </c>
      <c r="Y270" s="6" t="s">
        <v>766</v>
      </c>
      <c r="Z270" s="6" t="s">
        <v>767</v>
      </c>
      <c r="AA270" s="6" t="s">
        <v>1048</v>
      </c>
      <c r="AB270" s="6" t="s">
        <v>768</v>
      </c>
    </row>
    <row r="271" spans="1:28" x14ac:dyDescent="0.25">
      <c r="A271" t="s">
        <v>1045</v>
      </c>
      <c r="B271" t="s">
        <v>757</v>
      </c>
      <c r="C271">
        <v>0</v>
      </c>
      <c r="D271" t="s">
        <v>1307</v>
      </c>
      <c r="E271" t="s">
        <v>31</v>
      </c>
      <c r="F271" t="s">
        <v>1308</v>
      </c>
      <c r="G271" t="s">
        <v>760</v>
      </c>
      <c r="H271" t="s">
        <v>761</v>
      </c>
      <c r="I271" t="s">
        <v>762</v>
      </c>
      <c r="J271" t="s">
        <v>763</v>
      </c>
      <c r="K271">
        <v>27.49</v>
      </c>
      <c r="L271">
        <v>27.49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 s="6" t="s">
        <v>764</v>
      </c>
      <c r="X271" s="6" t="s">
        <v>765</v>
      </c>
      <c r="Y271" s="6" t="s">
        <v>766</v>
      </c>
      <c r="Z271" s="6" t="s">
        <v>767</v>
      </c>
      <c r="AA271" s="6" t="s">
        <v>1048</v>
      </c>
      <c r="AB271" s="6" t="s">
        <v>768</v>
      </c>
    </row>
    <row r="272" spans="1:28" x14ac:dyDescent="0.25">
      <c r="A272" t="s">
        <v>1045</v>
      </c>
      <c r="B272" t="s">
        <v>757</v>
      </c>
      <c r="C272">
        <v>0</v>
      </c>
      <c r="D272" t="s">
        <v>1309</v>
      </c>
      <c r="E272" t="s">
        <v>31</v>
      </c>
      <c r="F272" t="s">
        <v>1310</v>
      </c>
      <c r="G272" t="s">
        <v>760</v>
      </c>
      <c r="H272" t="s">
        <v>761</v>
      </c>
      <c r="I272" t="s">
        <v>762</v>
      </c>
      <c r="J272" t="s">
        <v>763</v>
      </c>
      <c r="K272">
        <v>27.49</v>
      </c>
      <c r="L272">
        <v>27.49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 s="6" t="s">
        <v>764</v>
      </c>
      <c r="X272" s="6" t="s">
        <v>765</v>
      </c>
      <c r="Y272" s="6" t="s">
        <v>766</v>
      </c>
      <c r="Z272" s="6" t="s">
        <v>767</v>
      </c>
      <c r="AA272" s="6" t="s">
        <v>1048</v>
      </c>
      <c r="AB272" s="6" t="s">
        <v>768</v>
      </c>
    </row>
    <row r="273" spans="1:28" x14ac:dyDescent="0.25">
      <c r="A273" t="s">
        <v>1045</v>
      </c>
      <c r="B273" t="s">
        <v>757</v>
      </c>
      <c r="C273">
        <v>0</v>
      </c>
      <c r="D273" t="s">
        <v>1311</v>
      </c>
      <c r="E273" t="s">
        <v>31</v>
      </c>
      <c r="F273" t="s">
        <v>1312</v>
      </c>
      <c r="G273" t="s">
        <v>760</v>
      </c>
      <c r="H273" t="s">
        <v>761</v>
      </c>
      <c r="I273" t="s">
        <v>762</v>
      </c>
      <c r="J273" t="s">
        <v>763</v>
      </c>
      <c r="K273">
        <v>27.49</v>
      </c>
      <c r="L273">
        <v>27.49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 s="6" t="s">
        <v>764</v>
      </c>
      <c r="X273" s="6" t="s">
        <v>765</v>
      </c>
      <c r="Y273" s="6" t="s">
        <v>766</v>
      </c>
      <c r="Z273" s="6" t="s">
        <v>767</v>
      </c>
      <c r="AA273" s="6" t="s">
        <v>1048</v>
      </c>
      <c r="AB273" s="6" t="s">
        <v>768</v>
      </c>
    </row>
    <row r="274" spans="1:28" x14ac:dyDescent="0.25">
      <c r="A274" t="s">
        <v>1045</v>
      </c>
      <c r="B274" t="s">
        <v>757</v>
      </c>
      <c r="C274">
        <v>0</v>
      </c>
      <c r="D274" t="s">
        <v>1313</v>
      </c>
      <c r="E274" t="s">
        <v>31</v>
      </c>
      <c r="F274" t="s">
        <v>1314</v>
      </c>
      <c r="G274" t="s">
        <v>760</v>
      </c>
      <c r="H274" t="s">
        <v>761</v>
      </c>
      <c r="I274" t="s">
        <v>762</v>
      </c>
      <c r="J274" t="s">
        <v>763</v>
      </c>
      <c r="K274">
        <v>27.49</v>
      </c>
      <c r="L274">
        <v>27.49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 s="6" t="s">
        <v>764</v>
      </c>
      <c r="X274" s="6" t="s">
        <v>765</v>
      </c>
      <c r="Y274" s="6" t="s">
        <v>766</v>
      </c>
      <c r="Z274" s="6" t="s">
        <v>767</v>
      </c>
      <c r="AA274" s="6" t="s">
        <v>1048</v>
      </c>
      <c r="AB274" s="6" t="s">
        <v>768</v>
      </c>
    </row>
    <row r="275" spans="1:28" x14ac:dyDescent="0.25">
      <c r="A275" t="s">
        <v>1045</v>
      </c>
      <c r="B275" t="s">
        <v>757</v>
      </c>
      <c r="C275">
        <v>0</v>
      </c>
      <c r="D275" t="s">
        <v>1315</v>
      </c>
      <c r="E275" t="s">
        <v>31</v>
      </c>
      <c r="F275" t="s">
        <v>1316</v>
      </c>
      <c r="G275" t="s">
        <v>760</v>
      </c>
      <c r="H275" t="s">
        <v>761</v>
      </c>
      <c r="I275" t="s">
        <v>762</v>
      </c>
      <c r="J275" t="s">
        <v>763</v>
      </c>
      <c r="K275">
        <v>27.49</v>
      </c>
      <c r="L275">
        <v>27.49</v>
      </c>
      <c r="M275">
        <v>27.49</v>
      </c>
      <c r="N275">
        <v>27.49</v>
      </c>
      <c r="O275">
        <v>27.49</v>
      </c>
      <c r="P275">
        <v>27.49</v>
      </c>
      <c r="Q275">
        <v>27.49</v>
      </c>
      <c r="R275">
        <v>27.49</v>
      </c>
      <c r="S275">
        <v>27.49</v>
      </c>
      <c r="T275">
        <v>27.49</v>
      </c>
      <c r="U275">
        <v>27.49</v>
      </c>
      <c r="V275">
        <v>27.49</v>
      </c>
      <c r="W275" s="6" t="s">
        <v>764</v>
      </c>
      <c r="X275" s="6" t="s">
        <v>765</v>
      </c>
      <c r="Y275" s="6" t="s">
        <v>766</v>
      </c>
      <c r="Z275" s="6" t="s">
        <v>767</v>
      </c>
      <c r="AA275" s="6" t="s">
        <v>1048</v>
      </c>
      <c r="AB275" s="6" t="s">
        <v>768</v>
      </c>
    </row>
    <row r="276" spans="1:28" x14ac:dyDescent="0.25">
      <c r="A276" t="s">
        <v>1045</v>
      </c>
      <c r="B276" t="s">
        <v>757</v>
      </c>
      <c r="C276">
        <v>0</v>
      </c>
      <c r="D276" t="s">
        <v>1317</v>
      </c>
      <c r="E276" t="s">
        <v>31</v>
      </c>
      <c r="F276" t="s">
        <v>1318</v>
      </c>
      <c r="G276" t="s">
        <v>760</v>
      </c>
      <c r="H276" t="s">
        <v>761</v>
      </c>
      <c r="I276" t="s">
        <v>762</v>
      </c>
      <c r="J276" t="s">
        <v>763</v>
      </c>
      <c r="K276">
        <v>27.49</v>
      </c>
      <c r="L276">
        <v>27.49</v>
      </c>
      <c r="M276">
        <v>27.49</v>
      </c>
      <c r="N276">
        <v>27.49</v>
      </c>
      <c r="O276">
        <v>27.49</v>
      </c>
      <c r="P276">
        <v>27.49</v>
      </c>
      <c r="Q276">
        <v>27.49</v>
      </c>
      <c r="R276">
        <v>27.49</v>
      </c>
      <c r="S276">
        <v>27.49</v>
      </c>
      <c r="T276">
        <v>27.49</v>
      </c>
      <c r="U276">
        <v>27.49</v>
      </c>
      <c r="V276">
        <v>27.49</v>
      </c>
      <c r="W276" s="6" t="s">
        <v>764</v>
      </c>
      <c r="X276" s="6" t="s">
        <v>765</v>
      </c>
      <c r="Y276" s="6" t="s">
        <v>766</v>
      </c>
      <c r="Z276" s="6" t="s">
        <v>767</v>
      </c>
      <c r="AA276" s="6" t="s">
        <v>1048</v>
      </c>
      <c r="AB276" s="6" t="s">
        <v>768</v>
      </c>
    </row>
    <row r="277" spans="1:28" x14ac:dyDescent="0.25">
      <c r="A277" t="s">
        <v>1045</v>
      </c>
      <c r="B277" t="s">
        <v>757</v>
      </c>
      <c r="C277">
        <v>0</v>
      </c>
      <c r="D277" t="s">
        <v>1319</v>
      </c>
      <c r="E277" t="s">
        <v>31</v>
      </c>
      <c r="F277" t="s">
        <v>1320</v>
      </c>
      <c r="G277" t="s">
        <v>760</v>
      </c>
      <c r="H277" t="s">
        <v>761</v>
      </c>
      <c r="I277" t="s">
        <v>762</v>
      </c>
      <c r="J277" t="s">
        <v>763</v>
      </c>
      <c r="K277">
        <v>27.49</v>
      </c>
      <c r="L277">
        <v>27.49</v>
      </c>
      <c r="M277">
        <v>27.49</v>
      </c>
      <c r="N277">
        <v>27.49</v>
      </c>
      <c r="O277">
        <v>27.49</v>
      </c>
      <c r="P277">
        <v>27.49</v>
      </c>
      <c r="Q277">
        <v>27.49</v>
      </c>
      <c r="R277">
        <v>27.49</v>
      </c>
      <c r="S277">
        <v>27.49</v>
      </c>
      <c r="T277">
        <v>27.49</v>
      </c>
      <c r="U277">
        <v>27.49</v>
      </c>
      <c r="V277">
        <v>27.49</v>
      </c>
      <c r="W277" s="6" t="s">
        <v>764</v>
      </c>
      <c r="X277" s="6" t="s">
        <v>765</v>
      </c>
      <c r="Y277" s="6" t="s">
        <v>766</v>
      </c>
      <c r="Z277" s="6" t="s">
        <v>767</v>
      </c>
      <c r="AA277" s="6" t="s">
        <v>1048</v>
      </c>
      <c r="AB277" s="6" t="s">
        <v>768</v>
      </c>
    </row>
    <row r="278" spans="1:28" x14ac:dyDescent="0.25">
      <c r="A278" t="s">
        <v>1045</v>
      </c>
      <c r="B278" t="s">
        <v>757</v>
      </c>
      <c r="C278">
        <v>0</v>
      </c>
      <c r="D278" t="s">
        <v>1321</v>
      </c>
      <c r="E278" t="s">
        <v>31</v>
      </c>
      <c r="F278" t="s">
        <v>1322</v>
      </c>
      <c r="G278" t="s">
        <v>760</v>
      </c>
      <c r="H278" t="s">
        <v>761</v>
      </c>
      <c r="I278" t="s">
        <v>762</v>
      </c>
      <c r="J278" t="s">
        <v>763</v>
      </c>
      <c r="K278">
        <v>27.49</v>
      </c>
      <c r="L278">
        <v>27.49</v>
      </c>
      <c r="M278">
        <v>27.49</v>
      </c>
      <c r="N278">
        <v>27.49</v>
      </c>
      <c r="O278">
        <v>27.49</v>
      </c>
      <c r="P278">
        <v>27.49</v>
      </c>
      <c r="Q278">
        <v>27.49</v>
      </c>
      <c r="R278">
        <v>27.49</v>
      </c>
      <c r="S278">
        <v>27.49</v>
      </c>
      <c r="T278">
        <v>27.49</v>
      </c>
      <c r="U278">
        <v>27.49</v>
      </c>
      <c r="V278">
        <v>27.49</v>
      </c>
      <c r="W278" s="6" t="s">
        <v>764</v>
      </c>
      <c r="X278" s="6" t="s">
        <v>765</v>
      </c>
      <c r="Y278" s="6" t="s">
        <v>766</v>
      </c>
      <c r="Z278" s="6" t="s">
        <v>767</v>
      </c>
      <c r="AA278" s="6" t="s">
        <v>1048</v>
      </c>
      <c r="AB278" s="6" t="s">
        <v>768</v>
      </c>
    </row>
    <row r="279" spans="1:28" x14ac:dyDescent="0.25">
      <c r="A279" t="s">
        <v>1045</v>
      </c>
      <c r="B279" t="s">
        <v>757</v>
      </c>
      <c r="C279">
        <v>0</v>
      </c>
      <c r="D279" t="s">
        <v>1323</v>
      </c>
      <c r="E279" t="s">
        <v>31</v>
      </c>
      <c r="F279" t="s">
        <v>1324</v>
      </c>
      <c r="G279" t="s">
        <v>760</v>
      </c>
      <c r="H279" t="s">
        <v>761</v>
      </c>
      <c r="I279" t="s">
        <v>762</v>
      </c>
      <c r="J279" t="s">
        <v>763</v>
      </c>
      <c r="K279">
        <v>27.49</v>
      </c>
      <c r="L279">
        <v>27.49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 s="6" t="s">
        <v>764</v>
      </c>
      <c r="X279" s="6" t="s">
        <v>765</v>
      </c>
      <c r="Y279" s="6" t="s">
        <v>766</v>
      </c>
      <c r="Z279" s="6" t="s">
        <v>767</v>
      </c>
      <c r="AA279" s="6" t="s">
        <v>1048</v>
      </c>
      <c r="AB279" s="6" t="s">
        <v>768</v>
      </c>
    </row>
    <row r="280" spans="1:28" x14ac:dyDescent="0.25">
      <c r="A280" t="s">
        <v>1045</v>
      </c>
      <c r="B280" t="s">
        <v>757</v>
      </c>
      <c r="C280">
        <v>0</v>
      </c>
      <c r="D280" t="s">
        <v>1325</v>
      </c>
      <c r="E280" t="s">
        <v>31</v>
      </c>
      <c r="F280" t="s">
        <v>1326</v>
      </c>
      <c r="G280" t="s">
        <v>760</v>
      </c>
      <c r="H280" t="s">
        <v>761</v>
      </c>
      <c r="I280" t="s">
        <v>762</v>
      </c>
      <c r="J280" t="s">
        <v>763</v>
      </c>
      <c r="K280">
        <v>27.49</v>
      </c>
      <c r="L280">
        <v>27.49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 s="6" t="s">
        <v>764</v>
      </c>
      <c r="X280" s="6" t="s">
        <v>765</v>
      </c>
      <c r="Y280" s="6" t="s">
        <v>766</v>
      </c>
      <c r="Z280" s="6" t="s">
        <v>767</v>
      </c>
      <c r="AA280" s="6" t="s">
        <v>1048</v>
      </c>
      <c r="AB280" s="6" t="s">
        <v>768</v>
      </c>
    </row>
    <row r="281" spans="1:28" x14ac:dyDescent="0.25">
      <c r="A281" t="s">
        <v>1045</v>
      </c>
      <c r="B281" t="s">
        <v>757</v>
      </c>
      <c r="C281">
        <v>0</v>
      </c>
      <c r="D281" t="s">
        <v>1327</v>
      </c>
      <c r="E281" t="s">
        <v>31</v>
      </c>
      <c r="F281" t="s">
        <v>1328</v>
      </c>
      <c r="G281" t="s">
        <v>760</v>
      </c>
      <c r="H281" t="s">
        <v>761</v>
      </c>
      <c r="I281" t="s">
        <v>762</v>
      </c>
      <c r="J281" t="s">
        <v>763</v>
      </c>
      <c r="K281">
        <v>27.49</v>
      </c>
      <c r="L281">
        <v>27.49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 s="6" t="s">
        <v>764</v>
      </c>
      <c r="X281" s="6" t="s">
        <v>765</v>
      </c>
      <c r="Y281" s="6" t="s">
        <v>766</v>
      </c>
      <c r="Z281" s="6" t="s">
        <v>767</v>
      </c>
      <c r="AA281" s="6" t="s">
        <v>1048</v>
      </c>
      <c r="AB281" s="6" t="s">
        <v>768</v>
      </c>
    </row>
    <row r="282" spans="1:28" x14ac:dyDescent="0.25">
      <c r="A282" t="s">
        <v>1045</v>
      </c>
      <c r="B282" t="s">
        <v>757</v>
      </c>
      <c r="C282">
        <v>0</v>
      </c>
      <c r="D282" t="s">
        <v>1329</v>
      </c>
      <c r="E282" t="s">
        <v>31</v>
      </c>
      <c r="F282" t="s">
        <v>1330</v>
      </c>
      <c r="G282" t="s">
        <v>760</v>
      </c>
      <c r="H282" t="s">
        <v>761</v>
      </c>
      <c r="I282" t="s">
        <v>762</v>
      </c>
      <c r="J282" t="s">
        <v>763</v>
      </c>
      <c r="K282">
        <v>27.49</v>
      </c>
      <c r="L282">
        <v>27.49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 s="6" t="s">
        <v>764</v>
      </c>
      <c r="X282" s="6" t="s">
        <v>765</v>
      </c>
      <c r="Y282" s="6" t="s">
        <v>766</v>
      </c>
      <c r="Z282" s="6" t="s">
        <v>767</v>
      </c>
      <c r="AA282" s="6" t="s">
        <v>1048</v>
      </c>
      <c r="AB282" s="6" t="s">
        <v>768</v>
      </c>
    </row>
    <row r="283" spans="1:28" x14ac:dyDescent="0.25">
      <c r="A283" t="s">
        <v>1045</v>
      </c>
      <c r="B283" t="s">
        <v>757</v>
      </c>
      <c r="C283">
        <v>0</v>
      </c>
      <c r="D283" t="s">
        <v>1331</v>
      </c>
      <c r="E283" t="s">
        <v>31</v>
      </c>
      <c r="F283" t="s">
        <v>1332</v>
      </c>
      <c r="G283" t="s">
        <v>760</v>
      </c>
      <c r="H283" t="s">
        <v>761</v>
      </c>
      <c r="I283" t="s">
        <v>762</v>
      </c>
      <c r="J283" t="s">
        <v>763</v>
      </c>
      <c r="K283">
        <v>27.49</v>
      </c>
      <c r="L283">
        <v>27.49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 s="6" t="s">
        <v>764</v>
      </c>
      <c r="X283" s="6" t="s">
        <v>765</v>
      </c>
      <c r="Y283" s="6" t="s">
        <v>766</v>
      </c>
      <c r="Z283" s="6" t="s">
        <v>767</v>
      </c>
      <c r="AA283" s="6" t="s">
        <v>1048</v>
      </c>
      <c r="AB283" s="6" t="s">
        <v>768</v>
      </c>
    </row>
    <row r="284" spans="1:28" x14ac:dyDescent="0.25">
      <c r="A284" t="s">
        <v>1045</v>
      </c>
      <c r="B284" t="s">
        <v>757</v>
      </c>
      <c r="C284">
        <v>0</v>
      </c>
      <c r="D284" t="s">
        <v>1333</v>
      </c>
      <c r="E284" t="s">
        <v>31</v>
      </c>
      <c r="F284" t="s">
        <v>1334</v>
      </c>
      <c r="G284" t="s">
        <v>760</v>
      </c>
      <c r="H284" t="s">
        <v>761</v>
      </c>
      <c r="I284" t="s">
        <v>762</v>
      </c>
      <c r="J284" t="s">
        <v>763</v>
      </c>
      <c r="K284">
        <v>27.49</v>
      </c>
      <c r="L284">
        <v>27.49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 s="6" t="s">
        <v>764</v>
      </c>
      <c r="X284" s="6" t="s">
        <v>765</v>
      </c>
      <c r="Y284" s="6" t="s">
        <v>766</v>
      </c>
      <c r="Z284" s="6" t="s">
        <v>767</v>
      </c>
      <c r="AA284" s="6" t="s">
        <v>1048</v>
      </c>
      <c r="AB284" s="6" t="s">
        <v>768</v>
      </c>
    </row>
    <row r="285" spans="1:28" x14ac:dyDescent="0.25">
      <c r="A285" t="s">
        <v>1045</v>
      </c>
      <c r="B285" t="s">
        <v>757</v>
      </c>
      <c r="C285">
        <v>0</v>
      </c>
      <c r="D285" t="s">
        <v>1335</v>
      </c>
      <c r="E285" t="s">
        <v>31</v>
      </c>
      <c r="F285" t="s">
        <v>1336</v>
      </c>
      <c r="G285" t="s">
        <v>760</v>
      </c>
      <c r="H285" t="s">
        <v>761</v>
      </c>
      <c r="I285" t="s">
        <v>762</v>
      </c>
      <c r="J285" t="s">
        <v>763</v>
      </c>
      <c r="K285">
        <v>27.49</v>
      </c>
      <c r="L285">
        <v>27.49</v>
      </c>
      <c r="M285">
        <v>27.49</v>
      </c>
      <c r="N285">
        <v>27.49</v>
      </c>
      <c r="O285">
        <v>27.49</v>
      </c>
      <c r="P285">
        <v>27.49</v>
      </c>
      <c r="Q285">
        <v>27.49</v>
      </c>
      <c r="R285">
        <v>27.49</v>
      </c>
      <c r="S285">
        <v>27.49</v>
      </c>
      <c r="T285">
        <v>27.49</v>
      </c>
      <c r="U285">
        <v>27.49</v>
      </c>
      <c r="V285">
        <v>27.49</v>
      </c>
      <c r="W285" s="6" t="s">
        <v>764</v>
      </c>
      <c r="X285" s="6" t="s">
        <v>765</v>
      </c>
      <c r="Y285" s="6" t="s">
        <v>766</v>
      </c>
      <c r="Z285" s="6" t="s">
        <v>767</v>
      </c>
      <c r="AA285" s="6" t="s">
        <v>1048</v>
      </c>
      <c r="AB285" s="6" t="s">
        <v>768</v>
      </c>
    </row>
    <row r="286" spans="1:28" x14ac:dyDescent="0.25">
      <c r="A286" t="s">
        <v>1045</v>
      </c>
      <c r="B286" t="s">
        <v>757</v>
      </c>
      <c r="C286">
        <v>0</v>
      </c>
      <c r="D286" t="s">
        <v>1337</v>
      </c>
      <c r="E286" t="s">
        <v>31</v>
      </c>
      <c r="F286" t="s">
        <v>1338</v>
      </c>
      <c r="G286" t="s">
        <v>760</v>
      </c>
      <c r="H286" t="s">
        <v>761</v>
      </c>
      <c r="I286" t="s">
        <v>762</v>
      </c>
      <c r="J286" t="s">
        <v>763</v>
      </c>
      <c r="K286">
        <v>27.49</v>
      </c>
      <c r="L286">
        <v>27.49</v>
      </c>
      <c r="M286">
        <v>27.49</v>
      </c>
      <c r="N286">
        <v>27.49</v>
      </c>
      <c r="O286">
        <v>27.49</v>
      </c>
      <c r="P286">
        <v>27.49</v>
      </c>
      <c r="Q286">
        <v>27.49</v>
      </c>
      <c r="R286">
        <v>27.49</v>
      </c>
      <c r="S286">
        <v>27.49</v>
      </c>
      <c r="T286">
        <v>27.49</v>
      </c>
      <c r="U286">
        <v>27.49</v>
      </c>
      <c r="V286">
        <v>27.49</v>
      </c>
      <c r="W286" s="6" t="s">
        <v>764</v>
      </c>
      <c r="X286" s="6" t="s">
        <v>765</v>
      </c>
      <c r="Y286" s="6" t="s">
        <v>766</v>
      </c>
      <c r="Z286" s="6" t="s">
        <v>767</v>
      </c>
      <c r="AA286" s="6" t="s">
        <v>1048</v>
      </c>
      <c r="AB286" s="6" t="s">
        <v>768</v>
      </c>
    </row>
    <row r="287" spans="1:28" x14ac:dyDescent="0.25">
      <c r="A287" t="s">
        <v>1045</v>
      </c>
      <c r="B287" t="s">
        <v>757</v>
      </c>
      <c r="C287">
        <v>0</v>
      </c>
      <c r="D287" t="s">
        <v>1339</v>
      </c>
      <c r="E287" t="s">
        <v>31</v>
      </c>
      <c r="F287" t="s">
        <v>1340</v>
      </c>
      <c r="G287" t="s">
        <v>760</v>
      </c>
      <c r="H287" t="s">
        <v>761</v>
      </c>
      <c r="I287" t="s">
        <v>762</v>
      </c>
      <c r="J287" t="s">
        <v>763</v>
      </c>
      <c r="K287">
        <v>27.49</v>
      </c>
      <c r="L287">
        <v>27.49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 s="6" t="s">
        <v>764</v>
      </c>
      <c r="X287" s="6" t="s">
        <v>765</v>
      </c>
      <c r="Y287" s="6" t="s">
        <v>766</v>
      </c>
      <c r="Z287" s="6" t="s">
        <v>767</v>
      </c>
      <c r="AA287" s="6" t="s">
        <v>1048</v>
      </c>
      <c r="AB287" s="6" t="s">
        <v>768</v>
      </c>
    </row>
    <row r="288" spans="1:28" x14ac:dyDescent="0.25">
      <c r="A288" t="s">
        <v>1045</v>
      </c>
      <c r="B288" t="s">
        <v>757</v>
      </c>
      <c r="C288">
        <v>0</v>
      </c>
      <c r="D288" t="s">
        <v>1341</v>
      </c>
      <c r="E288" t="s">
        <v>31</v>
      </c>
      <c r="F288" t="s">
        <v>1342</v>
      </c>
      <c r="G288" t="s">
        <v>760</v>
      </c>
      <c r="H288" t="s">
        <v>761</v>
      </c>
      <c r="I288" t="s">
        <v>762</v>
      </c>
      <c r="J288" t="s">
        <v>763</v>
      </c>
      <c r="K288">
        <v>27.49</v>
      </c>
      <c r="L288">
        <v>27.49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 s="6" t="s">
        <v>764</v>
      </c>
      <c r="X288" s="6" t="s">
        <v>765</v>
      </c>
      <c r="Y288" s="6" t="s">
        <v>766</v>
      </c>
      <c r="Z288" s="6" t="s">
        <v>767</v>
      </c>
      <c r="AA288" s="6" t="s">
        <v>1048</v>
      </c>
      <c r="AB288" s="6" t="s">
        <v>768</v>
      </c>
    </row>
    <row r="289" spans="1:28" x14ac:dyDescent="0.25">
      <c r="A289" t="s">
        <v>1045</v>
      </c>
      <c r="B289" t="s">
        <v>757</v>
      </c>
      <c r="C289">
        <v>0</v>
      </c>
      <c r="D289" t="s">
        <v>1343</v>
      </c>
      <c r="E289" t="s">
        <v>31</v>
      </c>
      <c r="F289" t="s">
        <v>1344</v>
      </c>
      <c r="G289" t="s">
        <v>760</v>
      </c>
      <c r="H289" t="s">
        <v>761</v>
      </c>
      <c r="I289" t="s">
        <v>762</v>
      </c>
      <c r="J289" t="s">
        <v>763</v>
      </c>
      <c r="K289">
        <v>27.49</v>
      </c>
      <c r="L289">
        <v>27.49</v>
      </c>
      <c r="M289">
        <v>27.49</v>
      </c>
      <c r="N289">
        <v>27.49</v>
      </c>
      <c r="O289">
        <v>27.49</v>
      </c>
      <c r="P289">
        <v>27.49</v>
      </c>
      <c r="Q289">
        <v>27.49</v>
      </c>
      <c r="R289">
        <v>27.49</v>
      </c>
      <c r="S289">
        <v>27.49</v>
      </c>
      <c r="T289">
        <v>27.49</v>
      </c>
      <c r="U289">
        <v>27.49</v>
      </c>
      <c r="V289">
        <v>27.49</v>
      </c>
      <c r="W289" s="6" t="s">
        <v>764</v>
      </c>
      <c r="X289" s="6" t="s">
        <v>765</v>
      </c>
      <c r="Y289" s="6" t="s">
        <v>766</v>
      </c>
      <c r="Z289" s="6" t="s">
        <v>767</v>
      </c>
      <c r="AA289" s="6" t="s">
        <v>1048</v>
      </c>
      <c r="AB289" s="6" t="s">
        <v>768</v>
      </c>
    </row>
    <row r="290" spans="1:28" x14ac:dyDescent="0.25">
      <c r="A290" t="s">
        <v>1045</v>
      </c>
      <c r="B290" t="s">
        <v>757</v>
      </c>
      <c r="C290">
        <v>0</v>
      </c>
      <c r="D290" t="s">
        <v>1345</v>
      </c>
      <c r="E290" t="s">
        <v>31</v>
      </c>
      <c r="F290" t="s">
        <v>1346</v>
      </c>
      <c r="G290" t="s">
        <v>760</v>
      </c>
      <c r="H290" t="s">
        <v>761</v>
      </c>
      <c r="I290" t="s">
        <v>762</v>
      </c>
      <c r="J290" t="s">
        <v>763</v>
      </c>
      <c r="K290">
        <v>27.49</v>
      </c>
      <c r="L290">
        <v>27.49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 s="6" t="s">
        <v>764</v>
      </c>
      <c r="X290" s="6" t="s">
        <v>765</v>
      </c>
      <c r="Y290" s="6" t="s">
        <v>766</v>
      </c>
      <c r="Z290" s="6" t="s">
        <v>767</v>
      </c>
      <c r="AA290" s="6" t="s">
        <v>1048</v>
      </c>
      <c r="AB290" s="6" t="s">
        <v>768</v>
      </c>
    </row>
    <row r="291" spans="1:28" x14ac:dyDescent="0.25">
      <c r="A291" t="s">
        <v>1045</v>
      </c>
      <c r="B291" t="s">
        <v>757</v>
      </c>
      <c r="C291">
        <v>0</v>
      </c>
      <c r="D291" t="s">
        <v>1347</v>
      </c>
      <c r="E291" t="s">
        <v>31</v>
      </c>
      <c r="F291" t="s">
        <v>1348</v>
      </c>
      <c r="G291" t="s">
        <v>760</v>
      </c>
      <c r="H291" t="s">
        <v>761</v>
      </c>
      <c r="I291" t="s">
        <v>762</v>
      </c>
      <c r="J291" t="s">
        <v>763</v>
      </c>
      <c r="K291">
        <v>27.49</v>
      </c>
      <c r="L291">
        <v>27.49</v>
      </c>
      <c r="M291">
        <v>27.49</v>
      </c>
      <c r="N291">
        <v>27.49</v>
      </c>
      <c r="O291">
        <v>27.49</v>
      </c>
      <c r="P291">
        <v>27.49</v>
      </c>
      <c r="Q291">
        <v>27.49</v>
      </c>
      <c r="R291">
        <v>27.49</v>
      </c>
      <c r="S291">
        <v>27.49</v>
      </c>
      <c r="T291">
        <v>27.49</v>
      </c>
      <c r="U291">
        <v>27.49</v>
      </c>
      <c r="V291">
        <v>27.49</v>
      </c>
      <c r="W291" s="6" t="s">
        <v>764</v>
      </c>
      <c r="X291" s="6" t="s">
        <v>765</v>
      </c>
      <c r="Y291" s="6" t="s">
        <v>766</v>
      </c>
      <c r="Z291" s="6" t="s">
        <v>767</v>
      </c>
      <c r="AA291" s="6" t="s">
        <v>1048</v>
      </c>
      <c r="AB291" s="6" t="s">
        <v>768</v>
      </c>
    </row>
    <row r="292" spans="1:28" x14ac:dyDescent="0.25">
      <c r="A292" t="s">
        <v>1045</v>
      </c>
      <c r="B292" t="s">
        <v>757</v>
      </c>
      <c r="C292">
        <v>0</v>
      </c>
      <c r="D292" t="s">
        <v>1349</v>
      </c>
      <c r="E292" t="s">
        <v>31</v>
      </c>
      <c r="F292" t="s">
        <v>1350</v>
      </c>
      <c r="G292" t="s">
        <v>760</v>
      </c>
      <c r="H292" t="s">
        <v>761</v>
      </c>
      <c r="I292" t="s">
        <v>762</v>
      </c>
      <c r="J292" t="s">
        <v>763</v>
      </c>
      <c r="K292">
        <v>27.49</v>
      </c>
      <c r="L292">
        <v>27.49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 s="6" t="s">
        <v>764</v>
      </c>
      <c r="X292" s="6" t="s">
        <v>765</v>
      </c>
      <c r="Y292" s="6" t="s">
        <v>766</v>
      </c>
      <c r="Z292" s="6" t="s">
        <v>767</v>
      </c>
      <c r="AA292" s="6" t="s">
        <v>1048</v>
      </c>
      <c r="AB292" s="6" t="s">
        <v>768</v>
      </c>
    </row>
    <row r="293" spans="1:28" x14ac:dyDescent="0.25">
      <c r="A293" t="s">
        <v>1045</v>
      </c>
      <c r="B293" t="s">
        <v>757</v>
      </c>
      <c r="C293">
        <v>0</v>
      </c>
      <c r="D293" t="s">
        <v>1351</v>
      </c>
      <c r="E293" t="s">
        <v>31</v>
      </c>
      <c r="F293" t="s">
        <v>1352</v>
      </c>
      <c r="G293" t="s">
        <v>760</v>
      </c>
      <c r="H293" t="s">
        <v>761</v>
      </c>
      <c r="I293" t="s">
        <v>762</v>
      </c>
      <c r="J293" t="s">
        <v>763</v>
      </c>
      <c r="K293">
        <v>27.49</v>
      </c>
      <c r="L293">
        <v>27.49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 s="6" t="s">
        <v>764</v>
      </c>
      <c r="X293" s="6" t="s">
        <v>765</v>
      </c>
      <c r="Y293" s="6" t="s">
        <v>766</v>
      </c>
      <c r="Z293" s="6" t="s">
        <v>767</v>
      </c>
      <c r="AA293" s="6" t="s">
        <v>1048</v>
      </c>
      <c r="AB293" s="6" t="s">
        <v>768</v>
      </c>
    </row>
    <row r="294" spans="1:28" x14ac:dyDescent="0.25">
      <c r="A294" t="s">
        <v>1045</v>
      </c>
      <c r="B294" t="s">
        <v>757</v>
      </c>
      <c r="C294">
        <v>0</v>
      </c>
      <c r="D294" t="s">
        <v>1353</v>
      </c>
      <c r="E294" t="s">
        <v>31</v>
      </c>
      <c r="F294" t="s">
        <v>1354</v>
      </c>
      <c r="G294" t="s">
        <v>760</v>
      </c>
      <c r="H294" t="s">
        <v>761</v>
      </c>
      <c r="I294" t="s">
        <v>762</v>
      </c>
      <c r="J294" t="s">
        <v>763</v>
      </c>
      <c r="K294">
        <v>27.49</v>
      </c>
      <c r="L294">
        <v>27.49</v>
      </c>
      <c r="M294">
        <v>27.49</v>
      </c>
      <c r="N294">
        <v>27.49</v>
      </c>
      <c r="O294">
        <v>27.49</v>
      </c>
      <c r="P294">
        <v>27.49</v>
      </c>
      <c r="Q294">
        <v>27.49</v>
      </c>
      <c r="R294">
        <v>27.49</v>
      </c>
      <c r="S294">
        <v>27.49</v>
      </c>
      <c r="T294">
        <v>27.49</v>
      </c>
      <c r="U294">
        <v>27.49</v>
      </c>
      <c r="V294">
        <v>27.49</v>
      </c>
      <c r="W294" s="6" t="s">
        <v>764</v>
      </c>
      <c r="X294" s="6" t="s">
        <v>765</v>
      </c>
      <c r="Y294" s="6" t="s">
        <v>766</v>
      </c>
      <c r="Z294" s="6" t="s">
        <v>767</v>
      </c>
      <c r="AA294" s="6" t="s">
        <v>1048</v>
      </c>
      <c r="AB294" s="6" t="s">
        <v>768</v>
      </c>
    </row>
    <row r="295" spans="1:28" x14ac:dyDescent="0.25">
      <c r="A295" t="s">
        <v>1045</v>
      </c>
      <c r="B295" t="s">
        <v>757</v>
      </c>
      <c r="C295">
        <v>0</v>
      </c>
      <c r="D295" t="s">
        <v>1355</v>
      </c>
      <c r="E295" t="s">
        <v>31</v>
      </c>
      <c r="F295" t="s">
        <v>1356</v>
      </c>
      <c r="G295" t="s">
        <v>760</v>
      </c>
      <c r="H295" t="s">
        <v>761</v>
      </c>
      <c r="I295" t="s">
        <v>762</v>
      </c>
      <c r="J295" t="s">
        <v>763</v>
      </c>
      <c r="K295">
        <v>27.49</v>
      </c>
      <c r="L295">
        <v>27.49</v>
      </c>
      <c r="M295">
        <v>27.49</v>
      </c>
      <c r="N295">
        <v>27.49</v>
      </c>
      <c r="O295">
        <v>27.49</v>
      </c>
      <c r="P295">
        <v>27.49</v>
      </c>
      <c r="Q295">
        <v>27.49</v>
      </c>
      <c r="R295">
        <v>27.49</v>
      </c>
      <c r="S295">
        <v>27.49</v>
      </c>
      <c r="T295">
        <v>27.49</v>
      </c>
      <c r="U295">
        <v>27.49</v>
      </c>
      <c r="V295">
        <v>27.49</v>
      </c>
      <c r="W295" s="6" t="s">
        <v>764</v>
      </c>
      <c r="X295" s="6" t="s">
        <v>765</v>
      </c>
      <c r="Y295" s="6" t="s">
        <v>766</v>
      </c>
      <c r="Z295" s="6" t="s">
        <v>767</v>
      </c>
      <c r="AA295" s="6" t="s">
        <v>1048</v>
      </c>
      <c r="AB295" s="6" t="s">
        <v>768</v>
      </c>
    </row>
    <row r="296" spans="1:28" x14ac:dyDescent="0.25">
      <c r="A296" t="s">
        <v>1045</v>
      </c>
      <c r="B296" t="s">
        <v>757</v>
      </c>
      <c r="C296">
        <v>0</v>
      </c>
      <c r="D296" t="s">
        <v>1357</v>
      </c>
      <c r="E296" t="s">
        <v>31</v>
      </c>
      <c r="F296" t="s">
        <v>1358</v>
      </c>
      <c r="G296" t="s">
        <v>760</v>
      </c>
      <c r="H296" t="s">
        <v>761</v>
      </c>
      <c r="I296" t="s">
        <v>762</v>
      </c>
      <c r="J296" t="s">
        <v>763</v>
      </c>
      <c r="K296">
        <v>27.49</v>
      </c>
      <c r="L296">
        <v>27.49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 s="6" t="s">
        <v>764</v>
      </c>
      <c r="X296" s="6" t="s">
        <v>765</v>
      </c>
      <c r="Y296" s="6" t="s">
        <v>766</v>
      </c>
      <c r="Z296" s="6" t="s">
        <v>767</v>
      </c>
      <c r="AA296" s="6" t="s">
        <v>1048</v>
      </c>
      <c r="AB296" s="6" t="s">
        <v>768</v>
      </c>
    </row>
    <row r="297" spans="1:28" x14ac:dyDescent="0.25">
      <c r="A297" t="s">
        <v>1045</v>
      </c>
      <c r="B297" t="s">
        <v>757</v>
      </c>
      <c r="C297">
        <v>0</v>
      </c>
      <c r="D297" t="s">
        <v>1359</v>
      </c>
      <c r="E297" t="s">
        <v>31</v>
      </c>
      <c r="F297" t="s">
        <v>1360</v>
      </c>
      <c r="G297" t="s">
        <v>760</v>
      </c>
      <c r="H297" t="s">
        <v>761</v>
      </c>
      <c r="I297" t="s">
        <v>762</v>
      </c>
      <c r="J297" t="s">
        <v>763</v>
      </c>
      <c r="K297">
        <v>27.49</v>
      </c>
      <c r="L297">
        <v>27.49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 s="6" t="s">
        <v>764</v>
      </c>
      <c r="X297" s="6" t="s">
        <v>765</v>
      </c>
      <c r="Y297" s="6" t="s">
        <v>766</v>
      </c>
      <c r="Z297" s="6" t="s">
        <v>767</v>
      </c>
      <c r="AA297" s="6" t="s">
        <v>1048</v>
      </c>
      <c r="AB297" s="6" t="s">
        <v>768</v>
      </c>
    </row>
    <row r="298" spans="1:28" x14ac:dyDescent="0.25">
      <c r="A298" t="s">
        <v>1045</v>
      </c>
      <c r="B298" t="s">
        <v>757</v>
      </c>
      <c r="C298">
        <v>0</v>
      </c>
      <c r="D298" t="s">
        <v>1361</v>
      </c>
      <c r="E298" t="s">
        <v>31</v>
      </c>
      <c r="F298" t="s">
        <v>1362</v>
      </c>
      <c r="G298" t="s">
        <v>760</v>
      </c>
      <c r="H298" t="s">
        <v>761</v>
      </c>
      <c r="I298" t="s">
        <v>762</v>
      </c>
      <c r="J298" t="s">
        <v>763</v>
      </c>
      <c r="K298">
        <v>27.49</v>
      </c>
      <c r="L298">
        <v>27.49</v>
      </c>
      <c r="M298">
        <v>27.49</v>
      </c>
      <c r="N298">
        <v>27.49</v>
      </c>
      <c r="O298">
        <v>27.49</v>
      </c>
      <c r="P298">
        <v>27.49</v>
      </c>
      <c r="Q298">
        <v>27.49</v>
      </c>
      <c r="R298">
        <v>27.49</v>
      </c>
      <c r="S298">
        <v>27.49</v>
      </c>
      <c r="T298">
        <v>27.49</v>
      </c>
      <c r="U298">
        <v>27.49</v>
      </c>
      <c r="V298">
        <v>27.49</v>
      </c>
      <c r="W298" s="6" t="s">
        <v>764</v>
      </c>
      <c r="X298" s="6" t="s">
        <v>765</v>
      </c>
      <c r="Y298" s="6" t="s">
        <v>766</v>
      </c>
      <c r="Z298" s="6" t="s">
        <v>767</v>
      </c>
      <c r="AA298" s="6" t="s">
        <v>1048</v>
      </c>
      <c r="AB298" s="6" t="s">
        <v>768</v>
      </c>
    </row>
    <row r="299" spans="1:28" x14ac:dyDescent="0.25">
      <c r="A299" t="s">
        <v>1045</v>
      </c>
      <c r="B299" t="s">
        <v>757</v>
      </c>
      <c r="C299">
        <v>0</v>
      </c>
      <c r="D299" t="s">
        <v>1363</v>
      </c>
      <c r="E299" t="s">
        <v>31</v>
      </c>
      <c r="F299" t="s">
        <v>1364</v>
      </c>
      <c r="G299" t="s">
        <v>760</v>
      </c>
      <c r="H299" t="s">
        <v>761</v>
      </c>
      <c r="I299" t="s">
        <v>762</v>
      </c>
      <c r="J299" t="s">
        <v>763</v>
      </c>
      <c r="K299">
        <v>27.49</v>
      </c>
      <c r="L299">
        <v>27.49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 s="6" t="s">
        <v>764</v>
      </c>
      <c r="X299" s="6" t="s">
        <v>765</v>
      </c>
      <c r="Y299" s="6" t="s">
        <v>766</v>
      </c>
      <c r="Z299" s="6" t="s">
        <v>767</v>
      </c>
      <c r="AA299" s="6" t="s">
        <v>1048</v>
      </c>
      <c r="AB299" s="6" t="s">
        <v>768</v>
      </c>
    </row>
    <row r="300" spans="1:28" x14ac:dyDescent="0.25">
      <c r="A300" t="s">
        <v>1045</v>
      </c>
      <c r="B300" t="s">
        <v>757</v>
      </c>
      <c r="C300">
        <v>0</v>
      </c>
      <c r="D300" t="s">
        <v>1365</v>
      </c>
      <c r="E300" t="s">
        <v>31</v>
      </c>
      <c r="F300" t="s">
        <v>1366</v>
      </c>
      <c r="G300" t="s">
        <v>760</v>
      </c>
      <c r="H300" t="s">
        <v>761</v>
      </c>
      <c r="I300" t="s">
        <v>762</v>
      </c>
      <c r="J300" t="s">
        <v>763</v>
      </c>
      <c r="K300">
        <v>27.49</v>
      </c>
      <c r="L300">
        <v>27.49</v>
      </c>
      <c r="M300">
        <v>27.49</v>
      </c>
      <c r="N300">
        <v>27.49</v>
      </c>
      <c r="O300">
        <v>27.49</v>
      </c>
      <c r="P300">
        <v>27.49</v>
      </c>
      <c r="Q300">
        <v>27.49</v>
      </c>
      <c r="R300">
        <v>27.49</v>
      </c>
      <c r="S300">
        <v>27.49</v>
      </c>
      <c r="T300">
        <v>27.49</v>
      </c>
      <c r="U300">
        <v>27.49</v>
      </c>
      <c r="V300">
        <v>27.49</v>
      </c>
      <c r="W300" s="6" t="s">
        <v>764</v>
      </c>
      <c r="X300" s="6" t="s">
        <v>765</v>
      </c>
      <c r="Y300" s="6" t="s">
        <v>766</v>
      </c>
      <c r="Z300" s="6" t="s">
        <v>767</v>
      </c>
      <c r="AA300" s="6" t="s">
        <v>1048</v>
      </c>
      <c r="AB300" s="6" t="s">
        <v>768</v>
      </c>
    </row>
    <row r="301" spans="1:28" x14ac:dyDescent="0.25">
      <c r="A301" t="s">
        <v>1045</v>
      </c>
      <c r="B301" t="s">
        <v>757</v>
      </c>
      <c r="C301">
        <v>0</v>
      </c>
      <c r="D301" t="s">
        <v>1367</v>
      </c>
      <c r="E301" t="s">
        <v>31</v>
      </c>
      <c r="F301" t="s">
        <v>1368</v>
      </c>
      <c r="G301" t="s">
        <v>760</v>
      </c>
      <c r="H301" t="s">
        <v>761</v>
      </c>
      <c r="I301" t="s">
        <v>762</v>
      </c>
      <c r="J301" t="s">
        <v>763</v>
      </c>
      <c r="K301">
        <v>27.49</v>
      </c>
      <c r="L301">
        <v>27.49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 s="6" t="s">
        <v>764</v>
      </c>
      <c r="X301" s="6" t="s">
        <v>765</v>
      </c>
      <c r="Y301" s="6" t="s">
        <v>766</v>
      </c>
      <c r="Z301" s="6" t="s">
        <v>767</v>
      </c>
      <c r="AA301" s="6" t="s">
        <v>1048</v>
      </c>
      <c r="AB301" s="6" t="s">
        <v>768</v>
      </c>
    </row>
    <row r="302" spans="1:28" x14ac:dyDescent="0.25">
      <c r="A302" t="s">
        <v>1045</v>
      </c>
      <c r="B302" t="s">
        <v>757</v>
      </c>
      <c r="C302">
        <v>0</v>
      </c>
      <c r="D302" t="s">
        <v>1369</v>
      </c>
      <c r="E302" t="s">
        <v>31</v>
      </c>
      <c r="F302" t="s">
        <v>1370</v>
      </c>
      <c r="G302" t="s">
        <v>760</v>
      </c>
      <c r="H302" t="s">
        <v>761</v>
      </c>
      <c r="I302" t="s">
        <v>762</v>
      </c>
      <c r="J302" t="s">
        <v>763</v>
      </c>
      <c r="K302">
        <v>27.49</v>
      </c>
      <c r="L302">
        <v>27.49</v>
      </c>
      <c r="M302">
        <v>27.49</v>
      </c>
      <c r="N302">
        <v>27.49</v>
      </c>
      <c r="O302">
        <v>27.49</v>
      </c>
      <c r="P302">
        <v>27.49</v>
      </c>
      <c r="Q302">
        <v>27.49</v>
      </c>
      <c r="R302">
        <v>27.49</v>
      </c>
      <c r="S302">
        <v>27.49</v>
      </c>
      <c r="T302">
        <v>27.49</v>
      </c>
      <c r="U302">
        <v>27.49</v>
      </c>
      <c r="V302">
        <v>27.49</v>
      </c>
      <c r="W302" s="6" t="s">
        <v>764</v>
      </c>
      <c r="X302" s="6" t="s">
        <v>765</v>
      </c>
      <c r="Y302" s="6" t="s">
        <v>766</v>
      </c>
      <c r="Z302" s="6" t="s">
        <v>767</v>
      </c>
      <c r="AA302" s="6" t="s">
        <v>1048</v>
      </c>
      <c r="AB302" s="6" t="s">
        <v>768</v>
      </c>
    </row>
    <row r="303" spans="1:28" x14ac:dyDescent="0.25">
      <c r="A303" t="s">
        <v>756</v>
      </c>
      <c r="B303" t="s">
        <v>757</v>
      </c>
      <c r="C303">
        <v>0</v>
      </c>
      <c r="D303" t="s">
        <v>1371</v>
      </c>
      <c r="E303" t="s">
        <v>31</v>
      </c>
      <c r="F303" t="s">
        <v>1372</v>
      </c>
      <c r="G303" t="s">
        <v>760</v>
      </c>
      <c r="H303" t="s">
        <v>761</v>
      </c>
      <c r="I303" t="s">
        <v>762</v>
      </c>
      <c r="J303" t="s">
        <v>763</v>
      </c>
      <c r="K303">
        <v>0</v>
      </c>
      <c r="L303">
        <v>0</v>
      </c>
      <c r="M303">
        <v>0</v>
      </c>
      <c r="N303">
        <v>0</v>
      </c>
      <c r="O303">
        <v>27.49</v>
      </c>
      <c r="P303">
        <v>27.49</v>
      </c>
      <c r="Q303">
        <v>27.49</v>
      </c>
      <c r="R303">
        <v>27.49</v>
      </c>
      <c r="S303">
        <v>27.49</v>
      </c>
      <c r="T303">
        <v>27.49</v>
      </c>
      <c r="U303">
        <v>27.49</v>
      </c>
      <c r="V303">
        <v>0</v>
      </c>
      <c r="W303" s="6" t="s">
        <v>764</v>
      </c>
      <c r="X303" s="6" t="s">
        <v>765</v>
      </c>
      <c r="Y303" s="6" t="s">
        <v>766</v>
      </c>
      <c r="Z303" s="6" t="s">
        <v>767</v>
      </c>
      <c r="AA303" s="6" t="s">
        <v>61</v>
      </c>
      <c r="AB303" s="6" t="s">
        <v>768</v>
      </c>
    </row>
    <row r="304" spans="1:28" x14ac:dyDescent="0.25">
      <c r="A304" t="s">
        <v>1045</v>
      </c>
      <c r="B304" t="s">
        <v>757</v>
      </c>
      <c r="C304">
        <v>0</v>
      </c>
      <c r="D304" t="s">
        <v>1373</v>
      </c>
      <c r="E304" t="s">
        <v>31</v>
      </c>
      <c r="F304" t="s">
        <v>1374</v>
      </c>
      <c r="G304" t="s">
        <v>760</v>
      </c>
      <c r="H304" t="s">
        <v>761</v>
      </c>
      <c r="I304" t="s">
        <v>762</v>
      </c>
      <c r="J304" t="s">
        <v>763</v>
      </c>
      <c r="K304">
        <v>27.49</v>
      </c>
      <c r="L304">
        <v>27.49</v>
      </c>
      <c r="M304">
        <v>27.49</v>
      </c>
      <c r="N304">
        <v>27.49</v>
      </c>
      <c r="O304">
        <v>27.49</v>
      </c>
      <c r="P304">
        <v>27.49</v>
      </c>
      <c r="Q304">
        <v>27.49</v>
      </c>
      <c r="R304">
        <v>27.49</v>
      </c>
      <c r="S304">
        <v>27.49</v>
      </c>
      <c r="T304">
        <v>27.49</v>
      </c>
      <c r="U304">
        <v>27.49</v>
      </c>
      <c r="V304">
        <v>27.49</v>
      </c>
      <c r="W304" s="6" t="s">
        <v>764</v>
      </c>
      <c r="X304" s="6" t="s">
        <v>765</v>
      </c>
      <c r="Y304" s="6" t="s">
        <v>766</v>
      </c>
      <c r="Z304" s="6" t="s">
        <v>767</v>
      </c>
      <c r="AA304" s="6" t="s">
        <v>1048</v>
      </c>
      <c r="AB304" s="6" t="s">
        <v>768</v>
      </c>
    </row>
    <row r="305" spans="1:28" x14ac:dyDescent="0.25">
      <c r="A305" t="s">
        <v>1045</v>
      </c>
      <c r="B305" t="s">
        <v>757</v>
      </c>
      <c r="C305">
        <v>0</v>
      </c>
      <c r="D305" t="s">
        <v>1375</v>
      </c>
      <c r="E305" t="s">
        <v>31</v>
      </c>
      <c r="F305" t="s">
        <v>1376</v>
      </c>
      <c r="G305" t="s">
        <v>760</v>
      </c>
      <c r="H305" t="s">
        <v>761</v>
      </c>
      <c r="I305" t="s">
        <v>762</v>
      </c>
      <c r="J305" t="s">
        <v>763</v>
      </c>
      <c r="K305">
        <v>27.49</v>
      </c>
      <c r="L305">
        <v>27.49</v>
      </c>
      <c r="M305">
        <v>27.49</v>
      </c>
      <c r="N305">
        <v>27.49</v>
      </c>
      <c r="O305">
        <v>27.49</v>
      </c>
      <c r="P305">
        <v>27.49</v>
      </c>
      <c r="Q305">
        <v>27.49</v>
      </c>
      <c r="R305">
        <v>27.49</v>
      </c>
      <c r="S305">
        <v>27.49</v>
      </c>
      <c r="T305">
        <v>27.49</v>
      </c>
      <c r="U305">
        <v>27.49</v>
      </c>
      <c r="V305">
        <v>27.49</v>
      </c>
      <c r="W305" s="6" t="s">
        <v>764</v>
      </c>
      <c r="X305" s="6" t="s">
        <v>765</v>
      </c>
      <c r="Y305" s="6" t="s">
        <v>766</v>
      </c>
      <c r="Z305" s="6" t="s">
        <v>767</v>
      </c>
      <c r="AA305" s="6" t="s">
        <v>1048</v>
      </c>
      <c r="AB305" s="6" t="s">
        <v>768</v>
      </c>
    </row>
    <row r="306" spans="1:28" x14ac:dyDescent="0.25">
      <c r="A306" t="s">
        <v>1045</v>
      </c>
      <c r="B306" t="s">
        <v>757</v>
      </c>
      <c r="C306">
        <v>0</v>
      </c>
      <c r="D306" t="s">
        <v>1377</v>
      </c>
      <c r="E306" t="s">
        <v>31</v>
      </c>
      <c r="F306" t="s">
        <v>1378</v>
      </c>
      <c r="G306" t="s">
        <v>760</v>
      </c>
      <c r="H306" t="s">
        <v>761</v>
      </c>
      <c r="I306" t="s">
        <v>762</v>
      </c>
      <c r="J306" t="s">
        <v>763</v>
      </c>
      <c r="K306">
        <v>27.49</v>
      </c>
      <c r="L306">
        <v>27.49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 s="6" t="s">
        <v>764</v>
      </c>
      <c r="X306" s="6" t="s">
        <v>765</v>
      </c>
      <c r="Y306" s="6" t="s">
        <v>766</v>
      </c>
      <c r="Z306" s="6" t="s">
        <v>767</v>
      </c>
      <c r="AA306" s="6" t="s">
        <v>1048</v>
      </c>
      <c r="AB306" s="6" t="s">
        <v>768</v>
      </c>
    </row>
    <row r="307" spans="1:28" x14ac:dyDescent="0.25">
      <c r="A307" t="s">
        <v>1045</v>
      </c>
      <c r="B307" t="s">
        <v>757</v>
      </c>
      <c r="C307">
        <v>0</v>
      </c>
      <c r="D307" t="s">
        <v>1379</v>
      </c>
      <c r="E307" t="s">
        <v>31</v>
      </c>
      <c r="F307" t="s">
        <v>1380</v>
      </c>
      <c r="G307" t="s">
        <v>760</v>
      </c>
      <c r="H307" t="s">
        <v>761</v>
      </c>
      <c r="I307" t="s">
        <v>762</v>
      </c>
      <c r="J307" t="s">
        <v>763</v>
      </c>
      <c r="K307">
        <v>27.49</v>
      </c>
      <c r="L307">
        <v>27.49</v>
      </c>
      <c r="M307">
        <v>27.49</v>
      </c>
      <c r="N307">
        <v>27.49</v>
      </c>
      <c r="O307">
        <v>27.49</v>
      </c>
      <c r="P307">
        <v>27.49</v>
      </c>
      <c r="Q307">
        <v>27.49</v>
      </c>
      <c r="R307">
        <v>27.49</v>
      </c>
      <c r="S307">
        <v>27.49</v>
      </c>
      <c r="T307">
        <v>27.49</v>
      </c>
      <c r="U307">
        <v>27.49</v>
      </c>
      <c r="V307">
        <v>27.49</v>
      </c>
      <c r="W307" s="6" t="s">
        <v>764</v>
      </c>
      <c r="X307" s="6" t="s">
        <v>765</v>
      </c>
      <c r="Y307" s="6" t="s">
        <v>766</v>
      </c>
      <c r="Z307" s="6" t="s">
        <v>767</v>
      </c>
      <c r="AA307" s="6" t="s">
        <v>1048</v>
      </c>
      <c r="AB307" s="6" t="s">
        <v>768</v>
      </c>
    </row>
    <row r="308" spans="1:28" x14ac:dyDescent="0.25">
      <c r="A308" t="s">
        <v>1045</v>
      </c>
      <c r="B308" t="s">
        <v>757</v>
      </c>
      <c r="C308">
        <v>0</v>
      </c>
      <c r="D308" t="s">
        <v>1381</v>
      </c>
      <c r="E308" t="s">
        <v>31</v>
      </c>
      <c r="F308" t="s">
        <v>1382</v>
      </c>
      <c r="G308" t="s">
        <v>760</v>
      </c>
      <c r="H308" t="s">
        <v>761</v>
      </c>
      <c r="I308" t="s">
        <v>762</v>
      </c>
      <c r="J308" t="s">
        <v>763</v>
      </c>
      <c r="K308">
        <v>27.49</v>
      </c>
      <c r="L308">
        <v>27.49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 s="6" t="s">
        <v>764</v>
      </c>
      <c r="X308" s="6" t="s">
        <v>765</v>
      </c>
      <c r="Y308" s="6" t="s">
        <v>766</v>
      </c>
      <c r="Z308" s="6" t="s">
        <v>767</v>
      </c>
      <c r="AA308" s="6" t="s">
        <v>1048</v>
      </c>
      <c r="AB308" s="6" t="s">
        <v>768</v>
      </c>
    </row>
    <row r="309" spans="1:28" x14ac:dyDescent="0.25">
      <c r="A309" t="s">
        <v>1045</v>
      </c>
      <c r="B309" t="s">
        <v>757</v>
      </c>
      <c r="C309">
        <v>0</v>
      </c>
      <c r="D309" t="s">
        <v>1383</v>
      </c>
      <c r="E309" t="s">
        <v>31</v>
      </c>
      <c r="F309" t="s">
        <v>1384</v>
      </c>
      <c r="G309" t="s">
        <v>760</v>
      </c>
      <c r="H309" t="s">
        <v>761</v>
      </c>
      <c r="I309" t="s">
        <v>762</v>
      </c>
      <c r="J309" t="s">
        <v>763</v>
      </c>
      <c r="K309">
        <v>27.49</v>
      </c>
      <c r="L309">
        <v>27.49</v>
      </c>
      <c r="M309">
        <v>27.49</v>
      </c>
      <c r="N309">
        <v>27.49</v>
      </c>
      <c r="O309">
        <v>27.49</v>
      </c>
      <c r="P309">
        <v>27.49</v>
      </c>
      <c r="Q309">
        <v>27.49</v>
      </c>
      <c r="R309">
        <v>27.49</v>
      </c>
      <c r="S309">
        <v>27.49</v>
      </c>
      <c r="T309">
        <v>27.49</v>
      </c>
      <c r="U309">
        <v>27.49</v>
      </c>
      <c r="V309">
        <v>27.49</v>
      </c>
      <c r="W309" s="6" t="s">
        <v>764</v>
      </c>
      <c r="X309" s="6" t="s">
        <v>765</v>
      </c>
      <c r="Y309" s="6" t="s">
        <v>766</v>
      </c>
      <c r="Z309" s="6" t="s">
        <v>767</v>
      </c>
      <c r="AA309" s="6" t="s">
        <v>1048</v>
      </c>
      <c r="AB309" s="6" t="s">
        <v>768</v>
      </c>
    </row>
    <row r="310" spans="1:28" x14ac:dyDescent="0.25">
      <c r="A310" t="s">
        <v>1045</v>
      </c>
      <c r="B310" t="s">
        <v>757</v>
      </c>
      <c r="C310">
        <v>0</v>
      </c>
      <c r="D310" t="s">
        <v>1385</v>
      </c>
      <c r="E310" t="s">
        <v>31</v>
      </c>
      <c r="F310" t="s">
        <v>1386</v>
      </c>
      <c r="G310" t="s">
        <v>760</v>
      </c>
      <c r="H310" t="s">
        <v>761</v>
      </c>
      <c r="I310" t="s">
        <v>762</v>
      </c>
      <c r="J310" t="s">
        <v>763</v>
      </c>
      <c r="K310">
        <v>27.49</v>
      </c>
      <c r="L310">
        <v>27.49</v>
      </c>
      <c r="M310">
        <v>27.49</v>
      </c>
      <c r="N310">
        <v>27.49</v>
      </c>
      <c r="O310">
        <v>27.49</v>
      </c>
      <c r="P310">
        <v>27.49</v>
      </c>
      <c r="Q310">
        <v>27.49</v>
      </c>
      <c r="R310">
        <v>27.49</v>
      </c>
      <c r="S310">
        <v>27.49</v>
      </c>
      <c r="T310">
        <v>27.49</v>
      </c>
      <c r="U310">
        <v>27.49</v>
      </c>
      <c r="V310">
        <v>27.49</v>
      </c>
      <c r="W310" s="6" t="s">
        <v>764</v>
      </c>
      <c r="X310" s="6" t="s">
        <v>765</v>
      </c>
      <c r="Y310" s="6" t="s">
        <v>766</v>
      </c>
      <c r="Z310" s="6" t="s">
        <v>767</v>
      </c>
      <c r="AA310" s="6" t="s">
        <v>1048</v>
      </c>
      <c r="AB310" s="6" t="s">
        <v>768</v>
      </c>
    </row>
    <row r="311" spans="1:28" x14ac:dyDescent="0.25">
      <c r="A311" t="s">
        <v>1045</v>
      </c>
      <c r="B311" t="s">
        <v>757</v>
      </c>
      <c r="C311">
        <v>0</v>
      </c>
      <c r="D311" t="s">
        <v>1387</v>
      </c>
      <c r="E311" t="s">
        <v>31</v>
      </c>
      <c r="F311" t="s">
        <v>1388</v>
      </c>
      <c r="G311" t="s">
        <v>760</v>
      </c>
      <c r="H311" t="s">
        <v>761</v>
      </c>
      <c r="I311" t="s">
        <v>762</v>
      </c>
      <c r="J311" t="s">
        <v>763</v>
      </c>
      <c r="K311">
        <v>27.49</v>
      </c>
      <c r="L311">
        <v>27.49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 s="6" t="s">
        <v>764</v>
      </c>
      <c r="X311" s="6" t="s">
        <v>765</v>
      </c>
      <c r="Y311" s="6" t="s">
        <v>766</v>
      </c>
      <c r="Z311" s="6" t="s">
        <v>767</v>
      </c>
      <c r="AA311" s="6" t="s">
        <v>1048</v>
      </c>
      <c r="AB311" s="6" t="s">
        <v>768</v>
      </c>
    </row>
    <row r="312" spans="1:28" x14ac:dyDescent="0.25">
      <c r="A312" t="s">
        <v>1045</v>
      </c>
      <c r="B312" t="s">
        <v>757</v>
      </c>
      <c r="C312">
        <v>0</v>
      </c>
      <c r="D312" t="s">
        <v>1389</v>
      </c>
      <c r="E312" t="s">
        <v>31</v>
      </c>
      <c r="F312" t="s">
        <v>1390</v>
      </c>
      <c r="G312" t="s">
        <v>760</v>
      </c>
      <c r="H312" t="s">
        <v>761</v>
      </c>
      <c r="I312" t="s">
        <v>762</v>
      </c>
      <c r="J312" t="s">
        <v>763</v>
      </c>
      <c r="K312">
        <v>27.49</v>
      </c>
      <c r="L312">
        <v>27.49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 s="6" t="s">
        <v>764</v>
      </c>
      <c r="X312" s="6" t="s">
        <v>765</v>
      </c>
      <c r="Y312" s="6" t="s">
        <v>766</v>
      </c>
      <c r="Z312" s="6" t="s">
        <v>767</v>
      </c>
      <c r="AA312" s="6" t="s">
        <v>1048</v>
      </c>
      <c r="AB312" s="6" t="s">
        <v>768</v>
      </c>
    </row>
    <row r="313" spans="1:28" x14ac:dyDescent="0.25">
      <c r="A313" t="s">
        <v>1045</v>
      </c>
      <c r="B313" t="s">
        <v>757</v>
      </c>
      <c r="C313">
        <v>0</v>
      </c>
      <c r="D313" t="s">
        <v>1391</v>
      </c>
      <c r="E313" t="s">
        <v>31</v>
      </c>
      <c r="F313" t="s">
        <v>1392</v>
      </c>
      <c r="G313" t="s">
        <v>760</v>
      </c>
      <c r="H313" t="s">
        <v>761</v>
      </c>
      <c r="I313" t="s">
        <v>762</v>
      </c>
      <c r="J313" t="s">
        <v>763</v>
      </c>
      <c r="K313">
        <v>27.49</v>
      </c>
      <c r="L313">
        <v>27.49</v>
      </c>
      <c r="M313">
        <v>27.49</v>
      </c>
      <c r="N313">
        <v>27.49</v>
      </c>
      <c r="O313">
        <v>27.49</v>
      </c>
      <c r="P313">
        <v>27.49</v>
      </c>
      <c r="Q313">
        <v>27.49</v>
      </c>
      <c r="R313">
        <v>27.49</v>
      </c>
      <c r="S313">
        <v>27.49</v>
      </c>
      <c r="T313">
        <v>27.49</v>
      </c>
      <c r="U313">
        <v>27.49</v>
      </c>
      <c r="V313">
        <v>27.49</v>
      </c>
      <c r="W313" s="6" t="s">
        <v>764</v>
      </c>
      <c r="X313" s="6" t="s">
        <v>765</v>
      </c>
      <c r="Y313" s="6" t="s">
        <v>766</v>
      </c>
      <c r="Z313" s="6" t="s">
        <v>767</v>
      </c>
      <c r="AA313" s="6" t="s">
        <v>1048</v>
      </c>
      <c r="AB313" s="6" t="s">
        <v>768</v>
      </c>
    </row>
    <row r="314" spans="1:28" x14ac:dyDescent="0.25">
      <c r="A314" t="s">
        <v>1045</v>
      </c>
      <c r="B314" t="s">
        <v>757</v>
      </c>
      <c r="C314">
        <v>0</v>
      </c>
      <c r="D314" t="s">
        <v>1393</v>
      </c>
      <c r="E314" t="s">
        <v>31</v>
      </c>
      <c r="F314" t="s">
        <v>1394</v>
      </c>
      <c r="G314" t="s">
        <v>760</v>
      </c>
      <c r="H314" t="s">
        <v>761</v>
      </c>
      <c r="I314" t="s">
        <v>762</v>
      </c>
      <c r="J314" t="s">
        <v>763</v>
      </c>
      <c r="K314">
        <v>27.49</v>
      </c>
      <c r="L314">
        <v>27.49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 s="6" t="s">
        <v>764</v>
      </c>
      <c r="X314" s="6" t="s">
        <v>765</v>
      </c>
      <c r="Y314" s="6" t="s">
        <v>766</v>
      </c>
      <c r="Z314" s="6" t="s">
        <v>767</v>
      </c>
      <c r="AA314" s="6" t="s">
        <v>1048</v>
      </c>
      <c r="AB314" s="6" t="s">
        <v>768</v>
      </c>
    </row>
    <row r="315" spans="1:28" x14ac:dyDescent="0.25">
      <c r="A315" t="s">
        <v>756</v>
      </c>
      <c r="B315" t="s">
        <v>757</v>
      </c>
      <c r="C315">
        <v>0</v>
      </c>
      <c r="D315" t="s">
        <v>1395</v>
      </c>
      <c r="E315" t="s">
        <v>30</v>
      </c>
      <c r="F315" t="s">
        <v>1396</v>
      </c>
      <c r="G315" t="s">
        <v>760</v>
      </c>
      <c r="H315" t="s">
        <v>761</v>
      </c>
      <c r="I315" t="s">
        <v>762</v>
      </c>
      <c r="J315" t="s">
        <v>763</v>
      </c>
      <c r="K315">
        <v>29.31</v>
      </c>
      <c r="L315">
        <v>29.31</v>
      </c>
      <c r="M315">
        <v>29.31</v>
      </c>
      <c r="N315">
        <v>29.31</v>
      </c>
      <c r="O315">
        <v>29.31</v>
      </c>
      <c r="P315">
        <v>29.31</v>
      </c>
      <c r="Q315">
        <v>29.31</v>
      </c>
      <c r="R315">
        <v>29.31</v>
      </c>
      <c r="S315">
        <v>29.31</v>
      </c>
      <c r="T315">
        <v>29.31</v>
      </c>
      <c r="U315">
        <v>29.31</v>
      </c>
      <c r="V315">
        <v>29.31</v>
      </c>
      <c r="W315" s="6" t="s">
        <v>764</v>
      </c>
      <c r="X315" s="6" t="s">
        <v>765</v>
      </c>
      <c r="Y315" s="6" t="s">
        <v>766</v>
      </c>
      <c r="Z315" s="6" t="s">
        <v>767</v>
      </c>
      <c r="AA315" s="6" t="s">
        <v>61</v>
      </c>
      <c r="AB315" s="6" t="s">
        <v>768</v>
      </c>
    </row>
    <row r="316" spans="1:28" x14ac:dyDescent="0.25">
      <c r="A316" t="s">
        <v>756</v>
      </c>
      <c r="B316" t="s">
        <v>757</v>
      </c>
      <c r="C316">
        <v>0</v>
      </c>
      <c r="D316" t="s">
        <v>1397</v>
      </c>
      <c r="E316" t="s">
        <v>30</v>
      </c>
      <c r="F316" t="s">
        <v>1398</v>
      </c>
      <c r="G316" t="s">
        <v>760</v>
      </c>
      <c r="H316" t="s">
        <v>761</v>
      </c>
      <c r="I316" t="s">
        <v>762</v>
      </c>
      <c r="J316" t="s">
        <v>763</v>
      </c>
      <c r="K316">
        <v>0</v>
      </c>
      <c r="L316">
        <v>0</v>
      </c>
      <c r="M316">
        <v>0</v>
      </c>
      <c r="N316">
        <v>29.31</v>
      </c>
      <c r="O316">
        <v>29.31</v>
      </c>
      <c r="P316">
        <v>29.31</v>
      </c>
      <c r="Q316">
        <v>29.31</v>
      </c>
      <c r="R316">
        <v>29.31</v>
      </c>
      <c r="S316">
        <v>29.31</v>
      </c>
      <c r="T316">
        <v>29.31</v>
      </c>
      <c r="U316">
        <v>29.31</v>
      </c>
      <c r="V316">
        <v>29.31</v>
      </c>
      <c r="W316" s="6" t="s">
        <v>764</v>
      </c>
      <c r="X316" s="6" t="s">
        <v>765</v>
      </c>
      <c r="Y316" s="6" t="s">
        <v>766</v>
      </c>
      <c r="Z316" s="6" t="s">
        <v>767</v>
      </c>
      <c r="AA316" s="6" t="s">
        <v>61</v>
      </c>
      <c r="AB316" s="6" t="s">
        <v>768</v>
      </c>
    </row>
    <row r="317" spans="1:28" x14ac:dyDescent="0.25">
      <c r="A317" t="s">
        <v>756</v>
      </c>
      <c r="B317" t="s">
        <v>757</v>
      </c>
      <c r="C317">
        <v>0</v>
      </c>
      <c r="D317" t="s">
        <v>1399</v>
      </c>
      <c r="E317" t="s">
        <v>30</v>
      </c>
      <c r="F317" t="s">
        <v>1400</v>
      </c>
      <c r="G317" t="s">
        <v>760</v>
      </c>
      <c r="H317" t="s">
        <v>761</v>
      </c>
      <c r="I317" t="s">
        <v>762</v>
      </c>
      <c r="J317" t="s">
        <v>763</v>
      </c>
      <c r="K317">
        <v>29.31</v>
      </c>
      <c r="L317">
        <v>29.31</v>
      </c>
      <c r="M317">
        <v>29.31</v>
      </c>
      <c r="N317">
        <v>29.31</v>
      </c>
      <c r="O317">
        <v>29.31</v>
      </c>
      <c r="P317">
        <v>29.31</v>
      </c>
      <c r="Q317">
        <v>29.31</v>
      </c>
      <c r="R317">
        <v>29.31</v>
      </c>
      <c r="S317">
        <v>29.31</v>
      </c>
      <c r="T317">
        <v>29.31</v>
      </c>
      <c r="U317">
        <v>29.31</v>
      </c>
      <c r="V317">
        <v>29.31</v>
      </c>
      <c r="W317" s="6" t="s">
        <v>764</v>
      </c>
      <c r="X317" s="6" t="s">
        <v>765</v>
      </c>
      <c r="Y317" s="6" t="s">
        <v>766</v>
      </c>
      <c r="Z317" s="6" t="s">
        <v>767</v>
      </c>
      <c r="AA317" s="6" t="s">
        <v>61</v>
      </c>
      <c r="AB317" s="6" t="s">
        <v>768</v>
      </c>
    </row>
    <row r="318" spans="1:28" x14ac:dyDescent="0.25">
      <c r="A318" t="s">
        <v>756</v>
      </c>
      <c r="B318" t="s">
        <v>757</v>
      </c>
      <c r="C318">
        <v>0</v>
      </c>
      <c r="D318" t="s">
        <v>1401</v>
      </c>
      <c r="E318" t="s">
        <v>30</v>
      </c>
      <c r="F318" t="s">
        <v>1402</v>
      </c>
      <c r="G318" t="s">
        <v>760</v>
      </c>
      <c r="H318" t="s">
        <v>761</v>
      </c>
      <c r="I318" t="s">
        <v>762</v>
      </c>
      <c r="J318" t="s">
        <v>763</v>
      </c>
      <c r="K318">
        <v>29.31</v>
      </c>
      <c r="L318">
        <v>29.31</v>
      </c>
      <c r="M318">
        <v>29.31</v>
      </c>
      <c r="N318">
        <v>29.31</v>
      </c>
      <c r="O318">
        <v>29.31</v>
      </c>
      <c r="P318">
        <v>29.31</v>
      </c>
      <c r="Q318">
        <v>29.31</v>
      </c>
      <c r="R318">
        <v>29.31</v>
      </c>
      <c r="S318">
        <v>29.31</v>
      </c>
      <c r="T318">
        <v>29.31</v>
      </c>
      <c r="U318">
        <v>29.31</v>
      </c>
      <c r="V318">
        <v>29.31</v>
      </c>
      <c r="W318" s="6" t="s">
        <v>764</v>
      </c>
      <c r="X318" s="6" t="s">
        <v>765</v>
      </c>
      <c r="Y318" s="6" t="s">
        <v>766</v>
      </c>
      <c r="Z318" s="6" t="s">
        <v>767</v>
      </c>
      <c r="AA318" s="6" t="s">
        <v>61</v>
      </c>
      <c r="AB318" s="6" t="s">
        <v>768</v>
      </c>
    </row>
    <row r="319" spans="1:28" x14ac:dyDescent="0.25">
      <c r="A319" t="s">
        <v>756</v>
      </c>
      <c r="B319" t="s">
        <v>757</v>
      </c>
      <c r="C319">
        <v>0</v>
      </c>
      <c r="D319" t="s">
        <v>1403</v>
      </c>
      <c r="E319" t="s">
        <v>30</v>
      </c>
      <c r="F319" t="s">
        <v>1404</v>
      </c>
      <c r="G319" t="s">
        <v>760</v>
      </c>
      <c r="H319" t="s">
        <v>761</v>
      </c>
      <c r="I319" t="s">
        <v>762</v>
      </c>
      <c r="J319" t="s">
        <v>763</v>
      </c>
      <c r="K319">
        <v>29.31</v>
      </c>
      <c r="L319">
        <v>29.31</v>
      </c>
      <c r="M319">
        <v>29.31</v>
      </c>
      <c r="N319">
        <v>29.31</v>
      </c>
      <c r="O319">
        <v>29.31</v>
      </c>
      <c r="P319">
        <v>29.31</v>
      </c>
      <c r="Q319">
        <v>29.31</v>
      </c>
      <c r="R319">
        <v>29.31</v>
      </c>
      <c r="S319">
        <v>29.31</v>
      </c>
      <c r="T319">
        <v>29.31</v>
      </c>
      <c r="U319">
        <v>29.31</v>
      </c>
      <c r="V319">
        <v>29.31</v>
      </c>
      <c r="W319" s="6" t="s">
        <v>764</v>
      </c>
      <c r="X319" s="6" t="s">
        <v>765</v>
      </c>
      <c r="Y319" s="6" t="s">
        <v>766</v>
      </c>
      <c r="Z319" s="6" t="s">
        <v>767</v>
      </c>
      <c r="AA319" s="6" t="s">
        <v>61</v>
      </c>
      <c r="AB319" s="6" t="s">
        <v>768</v>
      </c>
    </row>
    <row r="320" spans="1:28" x14ac:dyDescent="0.25">
      <c r="A320" t="s">
        <v>756</v>
      </c>
      <c r="B320" t="s">
        <v>757</v>
      </c>
      <c r="C320">
        <v>0</v>
      </c>
      <c r="D320" t="s">
        <v>1405</v>
      </c>
      <c r="E320" t="s">
        <v>30</v>
      </c>
      <c r="F320" t="s">
        <v>1406</v>
      </c>
      <c r="G320" t="s">
        <v>760</v>
      </c>
      <c r="H320" t="s">
        <v>761</v>
      </c>
      <c r="I320" t="s">
        <v>762</v>
      </c>
      <c r="J320" t="s">
        <v>763</v>
      </c>
      <c r="K320">
        <v>29.31</v>
      </c>
      <c r="L320">
        <v>29.31</v>
      </c>
      <c r="M320">
        <v>29.31</v>
      </c>
      <c r="N320">
        <v>29.31</v>
      </c>
      <c r="O320">
        <v>29.31</v>
      </c>
      <c r="P320">
        <v>29.31</v>
      </c>
      <c r="Q320">
        <v>29.31</v>
      </c>
      <c r="R320">
        <v>29.31</v>
      </c>
      <c r="S320">
        <v>29.31</v>
      </c>
      <c r="T320">
        <v>29.31</v>
      </c>
      <c r="U320">
        <v>29.31</v>
      </c>
      <c r="V320">
        <v>29.31</v>
      </c>
      <c r="W320" s="6" t="s">
        <v>764</v>
      </c>
      <c r="X320" s="6" t="s">
        <v>765</v>
      </c>
      <c r="Y320" s="6" t="s">
        <v>766</v>
      </c>
      <c r="Z320" s="6" t="s">
        <v>767</v>
      </c>
      <c r="AA320" s="6" t="s">
        <v>61</v>
      </c>
      <c r="AB320" s="6" t="s">
        <v>768</v>
      </c>
    </row>
    <row r="321" spans="1:28" x14ac:dyDescent="0.25">
      <c r="A321" t="s">
        <v>756</v>
      </c>
      <c r="B321" t="s">
        <v>757</v>
      </c>
      <c r="C321">
        <v>0</v>
      </c>
      <c r="D321" t="s">
        <v>1407</v>
      </c>
      <c r="E321" t="s">
        <v>30</v>
      </c>
      <c r="F321" t="s">
        <v>1408</v>
      </c>
      <c r="G321" t="s">
        <v>760</v>
      </c>
      <c r="H321" t="s">
        <v>761</v>
      </c>
      <c r="I321" t="s">
        <v>762</v>
      </c>
      <c r="J321" t="s">
        <v>763</v>
      </c>
      <c r="K321">
        <v>29.31</v>
      </c>
      <c r="L321">
        <v>29.31</v>
      </c>
      <c r="M321">
        <v>29.31</v>
      </c>
      <c r="N321">
        <v>29.31</v>
      </c>
      <c r="O321">
        <v>29.31</v>
      </c>
      <c r="P321">
        <v>29.31</v>
      </c>
      <c r="Q321">
        <v>29.31</v>
      </c>
      <c r="R321">
        <v>29.31</v>
      </c>
      <c r="S321">
        <v>29.31</v>
      </c>
      <c r="T321">
        <v>29.31</v>
      </c>
      <c r="U321">
        <v>29.31</v>
      </c>
      <c r="V321">
        <v>29.31</v>
      </c>
      <c r="W321" s="6" t="s">
        <v>764</v>
      </c>
      <c r="X321" s="6" t="s">
        <v>765</v>
      </c>
      <c r="Y321" s="6" t="s">
        <v>766</v>
      </c>
      <c r="Z321" s="6" t="s">
        <v>767</v>
      </c>
      <c r="AA321" s="6" t="s">
        <v>61</v>
      </c>
      <c r="AB321" s="6" t="s">
        <v>768</v>
      </c>
    </row>
    <row r="322" spans="1:28" x14ac:dyDescent="0.25">
      <c r="A322" t="s">
        <v>756</v>
      </c>
      <c r="B322" t="s">
        <v>757</v>
      </c>
      <c r="C322">
        <v>0</v>
      </c>
      <c r="D322" t="s">
        <v>1409</v>
      </c>
      <c r="E322" t="s">
        <v>30</v>
      </c>
      <c r="F322" t="s">
        <v>1410</v>
      </c>
      <c r="G322" t="s">
        <v>760</v>
      </c>
      <c r="H322" t="s">
        <v>761</v>
      </c>
      <c r="I322" t="s">
        <v>762</v>
      </c>
      <c r="J322" t="s">
        <v>763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29.31</v>
      </c>
      <c r="S322">
        <v>29.31</v>
      </c>
      <c r="T322">
        <v>29.31</v>
      </c>
      <c r="U322">
        <v>29.31</v>
      </c>
      <c r="V322">
        <v>29.31</v>
      </c>
      <c r="W322" s="6" t="s">
        <v>764</v>
      </c>
      <c r="X322" s="6" t="s">
        <v>765</v>
      </c>
      <c r="Y322" s="6" t="s">
        <v>766</v>
      </c>
      <c r="Z322" s="6" t="s">
        <v>767</v>
      </c>
      <c r="AA322" s="6" t="s">
        <v>61</v>
      </c>
      <c r="AB322" s="6" t="s">
        <v>768</v>
      </c>
    </row>
    <row r="323" spans="1:28" x14ac:dyDescent="0.25">
      <c r="A323" t="s">
        <v>756</v>
      </c>
      <c r="B323" t="s">
        <v>757</v>
      </c>
      <c r="C323">
        <v>0</v>
      </c>
      <c r="D323" t="s">
        <v>1411</v>
      </c>
      <c r="E323" t="s">
        <v>30</v>
      </c>
      <c r="F323" t="s">
        <v>1412</v>
      </c>
      <c r="G323" t="s">
        <v>760</v>
      </c>
      <c r="H323" t="s">
        <v>761</v>
      </c>
      <c r="I323" t="s">
        <v>762</v>
      </c>
      <c r="J323" t="s">
        <v>763</v>
      </c>
      <c r="K323">
        <v>29.31</v>
      </c>
      <c r="L323">
        <v>29.31</v>
      </c>
      <c r="M323">
        <v>29.31</v>
      </c>
      <c r="N323">
        <v>29.31</v>
      </c>
      <c r="O323">
        <v>29.31</v>
      </c>
      <c r="P323">
        <v>29.31</v>
      </c>
      <c r="Q323">
        <v>29.31</v>
      </c>
      <c r="R323">
        <v>29.31</v>
      </c>
      <c r="S323">
        <v>29.31</v>
      </c>
      <c r="T323">
        <v>29.31</v>
      </c>
      <c r="U323">
        <v>29.31</v>
      </c>
      <c r="V323">
        <v>29.31</v>
      </c>
      <c r="W323" s="6" t="s">
        <v>764</v>
      </c>
      <c r="X323" s="6" t="s">
        <v>765</v>
      </c>
      <c r="Y323" s="6" t="s">
        <v>766</v>
      </c>
      <c r="Z323" s="6" t="s">
        <v>767</v>
      </c>
      <c r="AA323" s="6" t="s">
        <v>61</v>
      </c>
      <c r="AB323" s="6" t="s">
        <v>768</v>
      </c>
    </row>
    <row r="324" spans="1:28" x14ac:dyDescent="0.25">
      <c r="A324" t="s">
        <v>756</v>
      </c>
      <c r="B324" t="s">
        <v>757</v>
      </c>
      <c r="C324">
        <v>0</v>
      </c>
      <c r="D324" t="s">
        <v>1413</v>
      </c>
      <c r="E324" t="s">
        <v>30</v>
      </c>
      <c r="F324" t="s">
        <v>1414</v>
      </c>
      <c r="G324" t="s">
        <v>760</v>
      </c>
      <c r="H324" t="s">
        <v>761</v>
      </c>
      <c r="I324" t="s">
        <v>762</v>
      </c>
      <c r="J324" t="s">
        <v>763</v>
      </c>
      <c r="K324">
        <v>29.31</v>
      </c>
      <c r="L324">
        <v>29.31</v>
      </c>
      <c r="M324">
        <v>29.31</v>
      </c>
      <c r="N324">
        <v>29.31</v>
      </c>
      <c r="O324">
        <v>29.31</v>
      </c>
      <c r="P324">
        <v>29.31</v>
      </c>
      <c r="Q324">
        <v>29.31</v>
      </c>
      <c r="R324">
        <v>29.31</v>
      </c>
      <c r="S324">
        <v>29.31</v>
      </c>
      <c r="T324">
        <v>29.31</v>
      </c>
      <c r="U324">
        <v>29.31</v>
      </c>
      <c r="V324">
        <v>29.31</v>
      </c>
      <c r="W324" s="6" t="s">
        <v>764</v>
      </c>
      <c r="X324" s="6" t="s">
        <v>765</v>
      </c>
      <c r="Y324" s="6" t="s">
        <v>766</v>
      </c>
      <c r="Z324" s="6" t="s">
        <v>767</v>
      </c>
      <c r="AA324" s="6" t="s">
        <v>61</v>
      </c>
      <c r="AB324" s="6" t="s">
        <v>768</v>
      </c>
    </row>
    <row r="325" spans="1:28" x14ac:dyDescent="0.25">
      <c r="A325" t="s">
        <v>756</v>
      </c>
      <c r="B325" t="s">
        <v>757</v>
      </c>
      <c r="C325">
        <v>0</v>
      </c>
      <c r="D325" t="s">
        <v>1415</v>
      </c>
      <c r="E325" t="s">
        <v>30</v>
      </c>
      <c r="F325" t="s">
        <v>1416</v>
      </c>
      <c r="G325" t="s">
        <v>760</v>
      </c>
      <c r="H325" t="s">
        <v>761</v>
      </c>
      <c r="I325" t="s">
        <v>762</v>
      </c>
      <c r="J325" t="s">
        <v>763</v>
      </c>
      <c r="K325">
        <v>29.31</v>
      </c>
      <c r="L325">
        <v>29.31</v>
      </c>
      <c r="M325">
        <v>29.31</v>
      </c>
      <c r="N325">
        <v>29.31</v>
      </c>
      <c r="O325">
        <v>29.31</v>
      </c>
      <c r="P325">
        <v>29.31</v>
      </c>
      <c r="Q325">
        <v>29.31</v>
      </c>
      <c r="R325">
        <v>29.31</v>
      </c>
      <c r="S325">
        <v>29.31</v>
      </c>
      <c r="T325">
        <v>29.31</v>
      </c>
      <c r="U325">
        <v>29.31</v>
      </c>
      <c r="V325">
        <v>29.31</v>
      </c>
      <c r="W325" s="6" t="s">
        <v>764</v>
      </c>
      <c r="X325" s="6" t="s">
        <v>765</v>
      </c>
      <c r="Y325" s="6" t="s">
        <v>766</v>
      </c>
      <c r="Z325" s="6" t="s">
        <v>767</v>
      </c>
      <c r="AA325" s="6" t="s">
        <v>61</v>
      </c>
      <c r="AB325" s="6" t="s">
        <v>768</v>
      </c>
    </row>
    <row r="326" spans="1:28" x14ac:dyDescent="0.25">
      <c r="A326" t="s">
        <v>756</v>
      </c>
      <c r="B326" t="s">
        <v>757</v>
      </c>
      <c r="C326">
        <v>0</v>
      </c>
      <c r="D326" t="s">
        <v>1417</v>
      </c>
      <c r="E326" t="s">
        <v>30</v>
      </c>
      <c r="F326" t="s">
        <v>1418</v>
      </c>
      <c r="G326" t="s">
        <v>760</v>
      </c>
      <c r="H326" t="s">
        <v>761</v>
      </c>
      <c r="I326" t="s">
        <v>762</v>
      </c>
      <c r="J326" t="s">
        <v>763</v>
      </c>
      <c r="K326">
        <v>29.31</v>
      </c>
      <c r="L326">
        <v>29.31</v>
      </c>
      <c r="M326">
        <v>29.31</v>
      </c>
      <c r="N326">
        <v>29.31</v>
      </c>
      <c r="O326">
        <v>29.31</v>
      </c>
      <c r="P326">
        <v>29.31</v>
      </c>
      <c r="Q326">
        <v>29.31</v>
      </c>
      <c r="R326">
        <v>29.31</v>
      </c>
      <c r="S326">
        <v>29.31</v>
      </c>
      <c r="T326">
        <v>29.31</v>
      </c>
      <c r="U326">
        <v>29.31</v>
      </c>
      <c r="V326">
        <v>29.31</v>
      </c>
      <c r="W326" s="6" t="s">
        <v>764</v>
      </c>
      <c r="X326" s="6" t="s">
        <v>765</v>
      </c>
      <c r="Y326" s="6" t="s">
        <v>766</v>
      </c>
      <c r="Z326" s="6" t="s">
        <v>767</v>
      </c>
      <c r="AA326" s="6" t="s">
        <v>61</v>
      </c>
      <c r="AB326" s="6" t="s">
        <v>768</v>
      </c>
    </row>
    <row r="327" spans="1:28" x14ac:dyDescent="0.25">
      <c r="A327" t="s">
        <v>756</v>
      </c>
      <c r="B327" t="s">
        <v>757</v>
      </c>
      <c r="C327">
        <v>0</v>
      </c>
      <c r="D327" t="s">
        <v>1419</v>
      </c>
      <c r="E327" t="s">
        <v>30</v>
      </c>
      <c r="F327" t="s">
        <v>1420</v>
      </c>
      <c r="G327" t="s">
        <v>760</v>
      </c>
      <c r="H327" t="s">
        <v>761</v>
      </c>
      <c r="I327" t="s">
        <v>762</v>
      </c>
      <c r="J327" t="s">
        <v>763</v>
      </c>
      <c r="K327">
        <v>29.31</v>
      </c>
      <c r="L327">
        <v>29.31</v>
      </c>
      <c r="M327">
        <v>29.31</v>
      </c>
      <c r="N327">
        <v>29.31</v>
      </c>
      <c r="O327">
        <v>29.31</v>
      </c>
      <c r="P327">
        <v>29.31</v>
      </c>
      <c r="Q327">
        <v>29.31</v>
      </c>
      <c r="R327">
        <v>29.31</v>
      </c>
      <c r="S327">
        <v>29.31</v>
      </c>
      <c r="T327">
        <v>29.31</v>
      </c>
      <c r="U327">
        <v>29.31</v>
      </c>
      <c r="V327">
        <v>29.31</v>
      </c>
      <c r="W327" s="6" t="s">
        <v>764</v>
      </c>
      <c r="X327" s="6" t="s">
        <v>765</v>
      </c>
      <c r="Y327" s="6" t="s">
        <v>766</v>
      </c>
      <c r="Z327" s="6" t="s">
        <v>767</v>
      </c>
      <c r="AA327" s="6" t="s">
        <v>61</v>
      </c>
      <c r="AB327" s="6" t="s">
        <v>768</v>
      </c>
    </row>
    <row r="328" spans="1:28" x14ac:dyDescent="0.25">
      <c r="A328" t="s">
        <v>756</v>
      </c>
      <c r="B328" t="s">
        <v>757</v>
      </c>
      <c r="C328">
        <v>0</v>
      </c>
      <c r="D328" t="s">
        <v>1421</v>
      </c>
      <c r="E328" t="s">
        <v>30</v>
      </c>
      <c r="F328" t="s">
        <v>1422</v>
      </c>
      <c r="G328" t="s">
        <v>760</v>
      </c>
      <c r="H328" t="s">
        <v>761</v>
      </c>
      <c r="I328" t="s">
        <v>762</v>
      </c>
      <c r="J328" t="s">
        <v>763</v>
      </c>
      <c r="K328">
        <v>29.31</v>
      </c>
      <c r="L328">
        <v>29.31</v>
      </c>
      <c r="M328">
        <v>29.31</v>
      </c>
      <c r="N328">
        <v>29.31</v>
      </c>
      <c r="O328">
        <v>29.31</v>
      </c>
      <c r="P328">
        <v>29.31</v>
      </c>
      <c r="Q328">
        <v>29.31</v>
      </c>
      <c r="R328">
        <v>29.31</v>
      </c>
      <c r="S328">
        <v>29.31</v>
      </c>
      <c r="T328">
        <v>29.31</v>
      </c>
      <c r="U328">
        <v>29.31</v>
      </c>
      <c r="V328">
        <v>29.31</v>
      </c>
      <c r="W328" s="6" t="s">
        <v>764</v>
      </c>
      <c r="X328" s="6" t="s">
        <v>765</v>
      </c>
      <c r="Y328" s="6" t="s">
        <v>766</v>
      </c>
      <c r="Z328" s="6" t="s">
        <v>767</v>
      </c>
      <c r="AA328" s="6" t="s">
        <v>61</v>
      </c>
      <c r="AB328" s="6" t="s">
        <v>768</v>
      </c>
    </row>
    <row r="329" spans="1:28" x14ac:dyDescent="0.25">
      <c r="A329" t="s">
        <v>756</v>
      </c>
      <c r="B329" t="s">
        <v>757</v>
      </c>
      <c r="C329">
        <v>0</v>
      </c>
      <c r="D329" t="s">
        <v>1423</v>
      </c>
      <c r="E329" t="s">
        <v>30</v>
      </c>
      <c r="F329" t="s">
        <v>1424</v>
      </c>
      <c r="G329" t="s">
        <v>760</v>
      </c>
      <c r="H329" t="s">
        <v>761</v>
      </c>
      <c r="I329" t="s">
        <v>762</v>
      </c>
      <c r="J329" t="s">
        <v>763</v>
      </c>
      <c r="K329">
        <v>29.31</v>
      </c>
      <c r="L329">
        <v>29.31</v>
      </c>
      <c r="M329">
        <v>29.31</v>
      </c>
      <c r="N329">
        <v>29.31</v>
      </c>
      <c r="O329">
        <v>29.31</v>
      </c>
      <c r="P329">
        <v>29.31</v>
      </c>
      <c r="Q329">
        <v>29.31</v>
      </c>
      <c r="R329">
        <v>29.31</v>
      </c>
      <c r="S329">
        <v>29.31</v>
      </c>
      <c r="T329">
        <v>29.31</v>
      </c>
      <c r="U329">
        <v>29.31</v>
      </c>
      <c r="V329">
        <v>29.31</v>
      </c>
      <c r="W329" s="6" t="s">
        <v>764</v>
      </c>
      <c r="X329" s="6" t="s">
        <v>765</v>
      </c>
      <c r="Y329" s="6" t="s">
        <v>766</v>
      </c>
      <c r="Z329" s="6" t="s">
        <v>767</v>
      </c>
      <c r="AA329" s="6" t="s">
        <v>61</v>
      </c>
      <c r="AB329" s="6" t="s">
        <v>768</v>
      </c>
    </row>
    <row r="330" spans="1:28" x14ac:dyDescent="0.25">
      <c r="A330" t="s">
        <v>756</v>
      </c>
      <c r="B330" t="s">
        <v>757</v>
      </c>
      <c r="C330">
        <v>0</v>
      </c>
      <c r="D330" t="s">
        <v>1425</v>
      </c>
      <c r="E330" t="s">
        <v>30</v>
      </c>
      <c r="F330" t="s">
        <v>1426</v>
      </c>
      <c r="G330" t="s">
        <v>760</v>
      </c>
      <c r="H330" t="s">
        <v>761</v>
      </c>
      <c r="I330" t="s">
        <v>762</v>
      </c>
      <c r="J330" t="s">
        <v>763</v>
      </c>
      <c r="K330">
        <v>29.31</v>
      </c>
      <c r="L330">
        <v>29.31</v>
      </c>
      <c r="M330">
        <v>29.31</v>
      </c>
      <c r="N330">
        <v>29.31</v>
      </c>
      <c r="O330">
        <v>29.31</v>
      </c>
      <c r="P330">
        <v>29.31</v>
      </c>
      <c r="Q330">
        <v>29.31</v>
      </c>
      <c r="R330">
        <v>29.31</v>
      </c>
      <c r="S330">
        <v>29.31</v>
      </c>
      <c r="T330">
        <v>29.31</v>
      </c>
      <c r="U330">
        <v>29.31</v>
      </c>
      <c r="V330">
        <v>29.31</v>
      </c>
      <c r="W330" s="6" t="s">
        <v>764</v>
      </c>
      <c r="X330" s="6" t="s">
        <v>765</v>
      </c>
      <c r="Y330" s="6" t="s">
        <v>766</v>
      </c>
      <c r="Z330" s="6" t="s">
        <v>767</v>
      </c>
      <c r="AA330" s="6" t="s">
        <v>61</v>
      </c>
      <c r="AB330" s="6" t="s">
        <v>768</v>
      </c>
    </row>
    <row r="331" spans="1:28" x14ac:dyDescent="0.25">
      <c r="A331" t="s">
        <v>756</v>
      </c>
      <c r="B331" t="s">
        <v>757</v>
      </c>
      <c r="C331">
        <v>0</v>
      </c>
      <c r="D331" t="s">
        <v>1427</v>
      </c>
      <c r="E331" t="s">
        <v>30</v>
      </c>
      <c r="F331" t="s">
        <v>1428</v>
      </c>
      <c r="G331" t="s">
        <v>760</v>
      </c>
      <c r="H331" t="s">
        <v>761</v>
      </c>
      <c r="I331" t="s">
        <v>762</v>
      </c>
      <c r="J331" t="s">
        <v>763</v>
      </c>
      <c r="K331">
        <v>29.31</v>
      </c>
      <c r="L331">
        <v>29.31</v>
      </c>
      <c r="M331">
        <v>29.31</v>
      </c>
      <c r="N331">
        <v>29.31</v>
      </c>
      <c r="O331">
        <v>29.31</v>
      </c>
      <c r="P331">
        <v>29.31</v>
      </c>
      <c r="Q331">
        <v>29.31</v>
      </c>
      <c r="R331">
        <v>29.31</v>
      </c>
      <c r="S331">
        <v>29.31</v>
      </c>
      <c r="T331">
        <v>29.31</v>
      </c>
      <c r="U331">
        <v>29.31</v>
      </c>
      <c r="V331">
        <v>29.31</v>
      </c>
      <c r="W331" s="6" t="s">
        <v>764</v>
      </c>
      <c r="X331" s="6" t="s">
        <v>765</v>
      </c>
      <c r="Y331" s="6" t="s">
        <v>766</v>
      </c>
      <c r="Z331" s="6" t="s">
        <v>767</v>
      </c>
      <c r="AA331" s="6" t="s">
        <v>61</v>
      </c>
      <c r="AB331" s="6" t="s">
        <v>768</v>
      </c>
    </row>
    <row r="332" spans="1:28" x14ac:dyDescent="0.25">
      <c r="A332" t="s">
        <v>756</v>
      </c>
      <c r="B332" t="s">
        <v>757</v>
      </c>
      <c r="C332">
        <v>0</v>
      </c>
      <c r="D332" t="s">
        <v>1429</v>
      </c>
      <c r="E332" t="s">
        <v>30</v>
      </c>
      <c r="F332" t="s">
        <v>1430</v>
      </c>
      <c r="G332" t="s">
        <v>760</v>
      </c>
      <c r="H332" t="s">
        <v>761</v>
      </c>
      <c r="I332" t="s">
        <v>762</v>
      </c>
      <c r="J332" t="s">
        <v>763</v>
      </c>
      <c r="K332">
        <v>29.31</v>
      </c>
      <c r="L332">
        <v>29.31</v>
      </c>
      <c r="M332">
        <v>29.31</v>
      </c>
      <c r="N332">
        <v>29.31</v>
      </c>
      <c r="O332">
        <v>29.31</v>
      </c>
      <c r="P332">
        <v>29.31</v>
      </c>
      <c r="Q332">
        <v>29.31</v>
      </c>
      <c r="R332">
        <v>29.31</v>
      </c>
      <c r="S332">
        <v>29.31</v>
      </c>
      <c r="T332">
        <v>29.31</v>
      </c>
      <c r="U332">
        <v>29.31</v>
      </c>
      <c r="V332">
        <v>29.31</v>
      </c>
      <c r="W332" s="6" t="s">
        <v>764</v>
      </c>
      <c r="X332" s="6" t="s">
        <v>765</v>
      </c>
      <c r="Y332" s="6" t="s">
        <v>766</v>
      </c>
      <c r="Z332" s="6" t="s">
        <v>767</v>
      </c>
      <c r="AA332" s="6" t="s">
        <v>61</v>
      </c>
      <c r="AB332" s="6" t="s">
        <v>768</v>
      </c>
    </row>
    <row r="333" spans="1:28" x14ac:dyDescent="0.25">
      <c r="A333" t="s">
        <v>756</v>
      </c>
      <c r="B333" t="s">
        <v>757</v>
      </c>
      <c r="C333">
        <v>0</v>
      </c>
      <c r="D333" t="s">
        <v>1431</v>
      </c>
      <c r="E333" t="s">
        <v>30</v>
      </c>
      <c r="F333" t="s">
        <v>1432</v>
      </c>
      <c r="G333" t="s">
        <v>760</v>
      </c>
      <c r="H333" t="s">
        <v>761</v>
      </c>
      <c r="I333" t="s">
        <v>762</v>
      </c>
      <c r="J333" t="s">
        <v>763</v>
      </c>
      <c r="K333">
        <v>29.31</v>
      </c>
      <c r="L333">
        <v>29.31</v>
      </c>
      <c r="M333">
        <v>29.31</v>
      </c>
      <c r="N333">
        <v>29.31</v>
      </c>
      <c r="O333">
        <v>29.31</v>
      </c>
      <c r="P333">
        <v>29.31</v>
      </c>
      <c r="Q333">
        <v>29.31</v>
      </c>
      <c r="R333">
        <v>29.31</v>
      </c>
      <c r="S333">
        <v>29.31</v>
      </c>
      <c r="T333">
        <v>29.31</v>
      </c>
      <c r="U333">
        <v>29.31</v>
      </c>
      <c r="V333">
        <v>29.31</v>
      </c>
      <c r="W333" s="6" t="s">
        <v>764</v>
      </c>
      <c r="X333" s="6" t="s">
        <v>765</v>
      </c>
      <c r="Y333" s="6" t="s">
        <v>766</v>
      </c>
      <c r="Z333" s="6" t="s">
        <v>767</v>
      </c>
      <c r="AA333" s="6" t="s">
        <v>61</v>
      </c>
      <c r="AB333" s="6" t="s">
        <v>768</v>
      </c>
    </row>
    <row r="334" spans="1:28" x14ac:dyDescent="0.25">
      <c r="A334" t="s">
        <v>756</v>
      </c>
      <c r="B334" t="s">
        <v>757</v>
      </c>
      <c r="C334">
        <v>0</v>
      </c>
      <c r="D334" t="s">
        <v>1433</v>
      </c>
      <c r="E334" t="s">
        <v>30</v>
      </c>
      <c r="F334" t="s">
        <v>1434</v>
      </c>
      <c r="G334" t="s">
        <v>760</v>
      </c>
      <c r="H334" t="s">
        <v>761</v>
      </c>
      <c r="I334" t="s">
        <v>762</v>
      </c>
      <c r="J334" t="s">
        <v>763</v>
      </c>
      <c r="K334">
        <v>29.31</v>
      </c>
      <c r="L334">
        <v>29.31</v>
      </c>
      <c r="M334">
        <v>29.31</v>
      </c>
      <c r="N334">
        <v>29.31</v>
      </c>
      <c r="O334">
        <v>29.31</v>
      </c>
      <c r="P334">
        <v>29.31</v>
      </c>
      <c r="Q334">
        <v>29.31</v>
      </c>
      <c r="R334">
        <v>29.31</v>
      </c>
      <c r="S334">
        <v>29.31</v>
      </c>
      <c r="T334">
        <v>29.31</v>
      </c>
      <c r="U334">
        <v>29.31</v>
      </c>
      <c r="V334">
        <v>29.31</v>
      </c>
      <c r="W334" s="6" t="s">
        <v>764</v>
      </c>
      <c r="X334" s="6" t="s">
        <v>765</v>
      </c>
      <c r="Y334" s="6" t="s">
        <v>766</v>
      </c>
      <c r="Z334" s="6" t="s">
        <v>767</v>
      </c>
      <c r="AA334" s="6" t="s">
        <v>61</v>
      </c>
      <c r="AB334" s="6" t="s">
        <v>768</v>
      </c>
    </row>
    <row r="335" spans="1:28" x14ac:dyDescent="0.25">
      <c r="A335" t="s">
        <v>756</v>
      </c>
      <c r="B335" t="s">
        <v>757</v>
      </c>
      <c r="C335">
        <v>0</v>
      </c>
      <c r="D335" t="s">
        <v>1435</v>
      </c>
      <c r="E335" t="s">
        <v>30</v>
      </c>
      <c r="F335" t="s">
        <v>1436</v>
      </c>
      <c r="G335" t="s">
        <v>760</v>
      </c>
      <c r="H335" t="s">
        <v>761</v>
      </c>
      <c r="I335" t="s">
        <v>762</v>
      </c>
      <c r="J335" t="s">
        <v>763</v>
      </c>
      <c r="K335">
        <v>29.31</v>
      </c>
      <c r="L335">
        <v>29.31</v>
      </c>
      <c r="M335">
        <v>29.31</v>
      </c>
      <c r="N335">
        <v>29.31</v>
      </c>
      <c r="O335">
        <v>29.31</v>
      </c>
      <c r="P335">
        <v>29.31</v>
      </c>
      <c r="Q335">
        <v>29.31</v>
      </c>
      <c r="R335">
        <v>29.31</v>
      </c>
      <c r="S335">
        <v>29.31</v>
      </c>
      <c r="T335">
        <v>29.31</v>
      </c>
      <c r="U335">
        <v>29.31</v>
      </c>
      <c r="V335">
        <v>29.31</v>
      </c>
      <c r="W335" s="6" t="s">
        <v>764</v>
      </c>
      <c r="X335" s="6" t="s">
        <v>765</v>
      </c>
      <c r="Y335" s="6" t="s">
        <v>766</v>
      </c>
      <c r="Z335" s="6" t="s">
        <v>767</v>
      </c>
      <c r="AA335" s="6" t="s">
        <v>61</v>
      </c>
      <c r="AB335" s="6" t="s">
        <v>768</v>
      </c>
    </row>
    <row r="336" spans="1:28" x14ac:dyDescent="0.25">
      <c r="A336" t="s">
        <v>756</v>
      </c>
      <c r="B336" t="s">
        <v>757</v>
      </c>
      <c r="C336">
        <v>0</v>
      </c>
      <c r="D336" t="s">
        <v>1437</v>
      </c>
      <c r="E336" t="s">
        <v>30</v>
      </c>
      <c r="F336" t="s">
        <v>1438</v>
      </c>
      <c r="G336" t="s">
        <v>760</v>
      </c>
      <c r="H336" t="s">
        <v>761</v>
      </c>
      <c r="I336" t="s">
        <v>762</v>
      </c>
      <c r="J336" t="s">
        <v>763</v>
      </c>
      <c r="K336">
        <v>29.31</v>
      </c>
      <c r="L336">
        <v>29.31</v>
      </c>
      <c r="M336">
        <v>29.31</v>
      </c>
      <c r="N336">
        <v>29.31</v>
      </c>
      <c r="O336">
        <v>29.31</v>
      </c>
      <c r="P336">
        <v>29.31</v>
      </c>
      <c r="Q336">
        <v>29.31</v>
      </c>
      <c r="R336">
        <v>29.31</v>
      </c>
      <c r="S336">
        <v>29.31</v>
      </c>
      <c r="T336">
        <v>29.31</v>
      </c>
      <c r="U336">
        <v>29.31</v>
      </c>
      <c r="V336">
        <v>29.31</v>
      </c>
      <c r="W336" s="6" t="s">
        <v>764</v>
      </c>
      <c r="X336" s="6" t="s">
        <v>765</v>
      </c>
      <c r="Y336" s="6" t="s">
        <v>766</v>
      </c>
      <c r="Z336" s="6" t="s">
        <v>767</v>
      </c>
      <c r="AA336" s="6" t="s">
        <v>61</v>
      </c>
      <c r="AB336" s="6" t="s">
        <v>768</v>
      </c>
    </row>
    <row r="337" spans="1:28" x14ac:dyDescent="0.25">
      <c r="A337" t="s">
        <v>756</v>
      </c>
      <c r="B337" t="s">
        <v>757</v>
      </c>
      <c r="C337">
        <v>0</v>
      </c>
      <c r="D337" t="s">
        <v>1439</v>
      </c>
      <c r="E337" t="s">
        <v>30</v>
      </c>
      <c r="F337" t="s">
        <v>1440</v>
      </c>
      <c r="G337" t="s">
        <v>760</v>
      </c>
      <c r="H337" t="s">
        <v>761</v>
      </c>
      <c r="I337" t="s">
        <v>762</v>
      </c>
      <c r="J337" t="s">
        <v>763</v>
      </c>
      <c r="K337">
        <v>29.31</v>
      </c>
      <c r="L337">
        <v>29.31</v>
      </c>
      <c r="M337">
        <v>29.31</v>
      </c>
      <c r="N337">
        <v>29.31</v>
      </c>
      <c r="O337">
        <v>29.31</v>
      </c>
      <c r="P337">
        <v>29.31</v>
      </c>
      <c r="Q337">
        <v>29.31</v>
      </c>
      <c r="R337">
        <v>29.31</v>
      </c>
      <c r="S337">
        <v>29.31</v>
      </c>
      <c r="T337">
        <v>29.31</v>
      </c>
      <c r="U337">
        <v>29.31</v>
      </c>
      <c r="V337">
        <v>29.31</v>
      </c>
      <c r="W337" s="6" t="s">
        <v>764</v>
      </c>
      <c r="X337" s="6" t="s">
        <v>765</v>
      </c>
      <c r="Y337" s="6" t="s">
        <v>766</v>
      </c>
      <c r="Z337" s="6" t="s">
        <v>767</v>
      </c>
      <c r="AA337" s="6" t="s">
        <v>61</v>
      </c>
      <c r="AB337" s="6" t="s">
        <v>768</v>
      </c>
    </row>
    <row r="338" spans="1:28" x14ac:dyDescent="0.25">
      <c r="A338" t="s">
        <v>756</v>
      </c>
      <c r="B338" t="s">
        <v>757</v>
      </c>
      <c r="C338">
        <v>0</v>
      </c>
      <c r="D338" t="s">
        <v>1441</v>
      </c>
      <c r="E338" t="s">
        <v>30</v>
      </c>
      <c r="F338" t="s">
        <v>1442</v>
      </c>
      <c r="G338" t="s">
        <v>760</v>
      </c>
      <c r="H338" t="s">
        <v>761</v>
      </c>
      <c r="I338" t="s">
        <v>762</v>
      </c>
      <c r="J338" t="s">
        <v>763</v>
      </c>
      <c r="K338">
        <v>29.31</v>
      </c>
      <c r="L338">
        <v>29.31</v>
      </c>
      <c r="M338">
        <v>29.31</v>
      </c>
      <c r="N338">
        <v>29.31</v>
      </c>
      <c r="O338">
        <v>29.31</v>
      </c>
      <c r="P338">
        <v>29.31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 s="6" t="s">
        <v>764</v>
      </c>
      <c r="X338" s="6" t="s">
        <v>765</v>
      </c>
      <c r="Y338" s="6" t="s">
        <v>766</v>
      </c>
      <c r="Z338" s="6" t="s">
        <v>767</v>
      </c>
      <c r="AA338" s="6" t="s">
        <v>61</v>
      </c>
      <c r="AB338" s="6" t="s">
        <v>768</v>
      </c>
    </row>
    <row r="339" spans="1:28" x14ac:dyDescent="0.25">
      <c r="A339" t="s">
        <v>756</v>
      </c>
      <c r="B339" t="s">
        <v>757</v>
      </c>
      <c r="C339">
        <v>0</v>
      </c>
      <c r="D339" t="s">
        <v>1443</v>
      </c>
      <c r="E339" t="s">
        <v>30</v>
      </c>
      <c r="F339" t="s">
        <v>1444</v>
      </c>
      <c r="G339" t="s">
        <v>760</v>
      </c>
      <c r="H339" t="s">
        <v>761</v>
      </c>
      <c r="I339" t="s">
        <v>762</v>
      </c>
      <c r="J339" t="s">
        <v>763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29.31</v>
      </c>
      <c r="S339">
        <v>29.31</v>
      </c>
      <c r="T339">
        <v>29.31</v>
      </c>
      <c r="U339">
        <v>29.31</v>
      </c>
      <c r="V339">
        <v>29.31</v>
      </c>
      <c r="W339" s="6" t="s">
        <v>764</v>
      </c>
      <c r="X339" s="6" t="s">
        <v>765</v>
      </c>
      <c r="Y339" s="6" t="s">
        <v>766</v>
      </c>
      <c r="Z339" s="6" t="s">
        <v>767</v>
      </c>
      <c r="AA339" s="6" t="s">
        <v>61</v>
      </c>
      <c r="AB339" s="6" t="s">
        <v>768</v>
      </c>
    </row>
    <row r="340" spans="1:28" x14ac:dyDescent="0.25">
      <c r="A340" t="s">
        <v>756</v>
      </c>
      <c r="B340" t="s">
        <v>757</v>
      </c>
      <c r="C340">
        <v>0</v>
      </c>
      <c r="D340" t="s">
        <v>1445</v>
      </c>
      <c r="E340" t="s">
        <v>30</v>
      </c>
      <c r="F340" t="s">
        <v>1446</v>
      </c>
      <c r="G340" t="s">
        <v>760</v>
      </c>
      <c r="H340" t="s">
        <v>761</v>
      </c>
      <c r="I340" t="s">
        <v>762</v>
      </c>
      <c r="J340" t="s">
        <v>763</v>
      </c>
      <c r="K340">
        <v>0</v>
      </c>
      <c r="L340">
        <v>29.31</v>
      </c>
      <c r="M340">
        <v>29.31</v>
      </c>
      <c r="N340">
        <v>29.31</v>
      </c>
      <c r="O340">
        <v>29.31</v>
      </c>
      <c r="P340">
        <v>29.31</v>
      </c>
      <c r="Q340">
        <v>29.31</v>
      </c>
      <c r="R340">
        <v>29.31</v>
      </c>
      <c r="S340">
        <v>29.31</v>
      </c>
      <c r="T340">
        <v>29.31</v>
      </c>
      <c r="U340">
        <v>29.31</v>
      </c>
      <c r="V340">
        <v>29.31</v>
      </c>
      <c r="W340" s="6" t="s">
        <v>764</v>
      </c>
      <c r="X340" s="6" t="s">
        <v>765</v>
      </c>
      <c r="Y340" s="6" t="s">
        <v>766</v>
      </c>
      <c r="Z340" s="6" t="s">
        <v>767</v>
      </c>
      <c r="AA340" s="6" t="s">
        <v>61</v>
      </c>
      <c r="AB340" s="6" t="s">
        <v>768</v>
      </c>
    </row>
    <row r="341" spans="1:28" x14ac:dyDescent="0.25">
      <c r="A341" t="s">
        <v>756</v>
      </c>
      <c r="B341" t="s">
        <v>757</v>
      </c>
      <c r="C341">
        <v>0</v>
      </c>
      <c r="D341" t="s">
        <v>1447</v>
      </c>
      <c r="E341" t="s">
        <v>30</v>
      </c>
      <c r="F341" t="s">
        <v>1448</v>
      </c>
      <c r="G341" t="s">
        <v>760</v>
      </c>
      <c r="H341" t="s">
        <v>761</v>
      </c>
      <c r="I341" t="s">
        <v>762</v>
      </c>
      <c r="J341" t="s">
        <v>763</v>
      </c>
      <c r="K341">
        <v>29.31</v>
      </c>
      <c r="L341">
        <v>29.31</v>
      </c>
      <c r="M341">
        <v>29.31</v>
      </c>
      <c r="N341">
        <v>29.31</v>
      </c>
      <c r="O341">
        <v>29.31</v>
      </c>
      <c r="P341">
        <v>29.31</v>
      </c>
      <c r="Q341">
        <v>29.31</v>
      </c>
      <c r="R341">
        <v>29.31</v>
      </c>
      <c r="S341">
        <v>29.31</v>
      </c>
      <c r="T341">
        <v>29.31</v>
      </c>
      <c r="U341">
        <v>29.31</v>
      </c>
      <c r="V341">
        <v>29.31</v>
      </c>
      <c r="W341" s="6" t="s">
        <v>764</v>
      </c>
      <c r="X341" s="6" t="s">
        <v>765</v>
      </c>
      <c r="Y341" s="6" t="s">
        <v>766</v>
      </c>
      <c r="Z341" s="6" t="s">
        <v>767</v>
      </c>
      <c r="AA341" s="6" t="s">
        <v>61</v>
      </c>
      <c r="AB341" s="6" t="s">
        <v>768</v>
      </c>
    </row>
    <row r="342" spans="1:28" x14ac:dyDescent="0.25">
      <c r="A342" t="s">
        <v>756</v>
      </c>
      <c r="B342" t="s">
        <v>757</v>
      </c>
      <c r="C342">
        <v>0</v>
      </c>
      <c r="D342" t="s">
        <v>1449</v>
      </c>
      <c r="E342" t="s">
        <v>30</v>
      </c>
      <c r="F342" t="s">
        <v>1450</v>
      </c>
      <c r="G342" t="s">
        <v>760</v>
      </c>
      <c r="H342" t="s">
        <v>761</v>
      </c>
      <c r="I342" t="s">
        <v>762</v>
      </c>
      <c r="J342" t="s">
        <v>763</v>
      </c>
      <c r="K342">
        <v>29.31</v>
      </c>
      <c r="L342">
        <v>29.31</v>
      </c>
      <c r="M342">
        <v>29.31</v>
      </c>
      <c r="N342">
        <v>29.31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 s="6" t="s">
        <v>764</v>
      </c>
      <c r="X342" s="6" t="s">
        <v>765</v>
      </c>
      <c r="Y342" s="6" t="s">
        <v>766</v>
      </c>
      <c r="Z342" s="6" t="s">
        <v>767</v>
      </c>
      <c r="AA342" s="6" t="s">
        <v>61</v>
      </c>
      <c r="AB342" s="6" t="s">
        <v>768</v>
      </c>
    </row>
    <row r="343" spans="1:28" x14ac:dyDescent="0.25">
      <c r="A343" t="s">
        <v>756</v>
      </c>
      <c r="B343" t="s">
        <v>757</v>
      </c>
      <c r="C343">
        <v>0</v>
      </c>
      <c r="D343" t="s">
        <v>1451</v>
      </c>
      <c r="E343" t="s">
        <v>30</v>
      </c>
      <c r="F343" t="s">
        <v>1452</v>
      </c>
      <c r="G343" t="s">
        <v>760</v>
      </c>
      <c r="H343" t="s">
        <v>761</v>
      </c>
      <c r="I343" t="s">
        <v>762</v>
      </c>
      <c r="J343" t="s">
        <v>763</v>
      </c>
      <c r="K343">
        <v>29.31</v>
      </c>
      <c r="L343">
        <v>29.31</v>
      </c>
      <c r="M343">
        <v>29.31</v>
      </c>
      <c r="N343">
        <v>29.31</v>
      </c>
      <c r="O343">
        <v>29.31</v>
      </c>
      <c r="P343">
        <v>29.31</v>
      </c>
      <c r="Q343">
        <v>29.31</v>
      </c>
      <c r="R343">
        <v>29.31</v>
      </c>
      <c r="S343">
        <v>29.31</v>
      </c>
      <c r="T343">
        <v>29.31</v>
      </c>
      <c r="U343">
        <v>29.31</v>
      </c>
      <c r="V343">
        <v>29.31</v>
      </c>
      <c r="W343" s="6" t="s">
        <v>764</v>
      </c>
      <c r="X343" s="6" t="s">
        <v>765</v>
      </c>
      <c r="Y343" s="6" t="s">
        <v>766</v>
      </c>
      <c r="Z343" s="6" t="s">
        <v>767</v>
      </c>
      <c r="AA343" s="6" t="s">
        <v>61</v>
      </c>
      <c r="AB343" s="6" t="s">
        <v>768</v>
      </c>
    </row>
    <row r="344" spans="1:28" x14ac:dyDescent="0.25">
      <c r="A344" t="s">
        <v>756</v>
      </c>
      <c r="B344" t="s">
        <v>757</v>
      </c>
      <c r="C344">
        <v>0</v>
      </c>
      <c r="D344" t="s">
        <v>1453</v>
      </c>
      <c r="E344" t="s">
        <v>30</v>
      </c>
      <c r="F344" t="s">
        <v>1454</v>
      </c>
      <c r="G344" t="s">
        <v>760</v>
      </c>
      <c r="H344" t="s">
        <v>761</v>
      </c>
      <c r="I344" t="s">
        <v>762</v>
      </c>
      <c r="J344" t="s">
        <v>763</v>
      </c>
      <c r="K344">
        <v>29.31</v>
      </c>
      <c r="L344">
        <v>29.31</v>
      </c>
      <c r="M344">
        <v>29.31</v>
      </c>
      <c r="N344">
        <v>29.31</v>
      </c>
      <c r="O344">
        <v>29.31</v>
      </c>
      <c r="P344">
        <v>29.31</v>
      </c>
      <c r="Q344">
        <v>29.31</v>
      </c>
      <c r="R344">
        <v>29.31</v>
      </c>
      <c r="S344">
        <v>29.31</v>
      </c>
      <c r="T344">
        <v>29.31</v>
      </c>
      <c r="U344">
        <v>29.31</v>
      </c>
      <c r="V344">
        <v>29.31</v>
      </c>
      <c r="W344" s="6" t="s">
        <v>764</v>
      </c>
      <c r="X344" s="6" t="s">
        <v>765</v>
      </c>
      <c r="Y344" s="6" t="s">
        <v>766</v>
      </c>
      <c r="Z344" s="6" t="s">
        <v>767</v>
      </c>
      <c r="AA344" s="6" t="s">
        <v>61</v>
      </c>
      <c r="AB344" s="6" t="s">
        <v>768</v>
      </c>
    </row>
    <row r="345" spans="1:28" x14ac:dyDescent="0.25">
      <c r="A345" t="s">
        <v>756</v>
      </c>
      <c r="B345" t="s">
        <v>757</v>
      </c>
      <c r="C345">
        <v>0</v>
      </c>
      <c r="D345" t="s">
        <v>1455</v>
      </c>
      <c r="E345" t="s">
        <v>30</v>
      </c>
      <c r="F345" t="s">
        <v>1456</v>
      </c>
      <c r="G345" t="s">
        <v>760</v>
      </c>
      <c r="H345" t="s">
        <v>761</v>
      </c>
      <c r="I345" t="s">
        <v>762</v>
      </c>
      <c r="J345" t="s">
        <v>763</v>
      </c>
      <c r="K345">
        <v>29.31</v>
      </c>
      <c r="L345">
        <v>29.31</v>
      </c>
      <c r="M345">
        <v>29.31</v>
      </c>
      <c r="N345">
        <v>29.31</v>
      </c>
      <c r="O345">
        <v>29.31</v>
      </c>
      <c r="P345">
        <v>29.31</v>
      </c>
      <c r="Q345">
        <v>29.31</v>
      </c>
      <c r="R345">
        <v>29.31</v>
      </c>
      <c r="S345">
        <v>29.31</v>
      </c>
      <c r="T345">
        <v>29.31</v>
      </c>
      <c r="U345">
        <v>29.31</v>
      </c>
      <c r="V345">
        <v>29.31</v>
      </c>
      <c r="W345" s="6" t="s">
        <v>764</v>
      </c>
      <c r="X345" s="6" t="s">
        <v>765</v>
      </c>
      <c r="Y345" s="6" t="s">
        <v>766</v>
      </c>
      <c r="Z345" s="6" t="s">
        <v>767</v>
      </c>
      <c r="AA345" s="6" t="s">
        <v>61</v>
      </c>
      <c r="AB345" s="6" t="s">
        <v>768</v>
      </c>
    </row>
    <row r="346" spans="1:28" x14ac:dyDescent="0.25">
      <c r="A346" t="s">
        <v>756</v>
      </c>
      <c r="B346" t="s">
        <v>757</v>
      </c>
      <c r="C346">
        <v>0</v>
      </c>
      <c r="D346" t="s">
        <v>1457</v>
      </c>
      <c r="E346" t="s">
        <v>30</v>
      </c>
      <c r="F346" t="s">
        <v>1458</v>
      </c>
      <c r="G346" t="s">
        <v>760</v>
      </c>
      <c r="H346" t="s">
        <v>761</v>
      </c>
      <c r="I346" t="s">
        <v>762</v>
      </c>
      <c r="J346" t="s">
        <v>763</v>
      </c>
      <c r="K346">
        <v>29.31</v>
      </c>
      <c r="L346">
        <v>29.31</v>
      </c>
      <c r="M346">
        <v>29.31</v>
      </c>
      <c r="N346">
        <v>29.31</v>
      </c>
      <c r="O346">
        <v>29.31</v>
      </c>
      <c r="P346">
        <v>29.31</v>
      </c>
      <c r="Q346">
        <v>29.31</v>
      </c>
      <c r="R346">
        <v>29.31</v>
      </c>
      <c r="S346">
        <v>29.31</v>
      </c>
      <c r="T346">
        <v>29.31</v>
      </c>
      <c r="U346">
        <v>29.31</v>
      </c>
      <c r="V346">
        <v>29.31</v>
      </c>
      <c r="W346" s="6" t="s">
        <v>764</v>
      </c>
      <c r="X346" s="6" t="s">
        <v>765</v>
      </c>
      <c r="Y346" s="6" t="s">
        <v>766</v>
      </c>
      <c r="Z346" s="6" t="s">
        <v>767</v>
      </c>
      <c r="AA346" s="6" t="s">
        <v>61</v>
      </c>
      <c r="AB346" s="6" t="s">
        <v>768</v>
      </c>
    </row>
    <row r="347" spans="1:28" x14ac:dyDescent="0.25">
      <c r="A347" t="s">
        <v>756</v>
      </c>
      <c r="B347" t="s">
        <v>757</v>
      </c>
      <c r="C347">
        <v>0</v>
      </c>
      <c r="D347" t="s">
        <v>1459</v>
      </c>
      <c r="E347" t="s">
        <v>30</v>
      </c>
      <c r="F347" t="s">
        <v>1460</v>
      </c>
      <c r="G347" t="s">
        <v>760</v>
      </c>
      <c r="H347" t="s">
        <v>761</v>
      </c>
      <c r="I347" t="s">
        <v>762</v>
      </c>
      <c r="J347" t="s">
        <v>763</v>
      </c>
      <c r="K347">
        <v>29.31</v>
      </c>
      <c r="L347">
        <v>29.31</v>
      </c>
      <c r="M347">
        <v>29.31</v>
      </c>
      <c r="N347">
        <v>29.31</v>
      </c>
      <c r="O347">
        <v>29.31</v>
      </c>
      <c r="P347">
        <v>29.31</v>
      </c>
      <c r="Q347">
        <v>29.31</v>
      </c>
      <c r="R347">
        <v>29.31</v>
      </c>
      <c r="S347">
        <v>29.31</v>
      </c>
      <c r="T347">
        <v>29.31</v>
      </c>
      <c r="U347">
        <v>29.31</v>
      </c>
      <c r="V347">
        <v>29.31</v>
      </c>
      <c r="W347" s="6" t="s">
        <v>764</v>
      </c>
      <c r="X347" s="6" t="s">
        <v>765</v>
      </c>
      <c r="Y347" s="6" t="s">
        <v>766</v>
      </c>
      <c r="Z347" s="6" t="s">
        <v>767</v>
      </c>
      <c r="AA347" s="6" t="s">
        <v>61</v>
      </c>
      <c r="AB347" s="6" t="s">
        <v>768</v>
      </c>
    </row>
    <row r="348" spans="1:28" x14ac:dyDescent="0.25">
      <c r="A348" t="s">
        <v>756</v>
      </c>
      <c r="B348" t="s">
        <v>757</v>
      </c>
      <c r="C348">
        <v>0</v>
      </c>
      <c r="D348" t="s">
        <v>1461</v>
      </c>
      <c r="E348" t="s">
        <v>30</v>
      </c>
      <c r="F348" t="s">
        <v>1462</v>
      </c>
      <c r="G348" t="s">
        <v>760</v>
      </c>
      <c r="H348" t="s">
        <v>761</v>
      </c>
      <c r="I348" t="s">
        <v>762</v>
      </c>
      <c r="J348" t="s">
        <v>763</v>
      </c>
      <c r="K348">
        <v>29.31</v>
      </c>
      <c r="L348">
        <v>29.31</v>
      </c>
      <c r="M348">
        <v>29.31</v>
      </c>
      <c r="N348">
        <v>29.31</v>
      </c>
      <c r="O348">
        <v>29.31</v>
      </c>
      <c r="P348">
        <v>29.31</v>
      </c>
      <c r="Q348">
        <v>29.31</v>
      </c>
      <c r="R348">
        <v>29.31</v>
      </c>
      <c r="S348">
        <v>29.31</v>
      </c>
      <c r="T348">
        <v>29.31</v>
      </c>
      <c r="U348">
        <v>29.31</v>
      </c>
      <c r="V348">
        <v>29.31</v>
      </c>
      <c r="W348" s="6" t="s">
        <v>764</v>
      </c>
      <c r="X348" s="6" t="s">
        <v>765</v>
      </c>
      <c r="Y348" s="6" t="s">
        <v>766</v>
      </c>
      <c r="Z348" s="6" t="s">
        <v>767</v>
      </c>
      <c r="AA348" s="6" t="s">
        <v>61</v>
      </c>
      <c r="AB348" s="6" t="s">
        <v>768</v>
      </c>
    </row>
    <row r="349" spans="1:28" x14ac:dyDescent="0.25">
      <c r="A349" t="s">
        <v>756</v>
      </c>
      <c r="B349" t="s">
        <v>757</v>
      </c>
      <c r="C349">
        <v>0</v>
      </c>
      <c r="D349" t="s">
        <v>1463</v>
      </c>
      <c r="E349" t="s">
        <v>30</v>
      </c>
      <c r="F349" t="s">
        <v>1464</v>
      </c>
      <c r="G349" t="s">
        <v>760</v>
      </c>
      <c r="H349" t="s">
        <v>761</v>
      </c>
      <c r="I349" t="s">
        <v>762</v>
      </c>
      <c r="J349" t="s">
        <v>763</v>
      </c>
      <c r="K349">
        <v>29.31</v>
      </c>
      <c r="L349">
        <v>29.31</v>
      </c>
      <c r="M349">
        <v>29.31</v>
      </c>
      <c r="N349">
        <v>29.31</v>
      </c>
      <c r="O349">
        <v>29.31</v>
      </c>
      <c r="P349">
        <v>29.31</v>
      </c>
      <c r="Q349">
        <v>29.31</v>
      </c>
      <c r="R349">
        <v>29.31</v>
      </c>
      <c r="S349">
        <v>29.31</v>
      </c>
      <c r="T349">
        <v>29.31</v>
      </c>
      <c r="U349">
        <v>29.31</v>
      </c>
      <c r="V349">
        <v>29.31</v>
      </c>
      <c r="W349" s="6" t="s">
        <v>764</v>
      </c>
      <c r="X349" s="6" t="s">
        <v>765</v>
      </c>
      <c r="Y349" s="6" t="s">
        <v>766</v>
      </c>
      <c r="Z349" s="6" t="s">
        <v>767</v>
      </c>
      <c r="AA349" s="6" t="s">
        <v>61</v>
      </c>
      <c r="AB349" s="6" t="s">
        <v>768</v>
      </c>
    </row>
    <row r="350" spans="1:28" x14ac:dyDescent="0.25">
      <c r="A350" t="s">
        <v>756</v>
      </c>
      <c r="B350" t="s">
        <v>757</v>
      </c>
      <c r="C350">
        <v>0</v>
      </c>
      <c r="D350" t="s">
        <v>1465</v>
      </c>
      <c r="E350" t="s">
        <v>30</v>
      </c>
      <c r="F350" t="s">
        <v>1466</v>
      </c>
      <c r="G350" t="s">
        <v>760</v>
      </c>
      <c r="H350" t="s">
        <v>761</v>
      </c>
      <c r="I350" t="s">
        <v>762</v>
      </c>
      <c r="J350" t="s">
        <v>763</v>
      </c>
      <c r="K350">
        <v>29.31</v>
      </c>
      <c r="L350">
        <v>29.31</v>
      </c>
      <c r="M350">
        <v>29.31</v>
      </c>
      <c r="N350">
        <v>29.31</v>
      </c>
      <c r="O350">
        <v>29.31</v>
      </c>
      <c r="P350">
        <v>29.31</v>
      </c>
      <c r="Q350">
        <v>29.31</v>
      </c>
      <c r="R350">
        <v>29.31</v>
      </c>
      <c r="S350">
        <v>29.31</v>
      </c>
      <c r="T350">
        <v>29.31</v>
      </c>
      <c r="U350">
        <v>29.31</v>
      </c>
      <c r="V350">
        <v>29.31</v>
      </c>
      <c r="W350" s="6" t="s">
        <v>764</v>
      </c>
      <c r="X350" s="6" t="s">
        <v>765</v>
      </c>
      <c r="Y350" s="6" t="s">
        <v>766</v>
      </c>
      <c r="Z350" s="6" t="s">
        <v>767</v>
      </c>
      <c r="AA350" s="6" t="s">
        <v>61</v>
      </c>
      <c r="AB350" s="6" t="s">
        <v>768</v>
      </c>
    </row>
    <row r="351" spans="1:28" x14ac:dyDescent="0.25">
      <c r="A351" t="s">
        <v>756</v>
      </c>
      <c r="B351" t="s">
        <v>757</v>
      </c>
      <c r="C351">
        <v>0</v>
      </c>
      <c r="D351" t="s">
        <v>1467</v>
      </c>
      <c r="E351" t="s">
        <v>30</v>
      </c>
      <c r="F351" t="s">
        <v>1468</v>
      </c>
      <c r="G351" t="s">
        <v>760</v>
      </c>
      <c r="H351" t="s">
        <v>761</v>
      </c>
      <c r="I351" t="s">
        <v>762</v>
      </c>
      <c r="J351" t="s">
        <v>763</v>
      </c>
      <c r="K351">
        <v>29.31</v>
      </c>
      <c r="L351">
        <v>29.31</v>
      </c>
      <c r="M351">
        <v>29.31</v>
      </c>
      <c r="N351">
        <v>29.31</v>
      </c>
      <c r="O351">
        <v>29.31</v>
      </c>
      <c r="P351">
        <v>29.31</v>
      </c>
      <c r="Q351">
        <v>29.31</v>
      </c>
      <c r="R351">
        <v>29.31</v>
      </c>
      <c r="S351">
        <v>29.31</v>
      </c>
      <c r="T351">
        <v>29.31</v>
      </c>
      <c r="U351">
        <v>29.31</v>
      </c>
      <c r="V351">
        <v>29.31</v>
      </c>
      <c r="W351" s="6" t="s">
        <v>764</v>
      </c>
      <c r="X351" s="6" t="s">
        <v>765</v>
      </c>
      <c r="Y351" s="6" t="s">
        <v>766</v>
      </c>
      <c r="Z351" s="6" t="s">
        <v>767</v>
      </c>
      <c r="AA351" s="6" t="s">
        <v>61</v>
      </c>
      <c r="AB351" s="6" t="s">
        <v>768</v>
      </c>
    </row>
    <row r="352" spans="1:28" x14ac:dyDescent="0.25">
      <c r="A352" t="s">
        <v>756</v>
      </c>
      <c r="B352" t="s">
        <v>757</v>
      </c>
      <c r="C352">
        <v>0</v>
      </c>
      <c r="D352" t="s">
        <v>1469</v>
      </c>
      <c r="E352" t="s">
        <v>30</v>
      </c>
      <c r="F352" t="s">
        <v>1470</v>
      </c>
      <c r="G352" t="s">
        <v>760</v>
      </c>
      <c r="H352" t="s">
        <v>761</v>
      </c>
      <c r="I352" t="s">
        <v>762</v>
      </c>
      <c r="J352" t="s">
        <v>763</v>
      </c>
      <c r="K352">
        <v>29.31</v>
      </c>
      <c r="L352">
        <v>29.31</v>
      </c>
      <c r="M352">
        <v>29.31</v>
      </c>
      <c r="N352">
        <v>29.31</v>
      </c>
      <c r="O352">
        <v>29.31</v>
      </c>
      <c r="P352">
        <v>29.31</v>
      </c>
      <c r="Q352">
        <v>29.31</v>
      </c>
      <c r="R352">
        <v>29.31</v>
      </c>
      <c r="S352">
        <v>29.31</v>
      </c>
      <c r="T352">
        <v>29.31</v>
      </c>
      <c r="U352">
        <v>29.31</v>
      </c>
      <c r="V352">
        <v>29.31</v>
      </c>
      <c r="W352" s="6" t="s">
        <v>764</v>
      </c>
      <c r="X352" s="6" t="s">
        <v>765</v>
      </c>
      <c r="Y352" s="6" t="s">
        <v>766</v>
      </c>
      <c r="Z352" s="6" t="s">
        <v>767</v>
      </c>
      <c r="AA352" s="6" t="s">
        <v>61</v>
      </c>
      <c r="AB352" s="6" t="s">
        <v>768</v>
      </c>
    </row>
    <row r="353" spans="1:28" x14ac:dyDescent="0.25">
      <c r="A353" t="s">
        <v>756</v>
      </c>
      <c r="B353" t="s">
        <v>757</v>
      </c>
      <c r="C353">
        <v>0</v>
      </c>
      <c r="D353" t="s">
        <v>1471</v>
      </c>
      <c r="E353" t="s">
        <v>30</v>
      </c>
      <c r="F353" t="s">
        <v>1472</v>
      </c>
      <c r="G353" t="s">
        <v>760</v>
      </c>
      <c r="H353" t="s">
        <v>761</v>
      </c>
      <c r="I353" t="s">
        <v>762</v>
      </c>
      <c r="J353" t="s">
        <v>763</v>
      </c>
      <c r="K353">
        <v>29.31</v>
      </c>
      <c r="L353">
        <v>29.31</v>
      </c>
      <c r="M353">
        <v>29.31</v>
      </c>
      <c r="N353">
        <v>29.31</v>
      </c>
      <c r="O353">
        <v>29.31</v>
      </c>
      <c r="P353">
        <v>29.31</v>
      </c>
      <c r="Q353">
        <v>29.31</v>
      </c>
      <c r="R353">
        <v>29.31</v>
      </c>
      <c r="S353">
        <v>29.31</v>
      </c>
      <c r="T353">
        <v>29.31</v>
      </c>
      <c r="U353">
        <v>29.31</v>
      </c>
      <c r="V353">
        <v>29.31</v>
      </c>
      <c r="W353" s="6" t="s">
        <v>764</v>
      </c>
      <c r="X353" s="6" t="s">
        <v>765</v>
      </c>
      <c r="Y353" s="6" t="s">
        <v>766</v>
      </c>
      <c r="Z353" s="6" t="s">
        <v>767</v>
      </c>
      <c r="AA353" s="6" t="s">
        <v>61</v>
      </c>
      <c r="AB353" s="6" t="s">
        <v>768</v>
      </c>
    </row>
    <row r="354" spans="1:28" x14ac:dyDescent="0.25">
      <c r="A354" t="s">
        <v>756</v>
      </c>
      <c r="B354" t="s">
        <v>757</v>
      </c>
      <c r="C354">
        <v>0</v>
      </c>
      <c r="D354" t="s">
        <v>1473</v>
      </c>
      <c r="E354" t="s">
        <v>30</v>
      </c>
      <c r="F354" t="s">
        <v>1474</v>
      </c>
      <c r="G354" t="s">
        <v>760</v>
      </c>
      <c r="H354" t="s">
        <v>761</v>
      </c>
      <c r="I354" t="s">
        <v>762</v>
      </c>
      <c r="J354" t="s">
        <v>763</v>
      </c>
      <c r="K354">
        <v>29.31</v>
      </c>
      <c r="L354">
        <v>29.31</v>
      </c>
      <c r="M354">
        <v>29.31</v>
      </c>
      <c r="N354">
        <v>29.31</v>
      </c>
      <c r="O354">
        <v>29.31</v>
      </c>
      <c r="P354">
        <v>29.31</v>
      </c>
      <c r="Q354">
        <v>29.31</v>
      </c>
      <c r="R354">
        <v>29.31</v>
      </c>
      <c r="S354">
        <v>29.31</v>
      </c>
      <c r="T354">
        <v>29.31</v>
      </c>
      <c r="U354">
        <v>29.31</v>
      </c>
      <c r="V354">
        <v>29.31</v>
      </c>
      <c r="W354" s="6" t="s">
        <v>764</v>
      </c>
      <c r="X354" s="6" t="s">
        <v>765</v>
      </c>
      <c r="Y354" s="6" t="s">
        <v>766</v>
      </c>
      <c r="Z354" s="6" t="s">
        <v>767</v>
      </c>
      <c r="AA354" s="6" t="s">
        <v>61</v>
      </c>
      <c r="AB354" s="6" t="s">
        <v>768</v>
      </c>
    </row>
    <row r="355" spans="1:28" x14ac:dyDescent="0.25">
      <c r="A355" t="s">
        <v>756</v>
      </c>
      <c r="B355" t="s">
        <v>757</v>
      </c>
      <c r="C355">
        <v>0</v>
      </c>
      <c r="D355" t="s">
        <v>1475</v>
      </c>
      <c r="E355" t="s">
        <v>30</v>
      </c>
      <c r="F355" t="s">
        <v>1476</v>
      </c>
      <c r="G355" t="s">
        <v>760</v>
      </c>
      <c r="H355" t="s">
        <v>761</v>
      </c>
      <c r="I355" t="s">
        <v>762</v>
      </c>
      <c r="J355" t="s">
        <v>763</v>
      </c>
      <c r="K355">
        <v>29.31</v>
      </c>
      <c r="L355">
        <v>29.31</v>
      </c>
      <c r="M355">
        <v>29.31</v>
      </c>
      <c r="N355">
        <v>29.31</v>
      </c>
      <c r="O355">
        <v>29.31</v>
      </c>
      <c r="P355">
        <v>29.31</v>
      </c>
      <c r="Q355">
        <v>29.31</v>
      </c>
      <c r="R355">
        <v>29.31</v>
      </c>
      <c r="S355">
        <v>29.31</v>
      </c>
      <c r="T355">
        <v>29.31</v>
      </c>
      <c r="U355">
        <v>29.31</v>
      </c>
      <c r="V355">
        <v>29.31</v>
      </c>
      <c r="W355" s="6" t="s">
        <v>764</v>
      </c>
      <c r="X355" s="6" t="s">
        <v>765</v>
      </c>
      <c r="Y355" s="6" t="s">
        <v>766</v>
      </c>
      <c r="Z355" s="6" t="s">
        <v>767</v>
      </c>
      <c r="AA355" s="6" t="s">
        <v>61</v>
      </c>
      <c r="AB355" s="6" t="s">
        <v>768</v>
      </c>
    </row>
    <row r="356" spans="1:28" x14ac:dyDescent="0.25">
      <c r="A356" t="s">
        <v>756</v>
      </c>
      <c r="B356" t="s">
        <v>757</v>
      </c>
      <c r="C356">
        <v>0</v>
      </c>
      <c r="D356" t="s">
        <v>1477</v>
      </c>
      <c r="E356" t="s">
        <v>30</v>
      </c>
      <c r="F356" t="s">
        <v>1478</v>
      </c>
      <c r="G356" t="s">
        <v>760</v>
      </c>
      <c r="H356" t="s">
        <v>761</v>
      </c>
      <c r="I356" t="s">
        <v>762</v>
      </c>
      <c r="J356" t="s">
        <v>763</v>
      </c>
      <c r="K356">
        <v>29.31</v>
      </c>
      <c r="L356">
        <v>29.31</v>
      </c>
      <c r="M356">
        <v>29.31</v>
      </c>
      <c r="N356">
        <v>29.31</v>
      </c>
      <c r="O356">
        <v>29.31</v>
      </c>
      <c r="P356">
        <v>29.31</v>
      </c>
      <c r="Q356">
        <v>29.31</v>
      </c>
      <c r="R356">
        <v>29.31</v>
      </c>
      <c r="S356">
        <v>29.31</v>
      </c>
      <c r="T356">
        <v>29.31</v>
      </c>
      <c r="U356">
        <v>29.31</v>
      </c>
      <c r="V356">
        <v>29.31</v>
      </c>
      <c r="W356" s="6" t="s">
        <v>764</v>
      </c>
      <c r="X356" s="6" t="s">
        <v>765</v>
      </c>
      <c r="Y356" s="6" t="s">
        <v>766</v>
      </c>
      <c r="Z356" s="6" t="s">
        <v>767</v>
      </c>
      <c r="AA356" s="6" t="s">
        <v>61</v>
      </c>
      <c r="AB356" s="6" t="s">
        <v>768</v>
      </c>
    </row>
    <row r="357" spans="1:28" x14ac:dyDescent="0.25">
      <c r="A357" t="s">
        <v>756</v>
      </c>
      <c r="B357" t="s">
        <v>757</v>
      </c>
      <c r="C357">
        <v>0</v>
      </c>
      <c r="D357" t="s">
        <v>1479</v>
      </c>
      <c r="E357" t="s">
        <v>30</v>
      </c>
      <c r="F357" t="s">
        <v>1480</v>
      </c>
      <c r="G357" t="s">
        <v>760</v>
      </c>
      <c r="H357" t="s">
        <v>761</v>
      </c>
      <c r="I357" t="s">
        <v>762</v>
      </c>
      <c r="J357" t="s">
        <v>763</v>
      </c>
      <c r="K357">
        <v>29.31</v>
      </c>
      <c r="L357">
        <v>29.31</v>
      </c>
      <c r="M357">
        <v>29.31</v>
      </c>
      <c r="N357">
        <v>29.31</v>
      </c>
      <c r="O357">
        <v>29.31</v>
      </c>
      <c r="P357">
        <v>29.31</v>
      </c>
      <c r="Q357">
        <v>29.31</v>
      </c>
      <c r="R357">
        <v>29.31</v>
      </c>
      <c r="S357">
        <v>29.31</v>
      </c>
      <c r="T357">
        <v>29.31</v>
      </c>
      <c r="U357">
        <v>29.31</v>
      </c>
      <c r="V357">
        <v>29.31</v>
      </c>
      <c r="W357" s="6" t="s">
        <v>764</v>
      </c>
      <c r="X357" s="6" t="s">
        <v>765</v>
      </c>
      <c r="Y357" s="6" t="s">
        <v>766</v>
      </c>
      <c r="Z357" s="6" t="s">
        <v>767</v>
      </c>
      <c r="AA357" s="6" t="s">
        <v>61</v>
      </c>
      <c r="AB357" s="6" t="s">
        <v>768</v>
      </c>
    </row>
    <row r="358" spans="1:28" x14ac:dyDescent="0.25">
      <c r="A358" t="s">
        <v>756</v>
      </c>
      <c r="B358" t="s">
        <v>757</v>
      </c>
      <c r="C358">
        <v>0</v>
      </c>
      <c r="D358" t="s">
        <v>1481</v>
      </c>
      <c r="E358" t="s">
        <v>30</v>
      </c>
      <c r="F358" t="s">
        <v>1482</v>
      </c>
      <c r="G358" t="s">
        <v>760</v>
      </c>
      <c r="H358" t="s">
        <v>761</v>
      </c>
      <c r="I358" t="s">
        <v>762</v>
      </c>
      <c r="J358" t="s">
        <v>763</v>
      </c>
      <c r="K358">
        <v>29.31</v>
      </c>
      <c r="L358">
        <v>29.31</v>
      </c>
      <c r="M358">
        <v>29.31</v>
      </c>
      <c r="N358">
        <v>29.31</v>
      </c>
      <c r="O358">
        <v>29.31</v>
      </c>
      <c r="P358">
        <v>29.31</v>
      </c>
      <c r="Q358">
        <v>29.31</v>
      </c>
      <c r="R358">
        <v>29.31</v>
      </c>
      <c r="S358">
        <v>29.31</v>
      </c>
      <c r="T358">
        <v>29.31</v>
      </c>
      <c r="U358">
        <v>29.31</v>
      </c>
      <c r="V358">
        <v>29.31</v>
      </c>
      <c r="W358" s="6" t="s">
        <v>764</v>
      </c>
      <c r="X358" s="6" t="s">
        <v>765</v>
      </c>
      <c r="Y358" s="6" t="s">
        <v>766</v>
      </c>
      <c r="Z358" s="6" t="s">
        <v>767</v>
      </c>
      <c r="AA358" s="6" t="s">
        <v>61</v>
      </c>
      <c r="AB358" s="6" t="s">
        <v>768</v>
      </c>
    </row>
    <row r="359" spans="1:28" x14ac:dyDescent="0.25">
      <c r="A359" t="s">
        <v>756</v>
      </c>
      <c r="B359" t="s">
        <v>757</v>
      </c>
      <c r="C359">
        <v>0</v>
      </c>
      <c r="D359" t="s">
        <v>1483</v>
      </c>
      <c r="E359" t="s">
        <v>30</v>
      </c>
      <c r="F359" t="s">
        <v>1484</v>
      </c>
      <c r="G359" t="s">
        <v>760</v>
      </c>
      <c r="H359" t="s">
        <v>761</v>
      </c>
      <c r="I359" t="s">
        <v>762</v>
      </c>
      <c r="J359" t="s">
        <v>763</v>
      </c>
      <c r="K359">
        <v>29.31</v>
      </c>
      <c r="L359">
        <v>29.31</v>
      </c>
      <c r="M359">
        <v>29.31</v>
      </c>
      <c r="N359">
        <v>29.31</v>
      </c>
      <c r="O359">
        <v>29.31</v>
      </c>
      <c r="P359">
        <v>29.31</v>
      </c>
      <c r="Q359">
        <v>29.31</v>
      </c>
      <c r="R359">
        <v>29.31</v>
      </c>
      <c r="S359">
        <v>29.31</v>
      </c>
      <c r="T359">
        <v>29.31</v>
      </c>
      <c r="U359">
        <v>29.31</v>
      </c>
      <c r="V359">
        <v>29.31</v>
      </c>
      <c r="W359" s="6" t="s">
        <v>764</v>
      </c>
      <c r="X359" s="6" t="s">
        <v>765</v>
      </c>
      <c r="Y359" s="6" t="s">
        <v>766</v>
      </c>
      <c r="Z359" s="6" t="s">
        <v>767</v>
      </c>
      <c r="AA359" s="6" t="s">
        <v>61</v>
      </c>
      <c r="AB359" s="6" t="s">
        <v>768</v>
      </c>
    </row>
    <row r="360" spans="1:28" x14ac:dyDescent="0.25">
      <c r="A360" t="s">
        <v>756</v>
      </c>
      <c r="B360" t="s">
        <v>757</v>
      </c>
      <c r="C360">
        <v>0</v>
      </c>
      <c r="D360" t="s">
        <v>1485</v>
      </c>
      <c r="E360" t="s">
        <v>30</v>
      </c>
      <c r="F360" t="s">
        <v>1486</v>
      </c>
      <c r="G360" t="s">
        <v>760</v>
      </c>
      <c r="H360" t="s">
        <v>761</v>
      </c>
      <c r="I360" t="s">
        <v>762</v>
      </c>
      <c r="J360" t="s">
        <v>763</v>
      </c>
      <c r="K360">
        <v>29.31</v>
      </c>
      <c r="L360">
        <v>29.31</v>
      </c>
      <c r="M360">
        <v>29.31</v>
      </c>
      <c r="N360">
        <v>29.31</v>
      </c>
      <c r="O360">
        <v>29.31</v>
      </c>
      <c r="P360">
        <v>29.31</v>
      </c>
      <c r="Q360">
        <v>29.31</v>
      </c>
      <c r="R360">
        <v>29.31</v>
      </c>
      <c r="S360">
        <v>29.31</v>
      </c>
      <c r="T360">
        <v>29.31</v>
      </c>
      <c r="U360">
        <v>29.31</v>
      </c>
      <c r="V360">
        <v>29.31</v>
      </c>
      <c r="W360" s="6" t="s">
        <v>764</v>
      </c>
      <c r="X360" s="6" t="s">
        <v>765</v>
      </c>
      <c r="Y360" s="6" t="s">
        <v>766</v>
      </c>
      <c r="Z360" s="6" t="s">
        <v>767</v>
      </c>
      <c r="AA360" s="6" t="s">
        <v>61</v>
      </c>
      <c r="AB360" s="6" t="s">
        <v>768</v>
      </c>
    </row>
    <row r="361" spans="1:28" x14ac:dyDescent="0.25">
      <c r="A361" t="s">
        <v>756</v>
      </c>
      <c r="B361" t="s">
        <v>757</v>
      </c>
      <c r="C361">
        <v>0</v>
      </c>
      <c r="D361" t="s">
        <v>1487</v>
      </c>
      <c r="E361" t="s">
        <v>30</v>
      </c>
      <c r="F361" t="s">
        <v>1488</v>
      </c>
      <c r="G361" t="s">
        <v>760</v>
      </c>
      <c r="H361" t="s">
        <v>761</v>
      </c>
      <c r="I361" t="s">
        <v>762</v>
      </c>
      <c r="J361" t="s">
        <v>763</v>
      </c>
      <c r="K361">
        <v>29.31</v>
      </c>
      <c r="L361">
        <v>29.31</v>
      </c>
      <c r="M361">
        <v>29.31</v>
      </c>
      <c r="N361">
        <v>29.31</v>
      </c>
      <c r="O361">
        <v>29.31</v>
      </c>
      <c r="P361">
        <v>29.31</v>
      </c>
      <c r="Q361">
        <v>29.31</v>
      </c>
      <c r="R361">
        <v>29.31</v>
      </c>
      <c r="S361">
        <v>29.31</v>
      </c>
      <c r="T361">
        <v>29.31</v>
      </c>
      <c r="U361">
        <v>29.31</v>
      </c>
      <c r="V361">
        <v>29.31</v>
      </c>
      <c r="W361" s="6" t="s">
        <v>764</v>
      </c>
      <c r="X361" s="6" t="s">
        <v>765</v>
      </c>
      <c r="Y361" s="6" t="s">
        <v>766</v>
      </c>
      <c r="Z361" s="6" t="s">
        <v>767</v>
      </c>
      <c r="AA361" s="6" t="s">
        <v>61</v>
      </c>
      <c r="AB361" s="6" t="s">
        <v>768</v>
      </c>
    </row>
    <row r="362" spans="1:28" x14ac:dyDescent="0.25">
      <c r="A362" t="s">
        <v>756</v>
      </c>
      <c r="B362" t="s">
        <v>757</v>
      </c>
      <c r="C362">
        <v>0</v>
      </c>
      <c r="D362" t="s">
        <v>1489</v>
      </c>
      <c r="E362" t="s">
        <v>30</v>
      </c>
      <c r="F362" t="s">
        <v>1490</v>
      </c>
      <c r="G362" t="s">
        <v>760</v>
      </c>
      <c r="H362" t="s">
        <v>761</v>
      </c>
      <c r="I362" t="s">
        <v>762</v>
      </c>
      <c r="J362" t="s">
        <v>763</v>
      </c>
      <c r="K362">
        <v>29.31</v>
      </c>
      <c r="L362">
        <v>29.31</v>
      </c>
      <c r="M362">
        <v>29.31</v>
      </c>
      <c r="N362">
        <v>29.31</v>
      </c>
      <c r="O362">
        <v>29.31</v>
      </c>
      <c r="P362">
        <v>29.31</v>
      </c>
      <c r="Q362">
        <v>29.31</v>
      </c>
      <c r="R362">
        <v>29.31</v>
      </c>
      <c r="S362">
        <v>29.31</v>
      </c>
      <c r="T362">
        <v>29.31</v>
      </c>
      <c r="U362">
        <v>29.31</v>
      </c>
      <c r="V362">
        <v>29.31</v>
      </c>
      <c r="W362" s="6" t="s">
        <v>764</v>
      </c>
      <c r="X362" s="6" t="s">
        <v>765</v>
      </c>
      <c r="Y362" s="6" t="s">
        <v>766</v>
      </c>
      <c r="Z362" s="6" t="s">
        <v>767</v>
      </c>
      <c r="AA362" s="6" t="s">
        <v>61</v>
      </c>
      <c r="AB362" s="6" t="s">
        <v>768</v>
      </c>
    </row>
    <row r="363" spans="1:28" x14ac:dyDescent="0.25">
      <c r="A363" t="s">
        <v>756</v>
      </c>
      <c r="B363" t="s">
        <v>757</v>
      </c>
      <c r="C363">
        <v>0</v>
      </c>
      <c r="D363" t="s">
        <v>1491</v>
      </c>
      <c r="E363" t="s">
        <v>30</v>
      </c>
      <c r="F363" t="s">
        <v>1492</v>
      </c>
      <c r="G363" t="s">
        <v>760</v>
      </c>
      <c r="H363" t="s">
        <v>761</v>
      </c>
      <c r="I363" t="s">
        <v>762</v>
      </c>
      <c r="J363" t="s">
        <v>763</v>
      </c>
      <c r="K363">
        <v>29.31</v>
      </c>
      <c r="L363">
        <v>29.31</v>
      </c>
      <c r="M363">
        <v>29.31</v>
      </c>
      <c r="N363">
        <v>29.31</v>
      </c>
      <c r="O363">
        <v>29.31</v>
      </c>
      <c r="P363">
        <v>29.31</v>
      </c>
      <c r="Q363">
        <v>29.31</v>
      </c>
      <c r="R363">
        <v>29.31</v>
      </c>
      <c r="S363">
        <v>29.31</v>
      </c>
      <c r="T363">
        <v>29.31</v>
      </c>
      <c r="U363">
        <v>29.31</v>
      </c>
      <c r="V363">
        <v>29.31</v>
      </c>
      <c r="W363" s="6" t="s">
        <v>764</v>
      </c>
      <c r="X363" s="6" t="s">
        <v>765</v>
      </c>
      <c r="Y363" s="6" t="s">
        <v>766</v>
      </c>
      <c r="Z363" s="6" t="s">
        <v>767</v>
      </c>
      <c r="AA363" s="6" t="s">
        <v>61</v>
      </c>
      <c r="AB363" s="6" t="s">
        <v>768</v>
      </c>
    </row>
    <row r="364" spans="1:28" x14ac:dyDescent="0.25">
      <c r="A364" t="s">
        <v>756</v>
      </c>
      <c r="B364" t="s">
        <v>757</v>
      </c>
      <c r="C364">
        <v>0</v>
      </c>
      <c r="D364" t="s">
        <v>1493</v>
      </c>
      <c r="E364" t="s">
        <v>30</v>
      </c>
      <c r="F364" t="s">
        <v>1494</v>
      </c>
      <c r="G364" t="s">
        <v>760</v>
      </c>
      <c r="H364" t="s">
        <v>761</v>
      </c>
      <c r="I364" t="s">
        <v>762</v>
      </c>
      <c r="J364" t="s">
        <v>763</v>
      </c>
      <c r="K364">
        <v>29.31</v>
      </c>
      <c r="L364">
        <v>29.31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 s="6" t="s">
        <v>764</v>
      </c>
      <c r="X364" s="6" t="s">
        <v>765</v>
      </c>
      <c r="Y364" s="6" t="s">
        <v>766</v>
      </c>
      <c r="Z364" s="6" t="s">
        <v>767</v>
      </c>
      <c r="AA364" s="6" t="s">
        <v>61</v>
      </c>
      <c r="AB364" s="6" t="s">
        <v>768</v>
      </c>
    </row>
    <row r="365" spans="1:28" x14ac:dyDescent="0.25">
      <c r="A365" t="s">
        <v>756</v>
      </c>
      <c r="B365" t="s">
        <v>757</v>
      </c>
      <c r="C365">
        <v>0</v>
      </c>
      <c r="D365" t="s">
        <v>1495</v>
      </c>
      <c r="E365" t="s">
        <v>30</v>
      </c>
      <c r="F365" t="s">
        <v>1496</v>
      </c>
      <c r="G365" t="s">
        <v>760</v>
      </c>
      <c r="H365" t="s">
        <v>761</v>
      </c>
      <c r="I365" t="s">
        <v>762</v>
      </c>
      <c r="J365" t="s">
        <v>763</v>
      </c>
      <c r="K365">
        <v>29.31</v>
      </c>
      <c r="L365">
        <v>29.31</v>
      </c>
      <c r="M365">
        <v>29.31</v>
      </c>
      <c r="N365">
        <v>29.31</v>
      </c>
      <c r="O365">
        <v>29.31</v>
      </c>
      <c r="P365">
        <v>29.31</v>
      </c>
      <c r="Q365">
        <v>29.31</v>
      </c>
      <c r="R365">
        <v>29.31</v>
      </c>
      <c r="S365">
        <v>29.31</v>
      </c>
      <c r="T365">
        <v>29.31</v>
      </c>
      <c r="U365">
        <v>29.31</v>
      </c>
      <c r="V365">
        <v>29.31</v>
      </c>
      <c r="W365" s="6" t="s">
        <v>764</v>
      </c>
      <c r="X365" s="6" t="s">
        <v>765</v>
      </c>
      <c r="Y365" s="6" t="s">
        <v>766</v>
      </c>
      <c r="Z365" s="6" t="s">
        <v>767</v>
      </c>
      <c r="AA365" s="6" t="s">
        <v>61</v>
      </c>
      <c r="AB365" s="6" t="s">
        <v>768</v>
      </c>
    </row>
    <row r="366" spans="1:28" x14ac:dyDescent="0.25">
      <c r="A366" t="s">
        <v>756</v>
      </c>
      <c r="B366" t="s">
        <v>757</v>
      </c>
      <c r="C366">
        <v>0</v>
      </c>
      <c r="D366" t="s">
        <v>1497</v>
      </c>
      <c r="E366" t="s">
        <v>30</v>
      </c>
      <c r="F366" t="s">
        <v>1498</v>
      </c>
      <c r="G366" t="s">
        <v>760</v>
      </c>
      <c r="H366" t="s">
        <v>761</v>
      </c>
      <c r="I366" t="s">
        <v>762</v>
      </c>
      <c r="J366" t="s">
        <v>763</v>
      </c>
      <c r="K366">
        <v>29.31</v>
      </c>
      <c r="L366">
        <v>29.31</v>
      </c>
      <c r="M366">
        <v>29.31</v>
      </c>
      <c r="N366">
        <v>29.31</v>
      </c>
      <c r="O366">
        <v>29.31</v>
      </c>
      <c r="P366">
        <v>29.31</v>
      </c>
      <c r="Q366">
        <v>29.31</v>
      </c>
      <c r="R366">
        <v>29.31</v>
      </c>
      <c r="S366">
        <v>29.31</v>
      </c>
      <c r="T366">
        <v>29.31</v>
      </c>
      <c r="U366">
        <v>29.31</v>
      </c>
      <c r="V366">
        <v>29.31</v>
      </c>
      <c r="W366" s="6" t="s">
        <v>764</v>
      </c>
      <c r="X366" s="6" t="s">
        <v>765</v>
      </c>
      <c r="Y366" s="6" t="s">
        <v>766</v>
      </c>
      <c r="Z366" s="6" t="s">
        <v>767</v>
      </c>
      <c r="AA366" s="6" t="s">
        <v>61</v>
      </c>
      <c r="AB366" s="6" t="s">
        <v>768</v>
      </c>
    </row>
    <row r="367" spans="1:28" x14ac:dyDescent="0.25">
      <c r="A367" t="s">
        <v>756</v>
      </c>
      <c r="B367" t="s">
        <v>757</v>
      </c>
      <c r="C367">
        <v>0</v>
      </c>
      <c r="D367" t="s">
        <v>1499</v>
      </c>
      <c r="E367" t="s">
        <v>30</v>
      </c>
      <c r="F367" t="s">
        <v>1500</v>
      </c>
      <c r="G367" t="s">
        <v>760</v>
      </c>
      <c r="H367" t="s">
        <v>761</v>
      </c>
      <c r="I367" t="s">
        <v>762</v>
      </c>
      <c r="J367" t="s">
        <v>763</v>
      </c>
      <c r="K367">
        <v>29.31</v>
      </c>
      <c r="L367">
        <v>29.31</v>
      </c>
      <c r="M367">
        <v>29.31</v>
      </c>
      <c r="N367">
        <v>29.31</v>
      </c>
      <c r="O367">
        <v>29.31</v>
      </c>
      <c r="P367">
        <v>29.31</v>
      </c>
      <c r="Q367">
        <v>29.31</v>
      </c>
      <c r="R367">
        <v>29.31</v>
      </c>
      <c r="S367">
        <v>29.31</v>
      </c>
      <c r="T367">
        <v>29.31</v>
      </c>
      <c r="U367">
        <v>29.31</v>
      </c>
      <c r="V367">
        <v>29.31</v>
      </c>
      <c r="W367" s="6" t="s">
        <v>764</v>
      </c>
      <c r="X367" s="6" t="s">
        <v>765</v>
      </c>
      <c r="Y367" s="6" t="s">
        <v>766</v>
      </c>
      <c r="Z367" s="6" t="s">
        <v>767</v>
      </c>
      <c r="AA367" s="6" t="s">
        <v>61</v>
      </c>
      <c r="AB367" s="6" t="s">
        <v>768</v>
      </c>
    </row>
    <row r="368" spans="1:28" x14ac:dyDescent="0.25">
      <c r="A368" t="s">
        <v>756</v>
      </c>
      <c r="B368" t="s">
        <v>757</v>
      </c>
      <c r="C368">
        <v>0</v>
      </c>
      <c r="D368" t="s">
        <v>1501</v>
      </c>
      <c r="E368" t="s">
        <v>30</v>
      </c>
      <c r="F368" t="s">
        <v>1502</v>
      </c>
      <c r="G368" t="s">
        <v>760</v>
      </c>
      <c r="H368" t="s">
        <v>761</v>
      </c>
      <c r="I368" t="s">
        <v>762</v>
      </c>
      <c r="J368" t="s">
        <v>763</v>
      </c>
      <c r="K368">
        <v>29.31</v>
      </c>
      <c r="L368">
        <v>29.31</v>
      </c>
      <c r="M368">
        <v>29.31</v>
      </c>
      <c r="N368">
        <v>29.31</v>
      </c>
      <c r="O368">
        <v>29.31</v>
      </c>
      <c r="P368">
        <v>29.31</v>
      </c>
      <c r="Q368">
        <v>29.31</v>
      </c>
      <c r="R368">
        <v>29.31</v>
      </c>
      <c r="S368">
        <v>29.31</v>
      </c>
      <c r="T368">
        <v>29.31</v>
      </c>
      <c r="U368">
        <v>29.31</v>
      </c>
      <c r="V368">
        <v>29.31</v>
      </c>
      <c r="W368" s="6" t="s">
        <v>764</v>
      </c>
      <c r="X368" s="6" t="s">
        <v>765</v>
      </c>
      <c r="Y368" s="6" t="s">
        <v>766</v>
      </c>
      <c r="Z368" s="6" t="s">
        <v>767</v>
      </c>
      <c r="AA368" s="6" t="s">
        <v>61</v>
      </c>
      <c r="AB368" s="6" t="s">
        <v>768</v>
      </c>
    </row>
    <row r="369" spans="1:28" x14ac:dyDescent="0.25">
      <c r="A369" t="s">
        <v>756</v>
      </c>
      <c r="B369" t="s">
        <v>757</v>
      </c>
      <c r="C369">
        <v>0</v>
      </c>
      <c r="D369" t="s">
        <v>1503</v>
      </c>
      <c r="E369" t="s">
        <v>30</v>
      </c>
      <c r="F369" t="s">
        <v>1504</v>
      </c>
      <c r="G369" t="s">
        <v>760</v>
      </c>
      <c r="H369" t="s">
        <v>761</v>
      </c>
      <c r="I369" t="s">
        <v>762</v>
      </c>
      <c r="J369" t="s">
        <v>763</v>
      </c>
      <c r="K369">
        <v>29.31</v>
      </c>
      <c r="L369">
        <v>29.31</v>
      </c>
      <c r="M369">
        <v>29.31</v>
      </c>
      <c r="N369">
        <v>29.31</v>
      </c>
      <c r="O369">
        <v>29.31</v>
      </c>
      <c r="P369">
        <v>29.31</v>
      </c>
      <c r="Q369">
        <v>29.31</v>
      </c>
      <c r="R369">
        <v>29.31</v>
      </c>
      <c r="S369">
        <v>29.31</v>
      </c>
      <c r="T369">
        <v>29.31</v>
      </c>
      <c r="U369">
        <v>29.31</v>
      </c>
      <c r="V369">
        <v>29.31</v>
      </c>
      <c r="W369" s="6" t="s">
        <v>764</v>
      </c>
      <c r="X369" s="6" t="s">
        <v>765</v>
      </c>
      <c r="Y369" s="6" t="s">
        <v>766</v>
      </c>
      <c r="Z369" s="6" t="s">
        <v>767</v>
      </c>
      <c r="AA369" s="6" t="s">
        <v>61</v>
      </c>
      <c r="AB369" s="6" t="s">
        <v>768</v>
      </c>
    </row>
    <row r="370" spans="1:28" x14ac:dyDescent="0.25">
      <c r="A370" t="s">
        <v>756</v>
      </c>
      <c r="B370" t="s">
        <v>757</v>
      </c>
      <c r="C370">
        <v>0</v>
      </c>
      <c r="D370" t="s">
        <v>1505</v>
      </c>
      <c r="E370" t="s">
        <v>30</v>
      </c>
      <c r="F370" t="s">
        <v>1506</v>
      </c>
      <c r="G370" t="s">
        <v>760</v>
      </c>
      <c r="H370" t="s">
        <v>761</v>
      </c>
      <c r="I370" t="s">
        <v>762</v>
      </c>
      <c r="J370" t="s">
        <v>763</v>
      </c>
      <c r="K370">
        <v>29.31</v>
      </c>
      <c r="L370">
        <v>29.31</v>
      </c>
      <c r="M370">
        <v>29.31</v>
      </c>
      <c r="N370">
        <v>29.31</v>
      </c>
      <c r="O370">
        <v>29.31</v>
      </c>
      <c r="P370">
        <v>29.31</v>
      </c>
      <c r="Q370">
        <v>29.31</v>
      </c>
      <c r="R370">
        <v>29.31</v>
      </c>
      <c r="S370">
        <v>29.31</v>
      </c>
      <c r="T370">
        <v>29.31</v>
      </c>
      <c r="U370">
        <v>29.31</v>
      </c>
      <c r="V370">
        <v>29.31</v>
      </c>
      <c r="W370" s="6" t="s">
        <v>764</v>
      </c>
      <c r="X370" s="6" t="s">
        <v>765</v>
      </c>
      <c r="Y370" s="6" t="s">
        <v>766</v>
      </c>
      <c r="Z370" s="6" t="s">
        <v>767</v>
      </c>
      <c r="AA370" s="6" t="s">
        <v>61</v>
      </c>
      <c r="AB370" s="6" t="s">
        <v>768</v>
      </c>
    </row>
    <row r="371" spans="1:28" x14ac:dyDescent="0.25">
      <c r="A371" t="s">
        <v>756</v>
      </c>
      <c r="B371" t="s">
        <v>757</v>
      </c>
      <c r="C371">
        <v>0</v>
      </c>
      <c r="D371" t="s">
        <v>1507</v>
      </c>
      <c r="E371" t="s">
        <v>30</v>
      </c>
      <c r="F371" t="s">
        <v>1508</v>
      </c>
      <c r="G371" t="s">
        <v>760</v>
      </c>
      <c r="H371" t="s">
        <v>761</v>
      </c>
      <c r="I371" t="s">
        <v>762</v>
      </c>
      <c r="J371" t="s">
        <v>763</v>
      </c>
      <c r="K371">
        <v>29.31</v>
      </c>
      <c r="L371">
        <v>29.31</v>
      </c>
      <c r="M371">
        <v>29.31</v>
      </c>
      <c r="N371">
        <v>29.31</v>
      </c>
      <c r="O371">
        <v>29.31</v>
      </c>
      <c r="P371">
        <v>29.31</v>
      </c>
      <c r="Q371">
        <v>29.31</v>
      </c>
      <c r="R371">
        <v>29.31</v>
      </c>
      <c r="S371">
        <v>29.31</v>
      </c>
      <c r="T371">
        <v>29.31</v>
      </c>
      <c r="U371">
        <v>29.31</v>
      </c>
      <c r="V371">
        <v>29.31</v>
      </c>
      <c r="W371" s="6" t="s">
        <v>764</v>
      </c>
      <c r="X371" s="6" t="s">
        <v>765</v>
      </c>
      <c r="Y371" s="6" t="s">
        <v>766</v>
      </c>
      <c r="Z371" s="6" t="s">
        <v>767</v>
      </c>
      <c r="AA371" s="6" t="s">
        <v>61</v>
      </c>
      <c r="AB371" s="6" t="s">
        <v>768</v>
      </c>
    </row>
    <row r="372" spans="1:28" x14ac:dyDescent="0.25">
      <c r="A372" t="s">
        <v>756</v>
      </c>
      <c r="B372" t="s">
        <v>757</v>
      </c>
      <c r="C372">
        <v>0</v>
      </c>
      <c r="D372" t="s">
        <v>1509</v>
      </c>
      <c r="E372" t="s">
        <v>30</v>
      </c>
      <c r="F372" t="s">
        <v>1510</v>
      </c>
      <c r="G372" t="s">
        <v>760</v>
      </c>
      <c r="H372" t="s">
        <v>761</v>
      </c>
      <c r="I372" t="s">
        <v>762</v>
      </c>
      <c r="J372" t="s">
        <v>763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29.31</v>
      </c>
      <c r="Q372">
        <v>29.31</v>
      </c>
      <c r="R372">
        <v>29.31</v>
      </c>
      <c r="S372">
        <v>29.31</v>
      </c>
      <c r="T372">
        <v>29.31</v>
      </c>
      <c r="U372">
        <v>29.31</v>
      </c>
      <c r="V372">
        <v>29.31</v>
      </c>
      <c r="W372" s="6" t="s">
        <v>764</v>
      </c>
      <c r="X372" s="6" t="s">
        <v>765</v>
      </c>
      <c r="Y372" s="6" t="s">
        <v>766</v>
      </c>
      <c r="Z372" s="6" t="s">
        <v>767</v>
      </c>
      <c r="AA372" s="6" t="s">
        <v>61</v>
      </c>
      <c r="AB372" s="6" t="s">
        <v>768</v>
      </c>
    </row>
    <row r="373" spans="1:28" x14ac:dyDescent="0.25">
      <c r="A373" t="s">
        <v>756</v>
      </c>
      <c r="B373" t="s">
        <v>757</v>
      </c>
      <c r="C373">
        <v>0</v>
      </c>
      <c r="D373" t="s">
        <v>1511</v>
      </c>
      <c r="E373" t="s">
        <v>30</v>
      </c>
      <c r="F373" t="s">
        <v>1512</v>
      </c>
      <c r="G373" t="s">
        <v>760</v>
      </c>
      <c r="H373" t="s">
        <v>761</v>
      </c>
      <c r="I373" t="s">
        <v>762</v>
      </c>
      <c r="J373" t="s">
        <v>763</v>
      </c>
      <c r="K373">
        <v>29.31</v>
      </c>
      <c r="L373">
        <v>29.31</v>
      </c>
      <c r="M373">
        <v>29.31</v>
      </c>
      <c r="N373">
        <v>29.31</v>
      </c>
      <c r="O373">
        <v>29.31</v>
      </c>
      <c r="P373">
        <v>29.31</v>
      </c>
      <c r="Q373">
        <v>29.31</v>
      </c>
      <c r="R373">
        <v>29.31</v>
      </c>
      <c r="S373">
        <v>29.31</v>
      </c>
      <c r="T373">
        <v>29.31</v>
      </c>
      <c r="U373">
        <v>29.31</v>
      </c>
      <c r="V373">
        <v>29.31</v>
      </c>
      <c r="W373" s="6" t="s">
        <v>764</v>
      </c>
      <c r="X373" s="6" t="s">
        <v>765</v>
      </c>
      <c r="Y373" s="6" t="s">
        <v>766</v>
      </c>
      <c r="Z373" s="6" t="s">
        <v>767</v>
      </c>
      <c r="AA373" s="6" t="s">
        <v>61</v>
      </c>
      <c r="AB373" s="6" t="s">
        <v>768</v>
      </c>
    </row>
    <row r="374" spans="1:28" x14ac:dyDescent="0.25">
      <c r="A374" t="s">
        <v>756</v>
      </c>
      <c r="B374" t="s">
        <v>757</v>
      </c>
      <c r="C374">
        <v>0</v>
      </c>
      <c r="D374" t="s">
        <v>1513</v>
      </c>
      <c r="E374" t="s">
        <v>30</v>
      </c>
      <c r="F374" t="s">
        <v>1514</v>
      </c>
      <c r="G374" t="s">
        <v>760</v>
      </c>
      <c r="H374" t="s">
        <v>761</v>
      </c>
      <c r="I374" t="s">
        <v>762</v>
      </c>
      <c r="J374" t="s">
        <v>763</v>
      </c>
      <c r="K374">
        <v>29.31</v>
      </c>
      <c r="L374">
        <v>29.31</v>
      </c>
      <c r="M374">
        <v>29.31</v>
      </c>
      <c r="N374">
        <v>29.31</v>
      </c>
      <c r="O374">
        <v>29.31</v>
      </c>
      <c r="P374">
        <v>29.31</v>
      </c>
      <c r="Q374">
        <v>29.31</v>
      </c>
      <c r="R374">
        <v>29.31</v>
      </c>
      <c r="S374">
        <v>29.31</v>
      </c>
      <c r="T374">
        <v>29.31</v>
      </c>
      <c r="U374">
        <v>29.31</v>
      </c>
      <c r="V374">
        <v>29.31</v>
      </c>
      <c r="W374" s="6" t="s">
        <v>764</v>
      </c>
      <c r="X374" s="6" t="s">
        <v>765</v>
      </c>
      <c r="Y374" s="6" t="s">
        <v>766</v>
      </c>
      <c r="Z374" s="6" t="s">
        <v>767</v>
      </c>
      <c r="AA374" s="6" t="s">
        <v>61</v>
      </c>
      <c r="AB374" s="6" t="s">
        <v>768</v>
      </c>
    </row>
    <row r="375" spans="1:28" x14ac:dyDescent="0.25">
      <c r="A375" t="s">
        <v>756</v>
      </c>
      <c r="B375" t="s">
        <v>757</v>
      </c>
      <c r="C375">
        <v>0</v>
      </c>
      <c r="D375" t="s">
        <v>1515</v>
      </c>
      <c r="E375" t="s">
        <v>30</v>
      </c>
      <c r="F375" t="s">
        <v>1516</v>
      </c>
      <c r="G375" t="s">
        <v>760</v>
      </c>
      <c r="H375" t="s">
        <v>761</v>
      </c>
      <c r="I375" t="s">
        <v>762</v>
      </c>
      <c r="J375" t="s">
        <v>763</v>
      </c>
      <c r="K375">
        <v>29.31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 s="6" t="s">
        <v>764</v>
      </c>
      <c r="X375" s="6" t="s">
        <v>765</v>
      </c>
      <c r="Y375" s="6" t="s">
        <v>766</v>
      </c>
      <c r="Z375" s="6" t="s">
        <v>767</v>
      </c>
      <c r="AA375" s="6" t="s">
        <v>61</v>
      </c>
      <c r="AB375" s="6" t="s">
        <v>768</v>
      </c>
    </row>
    <row r="376" spans="1:28" x14ac:dyDescent="0.25">
      <c r="A376" t="s">
        <v>756</v>
      </c>
      <c r="B376" t="s">
        <v>757</v>
      </c>
      <c r="C376">
        <v>0</v>
      </c>
      <c r="D376" t="s">
        <v>1517</v>
      </c>
      <c r="E376" t="s">
        <v>30</v>
      </c>
      <c r="F376" t="s">
        <v>1518</v>
      </c>
      <c r="G376" t="s">
        <v>760</v>
      </c>
      <c r="H376" t="s">
        <v>761</v>
      </c>
      <c r="I376" t="s">
        <v>762</v>
      </c>
      <c r="J376" t="s">
        <v>763</v>
      </c>
      <c r="K376">
        <v>29.31</v>
      </c>
      <c r="L376">
        <v>29.31</v>
      </c>
      <c r="M376">
        <v>29.31</v>
      </c>
      <c r="N376">
        <v>29.31</v>
      </c>
      <c r="O376">
        <v>29.31</v>
      </c>
      <c r="P376">
        <v>29.31</v>
      </c>
      <c r="Q376">
        <v>29.31</v>
      </c>
      <c r="R376">
        <v>29.31</v>
      </c>
      <c r="S376">
        <v>29.31</v>
      </c>
      <c r="T376">
        <v>29.31</v>
      </c>
      <c r="U376">
        <v>29.31</v>
      </c>
      <c r="V376">
        <v>29.31</v>
      </c>
      <c r="W376" s="6" t="s">
        <v>764</v>
      </c>
      <c r="X376" s="6" t="s">
        <v>765</v>
      </c>
      <c r="Y376" s="6" t="s">
        <v>766</v>
      </c>
      <c r="Z376" s="6" t="s">
        <v>767</v>
      </c>
      <c r="AA376" s="6" t="s">
        <v>61</v>
      </c>
      <c r="AB376" s="6" t="s">
        <v>768</v>
      </c>
    </row>
    <row r="377" spans="1:28" x14ac:dyDescent="0.25">
      <c r="A377" t="s">
        <v>756</v>
      </c>
      <c r="B377" t="s">
        <v>757</v>
      </c>
      <c r="C377">
        <v>0</v>
      </c>
      <c r="D377" t="s">
        <v>1519</v>
      </c>
      <c r="E377" t="s">
        <v>30</v>
      </c>
      <c r="F377" t="s">
        <v>1520</v>
      </c>
      <c r="G377" t="s">
        <v>760</v>
      </c>
      <c r="H377" t="s">
        <v>761</v>
      </c>
      <c r="I377" t="s">
        <v>762</v>
      </c>
      <c r="J377" t="s">
        <v>763</v>
      </c>
      <c r="K377">
        <v>29.31</v>
      </c>
      <c r="L377">
        <v>29.31</v>
      </c>
      <c r="M377">
        <v>29.31</v>
      </c>
      <c r="N377">
        <v>29.31</v>
      </c>
      <c r="O377">
        <v>29.31</v>
      </c>
      <c r="P377">
        <v>29.31</v>
      </c>
      <c r="Q377">
        <v>29.31</v>
      </c>
      <c r="R377">
        <v>29.31</v>
      </c>
      <c r="S377">
        <v>29.31</v>
      </c>
      <c r="T377">
        <v>29.31</v>
      </c>
      <c r="U377">
        <v>29.31</v>
      </c>
      <c r="V377">
        <v>29.31</v>
      </c>
      <c r="W377" s="6" t="s">
        <v>764</v>
      </c>
      <c r="X377" s="6" t="s">
        <v>765</v>
      </c>
      <c r="Y377" s="6" t="s">
        <v>766</v>
      </c>
      <c r="Z377" s="6" t="s">
        <v>767</v>
      </c>
      <c r="AA377" s="6" t="s">
        <v>61</v>
      </c>
      <c r="AB377" s="6" t="s">
        <v>768</v>
      </c>
    </row>
    <row r="378" spans="1:28" x14ac:dyDescent="0.25">
      <c r="A378" t="s">
        <v>756</v>
      </c>
      <c r="B378" t="s">
        <v>757</v>
      </c>
      <c r="C378">
        <v>0</v>
      </c>
      <c r="D378" t="s">
        <v>1521</v>
      </c>
      <c r="E378" t="s">
        <v>30</v>
      </c>
      <c r="F378" t="s">
        <v>1522</v>
      </c>
      <c r="G378" t="s">
        <v>760</v>
      </c>
      <c r="H378" t="s">
        <v>761</v>
      </c>
      <c r="I378" t="s">
        <v>762</v>
      </c>
      <c r="J378" t="s">
        <v>763</v>
      </c>
      <c r="K378">
        <v>29.31</v>
      </c>
      <c r="L378">
        <v>29.31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 s="6" t="s">
        <v>764</v>
      </c>
      <c r="X378" s="6" t="s">
        <v>765</v>
      </c>
      <c r="Y378" s="6" t="s">
        <v>766</v>
      </c>
      <c r="Z378" s="6" t="s">
        <v>767</v>
      </c>
      <c r="AA378" s="6" t="s">
        <v>61</v>
      </c>
      <c r="AB378" s="6" t="s">
        <v>768</v>
      </c>
    </row>
    <row r="379" spans="1:28" x14ac:dyDescent="0.25">
      <c r="A379" t="s">
        <v>756</v>
      </c>
      <c r="B379" t="s">
        <v>757</v>
      </c>
      <c r="C379">
        <v>0</v>
      </c>
      <c r="D379" t="s">
        <v>1523</v>
      </c>
      <c r="E379" t="s">
        <v>30</v>
      </c>
      <c r="F379" t="s">
        <v>1524</v>
      </c>
      <c r="G379" t="s">
        <v>760</v>
      </c>
      <c r="H379" t="s">
        <v>761</v>
      </c>
      <c r="I379" t="s">
        <v>762</v>
      </c>
      <c r="J379" t="s">
        <v>763</v>
      </c>
      <c r="K379">
        <v>29.31</v>
      </c>
      <c r="L379">
        <v>29.31</v>
      </c>
      <c r="M379">
        <v>29.31</v>
      </c>
      <c r="N379">
        <v>29.31</v>
      </c>
      <c r="O379">
        <v>29.31</v>
      </c>
      <c r="P379">
        <v>29.31</v>
      </c>
      <c r="Q379">
        <v>29.31</v>
      </c>
      <c r="R379">
        <v>29.31</v>
      </c>
      <c r="S379">
        <v>29.31</v>
      </c>
      <c r="T379">
        <v>29.31</v>
      </c>
      <c r="U379">
        <v>29.31</v>
      </c>
      <c r="V379">
        <v>29.31</v>
      </c>
      <c r="W379" s="6" t="s">
        <v>764</v>
      </c>
      <c r="X379" s="6" t="s">
        <v>765</v>
      </c>
      <c r="Y379" s="6" t="s">
        <v>766</v>
      </c>
      <c r="Z379" s="6" t="s">
        <v>767</v>
      </c>
      <c r="AA379" s="6" t="s">
        <v>61</v>
      </c>
      <c r="AB379" s="6" t="s">
        <v>768</v>
      </c>
    </row>
    <row r="380" spans="1:28" x14ac:dyDescent="0.25">
      <c r="A380" t="s">
        <v>756</v>
      </c>
      <c r="B380" t="s">
        <v>757</v>
      </c>
      <c r="C380">
        <v>0</v>
      </c>
      <c r="D380" t="s">
        <v>1525</v>
      </c>
      <c r="E380" t="s">
        <v>30</v>
      </c>
      <c r="F380" t="s">
        <v>1526</v>
      </c>
      <c r="G380" t="s">
        <v>760</v>
      </c>
      <c r="H380" t="s">
        <v>761</v>
      </c>
      <c r="I380" t="s">
        <v>762</v>
      </c>
      <c r="J380" t="s">
        <v>763</v>
      </c>
      <c r="K380">
        <v>29.31</v>
      </c>
      <c r="L380">
        <v>29.31</v>
      </c>
      <c r="M380">
        <v>29.31</v>
      </c>
      <c r="N380">
        <v>29.31</v>
      </c>
      <c r="O380">
        <v>29.31</v>
      </c>
      <c r="P380">
        <v>29.31</v>
      </c>
      <c r="Q380">
        <v>29.31</v>
      </c>
      <c r="R380">
        <v>0</v>
      </c>
      <c r="S380">
        <v>0</v>
      </c>
      <c r="T380">
        <v>0</v>
      </c>
      <c r="U380">
        <v>0</v>
      </c>
      <c r="V380">
        <v>0</v>
      </c>
      <c r="W380" s="6" t="s">
        <v>764</v>
      </c>
      <c r="X380" s="6" t="s">
        <v>765</v>
      </c>
      <c r="Y380" s="6" t="s">
        <v>766</v>
      </c>
      <c r="Z380" s="6" t="s">
        <v>767</v>
      </c>
      <c r="AA380" s="6" t="s">
        <v>61</v>
      </c>
      <c r="AB380" s="6" t="s">
        <v>768</v>
      </c>
    </row>
    <row r="381" spans="1:28" x14ac:dyDescent="0.25">
      <c r="A381" t="s">
        <v>756</v>
      </c>
      <c r="B381" t="s">
        <v>757</v>
      </c>
      <c r="C381">
        <v>0</v>
      </c>
      <c r="D381" t="s">
        <v>1527</v>
      </c>
      <c r="E381" t="s">
        <v>30</v>
      </c>
      <c r="F381" t="s">
        <v>1528</v>
      </c>
      <c r="G381" t="s">
        <v>760</v>
      </c>
      <c r="H381" t="s">
        <v>761</v>
      </c>
      <c r="I381" t="s">
        <v>762</v>
      </c>
      <c r="J381" t="s">
        <v>763</v>
      </c>
      <c r="K381">
        <v>29.31</v>
      </c>
      <c r="L381">
        <v>29.31</v>
      </c>
      <c r="M381">
        <v>29.31</v>
      </c>
      <c r="N381">
        <v>29.31</v>
      </c>
      <c r="O381">
        <v>29.31</v>
      </c>
      <c r="P381">
        <v>29.31</v>
      </c>
      <c r="Q381">
        <v>29.31</v>
      </c>
      <c r="R381">
        <v>29.31</v>
      </c>
      <c r="S381">
        <v>29.31</v>
      </c>
      <c r="T381">
        <v>29.31</v>
      </c>
      <c r="U381">
        <v>29.31</v>
      </c>
      <c r="V381">
        <v>29.31</v>
      </c>
      <c r="W381" s="6" t="s">
        <v>764</v>
      </c>
      <c r="X381" s="6" t="s">
        <v>765</v>
      </c>
      <c r="Y381" s="6" t="s">
        <v>766</v>
      </c>
      <c r="Z381" s="6" t="s">
        <v>767</v>
      </c>
      <c r="AA381" s="6" t="s">
        <v>61</v>
      </c>
      <c r="AB381" s="6" t="s">
        <v>768</v>
      </c>
    </row>
    <row r="382" spans="1:28" x14ac:dyDescent="0.25">
      <c r="A382" t="s">
        <v>756</v>
      </c>
      <c r="B382" t="s">
        <v>757</v>
      </c>
      <c r="C382">
        <v>0</v>
      </c>
      <c r="D382" t="s">
        <v>1529</v>
      </c>
      <c r="E382" t="s">
        <v>30</v>
      </c>
      <c r="F382" t="s">
        <v>1530</v>
      </c>
      <c r="G382" t="s">
        <v>760</v>
      </c>
      <c r="H382" t="s">
        <v>761</v>
      </c>
      <c r="I382" t="s">
        <v>762</v>
      </c>
      <c r="J382" t="s">
        <v>763</v>
      </c>
      <c r="K382">
        <v>29.31</v>
      </c>
      <c r="L382">
        <v>29.31</v>
      </c>
      <c r="M382">
        <v>29.31</v>
      </c>
      <c r="N382">
        <v>29.31</v>
      </c>
      <c r="O382">
        <v>29.31</v>
      </c>
      <c r="P382">
        <v>29.31</v>
      </c>
      <c r="Q382">
        <v>29.31</v>
      </c>
      <c r="R382">
        <v>29.31</v>
      </c>
      <c r="S382">
        <v>29.31</v>
      </c>
      <c r="T382">
        <v>29.31</v>
      </c>
      <c r="U382">
        <v>29.31</v>
      </c>
      <c r="V382">
        <v>29.31</v>
      </c>
      <c r="W382" s="6" t="s">
        <v>764</v>
      </c>
      <c r="X382" s="6" t="s">
        <v>765</v>
      </c>
      <c r="Y382" s="6" t="s">
        <v>766</v>
      </c>
      <c r="Z382" s="6" t="s">
        <v>767</v>
      </c>
      <c r="AA382" s="6" t="s">
        <v>61</v>
      </c>
      <c r="AB382" s="6" t="s">
        <v>768</v>
      </c>
    </row>
    <row r="383" spans="1:28" x14ac:dyDescent="0.25">
      <c r="A383" t="s">
        <v>756</v>
      </c>
      <c r="B383" t="s">
        <v>757</v>
      </c>
      <c r="C383">
        <v>0</v>
      </c>
      <c r="D383" t="s">
        <v>1531</v>
      </c>
      <c r="E383" t="s">
        <v>30</v>
      </c>
      <c r="F383" t="s">
        <v>1532</v>
      </c>
      <c r="G383" t="s">
        <v>760</v>
      </c>
      <c r="H383" t="s">
        <v>761</v>
      </c>
      <c r="I383" t="s">
        <v>762</v>
      </c>
      <c r="J383" t="s">
        <v>763</v>
      </c>
      <c r="K383">
        <v>29.31</v>
      </c>
      <c r="L383">
        <v>29.31</v>
      </c>
      <c r="M383">
        <v>29.31</v>
      </c>
      <c r="N383">
        <v>29.31</v>
      </c>
      <c r="O383">
        <v>29.31</v>
      </c>
      <c r="P383">
        <v>29.31</v>
      </c>
      <c r="Q383">
        <v>29.31</v>
      </c>
      <c r="R383">
        <v>29.31</v>
      </c>
      <c r="S383">
        <v>29.31</v>
      </c>
      <c r="T383">
        <v>29.31</v>
      </c>
      <c r="U383">
        <v>29.31</v>
      </c>
      <c r="V383">
        <v>29.31</v>
      </c>
      <c r="W383" s="6" t="s">
        <v>764</v>
      </c>
      <c r="X383" s="6" t="s">
        <v>765</v>
      </c>
      <c r="Y383" s="6" t="s">
        <v>766</v>
      </c>
      <c r="Z383" s="6" t="s">
        <v>767</v>
      </c>
      <c r="AA383" s="6" t="s">
        <v>61</v>
      </c>
      <c r="AB383" s="6" t="s">
        <v>768</v>
      </c>
    </row>
    <row r="384" spans="1:28" x14ac:dyDescent="0.25">
      <c r="A384" t="s">
        <v>756</v>
      </c>
      <c r="B384" t="s">
        <v>757</v>
      </c>
      <c r="C384">
        <v>0</v>
      </c>
      <c r="D384" t="s">
        <v>1533</v>
      </c>
      <c r="E384" t="s">
        <v>30</v>
      </c>
      <c r="F384" t="s">
        <v>1534</v>
      </c>
      <c r="G384" t="s">
        <v>760</v>
      </c>
      <c r="H384" t="s">
        <v>761</v>
      </c>
      <c r="I384" t="s">
        <v>762</v>
      </c>
      <c r="J384" t="s">
        <v>763</v>
      </c>
      <c r="K384">
        <v>29.31</v>
      </c>
      <c r="L384">
        <v>29.31</v>
      </c>
      <c r="M384">
        <v>29.31</v>
      </c>
      <c r="N384">
        <v>29.31</v>
      </c>
      <c r="O384">
        <v>29.31</v>
      </c>
      <c r="P384">
        <v>29.31</v>
      </c>
      <c r="Q384">
        <v>29.31</v>
      </c>
      <c r="R384">
        <v>29.31</v>
      </c>
      <c r="S384">
        <v>29.31</v>
      </c>
      <c r="T384">
        <v>29.31</v>
      </c>
      <c r="U384">
        <v>29.31</v>
      </c>
      <c r="V384">
        <v>29.31</v>
      </c>
      <c r="W384" s="6" t="s">
        <v>764</v>
      </c>
      <c r="X384" s="6" t="s">
        <v>765</v>
      </c>
      <c r="Y384" s="6" t="s">
        <v>766</v>
      </c>
      <c r="Z384" s="6" t="s">
        <v>767</v>
      </c>
      <c r="AA384" s="6" t="s">
        <v>61</v>
      </c>
      <c r="AB384" s="6" t="s">
        <v>768</v>
      </c>
    </row>
    <row r="385" spans="1:28" x14ac:dyDescent="0.25">
      <c r="A385" t="s">
        <v>756</v>
      </c>
      <c r="B385" t="s">
        <v>757</v>
      </c>
      <c r="C385">
        <v>0</v>
      </c>
      <c r="D385" t="s">
        <v>1535</v>
      </c>
      <c r="E385" t="s">
        <v>30</v>
      </c>
      <c r="F385" t="s">
        <v>1536</v>
      </c>
      <c r="G385" t="s">
        <v>760</v>
      </c>
      <c r="H385" t="s">
        <v>761</v>
      </c>
      <c r="I385" t="s">
        <v>762</v>
      </c>
      <c r="J385" t="s">
        <v>763</v>
      </c>
      <c r="K385">
        <v>29.31</v>
      </c>
      <c r="L385">
        <v>29.31</v>
      </c>
      <c r="M385">
        <v>29.31</v>
      </c>
      <c r="N385">
        <v>29.31</v>
      </c>
      <c r="O385">
        <v>29.31</v>
      </c>
      <c r="P385">
        <v>29.31</v>
      </c>
      <c r="Q385">
        <v>29.31</v>
      </c>
      <c r="R385">
        <v>29.31</v>
      </c>
      <c r="S385">
        <v>29.31</v>
      </c>
      <c r="T385">
        <v>29.31</v>
      </c>
      <c r="U385">
        <v>29.31</v>
      </c>
      <c r="V385">
        <v>29.31</v>
      </c>
      <c r="W385" s="6" t="s">
        <v>764</v>
      </c>
      <c r="X385" s="6" t="s">
        <v>765</v>
      </c>
      <c r="Y385" s="6" t="s">
        <v>766</v>
      </c>
      <c r="Z385" s="6" t="s">
        <v>767</v>
      </c>
      <c r="AA385" s="6" t="s">
        <v>61</v>
      </c>
      <c r="AB385" s="6" t="s">
        <v>768</v>
      </c>
    </row>
    <row r="386" spans="1:28" x14ac:dyDescent="0.25">
      <c r="A386" t="s">
        <v>756</v>
      </c>
      <c r="B386" t="s">
        <v>757</v>
      </c>
      <c r="C386">
        <v>0</v>
      </c>
      <c r="D386" t="s">
        <v>1537</v>
      </c>
      <c r="E386" t="s">
        <v>30</v>
      </c>
      <c r="F386" t="s">
        <v>1538</v>
      </c>
      <c r="G386" t="s">
        <v>760</v>
      </c>
      <c r="H386" t="s">
        <v>761</v>
      </c>
      <c r="I386" t="s">
        <v>762</v>
      </c>
      <c r="J386" t="s">
        <v>763</v>
      </c>
      <c r="K386">
        <v>29.31</v>
      </c>
      <c r="L386">
        <v>29.31</v>
      </c>
      <c r="M386">
        <v>29.31</v>
      </c>
      <c r="N386">
        <v>29.31</v>
      </c>
      <c r="O386">
        <v>29.31</v>
      </c>
      <c r="P386">
        <v>29.31</v>
      </c>
      <c r="Q386">
        <v>29.31</v>
      </c>
      <c r="R386">
        <v>29.31</v>
      </c>
      <c r="S386">
        <v>29.31</v>
      </c>
      <c r="T386">
        <v>29.31</v>
      </c>
      <c r="U386">
        <v>29.31</v>
      </c>
      <c r="V386">
        <v>29.31</v>
      </c>
      <c r="W386" s="6" t="s">
        <v>764</v>
      </c>
      <c r="X386" s="6" t="s">
        <v>765</v>
      </c>
      <c r="Y386" s="6" t="s">
        <v>766</v>
      </c>
      <c r="Z386" s="6" t="s">
        <v>767</v>
      </c>
      <c r="AA386" s="6" t="s">
        <v>61</v>
      </c>
      <c r="AB386" s="6" t="s">
        <v>768</v>
      </c>
    </row>
    <row r="387" spans="1:28" x14ac:dyDescent="0.25">
      <c r="A387" t="s">
        <v>756</v>
      </c>
      <c r="B387" t="s">
        <v>757</v>
      </c>
      <c r="C387">
        <v>0</v>
      </c>
      <c r="D387" t="s">
        <v>1539</v>
      </c>
      <c r="E387" t="s">
        <v>30</v>
      </c>
      <c r="F387" t="s">
        <v>1540</v>
      </c>
      <c r="G387" t="s">
        <v>760</v>
      </c>
      <c r="H387" t="s">
        <v>761</v>
      </c>
      <c r="I387" t="s">
        <v>762</v>
      </c>
      <c r="J387" t="s">
        <v>763</v>
      </c>
      <c r="K387">
        <v>29.31</v>
      </c>
      <c r="L387">
        <v>29.31</v>
      </c>
      <c r="M387">
        <v>29.31</v>
      </c>
      <c r="N387">
        <v>29.31</v>
      </c>
      <c r="O387">
        <v>29.31</v>
      </c>
      <c r="P387">
        <v>29.31</v>
      </c>
      <c r="Q387">
        <v>29.31</v>
      </c>
      <c r="R387">
        <v>29.31</v>
      </c>
      <c r="S387">
        <v>29.31</v>
      </c>
      <c r="T387">
        <v>29.31</v>
      </c>
      <c r="U387">
        <v>29.31</v>
      </c>
      <c r="V387">
        <v>29.31</v>
      </c>
      <c r="W387" s="6" t="s">
        <v>764</v>
      </c>
      <c r="X387" s="6" t="s">
        <v>765</v>
      </c>
      <c r="Y387" s="6" t="s">
        <v>766</v>
      </c>
      <c r="Z387" s="6" t="s">
        <v>767</v>
      </c>
      <c r="AA387" s="6" t="s">
        <v>61</v>
      </c>
      <c r="AB387" s="6" t="s">
        <v>768</v>
      </c>
    </row>
    <row r="388" spans="1:28" x14ac:dyDescent="0.25">
      <c r="A388" t="s">
        <v>1541</v>
      </c>
      <c r="B388" t="s">
        <v>757</v>
      </c>
      <c r="C388">
        <v>0</v>
      </c>
      <c r="D388" t="s">
        <v>1542</v>
      </c>
      <c r="E388" t="s">
        <v>30</v>
      </c>
      <c r="F388" t="s">
        <v>1543</v>
      </c>
      <c r="G388" t="s">
        <v>760</v>
      </c>
      <c r="H388" t="s">
        <v>761</v>
      </c>
      <c r="I388" t="s">
        <v>762</v>
      </c>
      <c r="J388" t="s">
        <v>763</v>
      </c>
      <c r="K388">
        <v>29.31</v>
      </c>
      <c r="L388">
        <v>29.31</v>
      </c>
      <c r="M388">
        <v>29.31</v>
      </c>
      <c r="N388">
        <v>29.31</v>
      </c>
      <c r="O388">
        <v>29.31</v>
      </c>
      <c r="P388">
        <v>29.31</v>
      </c>
      <c r="Q388">
        <v>29.31</v>
      </c>
      <c r="R388">
        <v>0</v>
      </c>
      <c r="S388">
        <v>0</v>
      </c>
      <c r="T388">
        <v>0</v>
      </c>
      <c r="U388">
        <v>0</v>
      </c>
      <c r="V388">
        <v>0</v>
      </c>
      <c r="W388" s="6" t="s">
        <v>764</v>
      </c>
      <c r="X388" s="6" t="s">
        <v>765</v>
      </c>
      <c r="Y388" s="6" t="s">
        <v>766</v>
      </c>
      <c r="Z388" s="6" t="s">
        <v>767</v>
      </c>
      <c r="AA388" s="6" t="s">
        <v>61</v>
      </c>
      <c r="AB388" s="6" t="s">
        <v>768</v>
      </c>
    </row>
    <row r="389" spans="1:28" x14ac:dyDescent="0.25">
      <c r="A389" t="s">
        <v>756</v>
      </c>
      <c r="B389" t="s">
        <v>757</v>
      </c>
      <c r="C389">
        <v>0</v>
      </c>
      <c r="D389" t="s">
        <v>1544</v>
      </c>
      <c r="E389" t="s">
        <v>30</v>
      </c>
      <c r="F389" t="s">
        <v>1545</v>
      </c>
      <c r="G389" t="s">
        <v>760</v>
      </c>
      <c r="H389" t="s">
        <v>761</v>
      </c>
      <c r="I389" t="s">
        <v>762</v>
      </c>
      <c r="J389" t="s">
        <v>763</v>
      </c>
      <c r="K389">
        <v>29.31</v>
      </c>
      <c r="L389">
        <v>29.31</v>
      </c>
      <c r="M389">
        <v>29.31</v>
      </c>
      <c r="N389">
        <v>29.31</v>
      </c>
      <c r="O389">
        <v>29.31</v>
      </c>
      <c r="P389">
        <v>29.31</v>
      </c>
      <c r="Q389">
        <v>29.31</v>
      </c>
      <c r="R389">
        <v>29.31</v>
      </c>
      <c r="S389">
        <v>29.31</v>
      </c>
      <c r="T389">
        <v>29.31</v>
      </c>
      <c r="U389">
        <v>29.31</v>
      </c>
      <c r="V389">
        <v>29.31</v>
      </c>
      <c r="W389" s="6" t="s">
        <v>764</v>
      </c>
      <c r="X389" s="6" t="s">
        <v>765</v>
      </c>
      <c r="Y389" s="6" t="s">
        <v>766</v>
      </c>
      <c r="Z389" s="6" t="s">
        <v>767</v>
      </c>
      <c r="AA389" s="6" t="s">
        <v>61</v>
      </c>
      <c r="AB389" s="6" t="s">
        <v>768</v>
      </c>
    </row>
    <row r="390" spans="1:28" x14ac:dyDescent="0.25">
      <c r="A390" t="s">
        <v>756</v>
      </c>
      <c r="B390" t="s">
        <v>757</v>
      </c>
      <c r="C390">
        <v>0</v>
      </c>
      <c r="D390" t="s">
        <v>1546</v>
      </c>
      <c r="E390" t="s">
        <v>30</v>
      </c>
      <c r="F390" t="s">
        <v>1547</v>
      </c>
      <c r="G390" t="s">
        <v>760</v>
      </c>
      <c r="H390" t="s">
        <v>761</v>
      </c>
      <c r="I390" t="s">
        <v>762</v>
      </c>
      <c r="J390" t="s">
        <v>763</v>
      </c>
      <c r="K390">
        <v>29.31</v>
      </c>
      <c r="L390">
        <v>29.31</v>
      </c>
      <c r="M390">
        <v>29.31</v>
      </c>
      <c r="N390">
        <v>29.31</v>
      </c>
      <c r="O390">
        <v>29.31</v>
      </c>
      <c r="P390">
        <v>29.31</v>
      </c>
      <c r="Q390">
        <v>29.31</v>
      </c>
      <c r="R390">
        <v>29.31</v>
      </c>
      <c r="S390">
        <v>29.31</v>
      </c>
      <c r="T390">
        <v>29.31</v>
      </c>
      <c r="U390">
        <v>29.31</v>
      </c>
      <c r="V390">
        <v>29.31</v>
      </c>
      <c r="W390" s="6" t="s">
        <v>764</v>
      </c>
      <c r="X390" s="6" t="s">
        <v>765</v>
      </c>
      <c r="Y390" s="6" t="s">
        <v>766</v>
      </c>
      <c r="Z390" s="6" t="s">
        <v>767</v>
      </c>
      <c r="AA390" s="6" t="s">
        <v>61</v>
      </c>
      <c r="AB390" s="6" t="s">
        <v>768</v>
      </c>
    </row>
    <row r="391" spans="1:28" x14ac:dyDescent="0.25">
      <c r="A391" t="s">
        <v>756</v>
      </c>
      <c r="B391" t="s">
        <v>757</v>
      </c>
      <c r="C391">
        <v>0</v>
      </c>
      <c r="D391" t="s">
        <v>1548</v>
      </c>
      <c r="E391" t="s">
        <v>30</v>
      </c>
      <c r="F391" t="s">
        <v>1549</v>
      </c>
      <c r="G391" t="s">
        <v>760</v>
      </c>
      <c r="H391" t="s">
        <v>761</v>
      </c>
      <c r="I391" t="s">
        <v>762</v>
      </c>
      <c r="J391" t="s">
        <v>763</v>
      </c>
      <c r="K391">
        <v>29.31</v>
      </c>
      <c r="L391">
        <v>29.31</v>
      </c>
      <c r="M391">
        <v>29.31</v>
      </c>
      <c r="N391">
        <v>29.31</v>
      </c>
      <c r="O391">
        <v>29.31</v>
      </c>
      <c r="P391">
        <v>29.31</v>
      </c>
      <c r="Q391">
        <v>29.31</v>
      </c>
      <c r="R391">
        <v>29.31</v>
      </c>
      <c r="S391">
        <v>29.31</v>
      </c>
      <c r="T391">
        <v>29.31</v>
      </c>
      <c r="U391">
        <v>29.31</v>
      </c>
      <c r="V391">
        <v>29.31</v>
      </c>
      <c r="W391" s="6" t="s">
        <v>764</v>
      </c>
      <c r="X391" s="6" t="s">
        <v>765</v>
      </c>
      <c r="Y391" s="6" t="s">
        <v>766</v>
      </c>
      <c r="Z391" s="6" t="s">
        <v>767</v>
      </c>
      <c r="AA391" s="6" t="s">
        <v>61</v>
      </c>
      <c r="AB391" s="6" t="s">
        <v>768</v>
      </c>
    </row>
    <row r="392" spans="1:28" x14ac:dyDescent="0.25">
      <c r="A392" t="s">
        <v>756</v>
      </c>
      <c r="B392" t="s">
        <v>757</v>
      </c>
      <c r="C392">
        <v>0</v>
      </c>
      <c r="D392" t="s">
        <v>1550</v>
      </c>
      <c r="E392" t="s">
        <v>30</v>
      </c>
      <c r="F392" t="s">
        <v>1551</v>
      </c>
      <c r="G392" t="s">
        <v>760</v>
      </c>
      <c r="H392" t="s">
        <v>761</v>
      </c>
      <c r="I392" t="s">
        <v>762</v>
      </c>
      <c r="J392" t="s">
        <v>763</v>
      </c>
      <c r="K392">
        <v>29.31</v>
      </c>
      <c r="L392">
        <v>29.31</v>
      </c>
      <c r="M392">
        <v>29.31</v>
      </c>
      <c r="N392">
        <v>29.31</v>
      </c>
      <c r="O392">
        <v>29.31</v>
      </c>
      <c r="P392">
        <v>29.31</v>
      </c>
      <c r="Q392">
        <v>29.31</v>
      </c>
      <c r="R392">
        <v>29.31</v>
      </c>
      <c r="S392">
        <v>29.31</v>
      </c>
      <c r="T392">
        <v>29.31</v>
      </c>
      <c r="U392">
        <v>29.31</v>
      </c>
      <c r="V392">
        <v>29.31</v>
      </c>
      <c r="W392" s="6" t="s">
        <v>764</v>
      </c>
      <c r="X392" s="6" t="s">
        <v>765</v>
      </c>
      <c r="Y392" s="6" t="s">
        <v>766</v>
      </c>
      <c r="Z392" s="6" t="s">
        <v>767</v>
      </c>
      <c r="AA392" s="6" t="s">
        <v>61</v>
      </c>
      <c r="AB392" s="6" t="s">
        <v>768</v>
      </c>
    </row>
    <row r="393" spans="1:28" x14ac:dyDescent="0.25">
      <c r="A393" t="s">
        <v>756</v>
      </c>
      <c r="B393" t="s">
        <v>757</v>
      </c>
      <c r="C393">
        <v>0</v>
      </c>
      <c r="D393" t="s">
        <v>1552</v>
      </c>
      <c r="E393" t="s">
        <v>30</v>
      </c>
      <c r="F393" t="s">
        <v>1553</v>
      </c>
      <c r="G393" t="s">
        <v>760</v>
      </c>
      <c r="H393" t="s">
        <v>761</v>
      </c>
      <c r="I393" t="s">
        <v>762</v>
      </c>
      <c r="J393" t="s">
        <v>763</v>
      </c>
      <c r="K393">
        <v>29.31</v>
      </c>
      <c r="L393">
        <v>29.31</v>
      </c>
      <c r="M393">
        <v>29.31</v>
      </c>
      <c r="N393">
        <v>29.31</v>
      </c>
      <c r="O393">
        <v>29.31</v>
      </c>
      <c r="P393">
        <v>29.31</v>
      </c>
      <c r="Q393">
        <v>29.31</v>
      </c>
      <c r="R393">
        <v>29.31</v>
      </c>
      <c r="S393">
        <v>29.31</v>
      </c>
      <c r="T393">
        <v>29.31</v>
      </c>
      <c r="U393">
        <v>29.31</v>
      </c>
      <c r="V393">
        <v>29.31</v>
      </c>
      <c r="W393" s="6" t="s">
        <v>764</v>
      </c>
      <c r="X393" s="6" t="s">
        <v>765</v>
      </c>
      <c r="Y393" s="6" t="s">
        <v>766</v>
      </c>
      <c r="Z393" s="6" t="s">
        <v>767</v>
      </c>
      <c r="AA393" s="6" t="s">
        <v>61</v>
      </c>
      <c r="AB393" s="6" t="s">
        <v>768</v>
      </c>
    </row>
    <row r="394" spans="1:28" x14ac:dyDescent="0.25">
      <c r="A394" t="s">
        <v>756</v>
      </c>
      <c r="B394" t="s">
        <v>757</v>
      </c>
      <c r="C394">
        <v>0</v>
      </c>
      <c r="D394" t="s">
        <v>1554</v>
      </c>
      <c r="E394" t="s">
        <v>30</v>
      </c>
      <c r="F394" t="s">
        <v>1555</v>
      </c>
      <c r="G394" t="s">
        <v>760</v>
      </c>
      <c r="H394" t="s">
        <v>761</v>
      </c>
      <c r="I394" t="s">
        <v>762</v>
      </c>
      <c r="J394" t="s">
        <v>763</v>
      </c>
      <c r="K394">
        <v>29.31</v>
      </c>
      <c r="L394">
        <v>29.31</v>
      </c>
      <c r="M394">
        <v>29.31</v>
      </c>
      <c r="N394">
        <v>29.31</v>
      </c>
      <c r="O394">
        <v>29.31</v>
      </c>
      <c r="P394">
        <v>29.31</v>
      </c>
      <c r="Q394">
        <v>29.31</v>
      </c>
      <c r="R394">
        <v>29.31</v>
      </c>
      <c r="S394">
        <v>29.31</v>
      </c>
      <c r="T394">
        <v>29.31</v>
      </c>
      <c r="U394">
        <v>29.31</v>
      </c>
      <c r="V394">
        <v>29.31</v>
      </c>
      <c r="W394" s="6" t="s">
        <v>764</v>
      </c>
      <c r="X394" s="6" t="s">
        <v>765</v>
      </c>
      <c r="Y394" s="6" t="s">
        <v>766</v>
      </c>
      <c r="Z394" s="6" t="s">
        <v>767</v>
      </c>
      <c r="AA394" s="6" t="s">
        <v>61</v>
      </c>
      <c r="AB394" s="6" t="s">
        <v>768</v>
      </c>
    </row>
    <row r="395" spans="1:28" x14ac:dyDescent="0.25">
      <c r="A395" t="s">
        <v>756</v>
      </c>
      <c r="B395" t="s">
        <v>757</v>
      </c>
      <c r="C395">
        <v>0</v>
      </c>
      <c r="D395" t="s">
        <v>1556</v>
      </c>
      <c r="E395" t="s">
        <v>30</v>
      </c>
      <c r="F395" t="s">
        <v>1557</v>
      </c>
      <c r="G395" t="s">
        <v>760</v>
      </c>
      <c r="H395" t="s">
        <v>761</v>
      </c>
      <c r="I395" t="s">
        <v>762</v>
      </c>
      <c r="J395" t="s">
        <v>763</v>
      </c>
      <c r="K395">
        <v>29.31</v>
      </c>
      <c r="L395">
        <v>29.31</v>
      </c>
      <c r="M395">
        <v>29.31</v>
      </c>
      <c r="N395">
        <v>29.31</v>
      </c>
      <c r="O395">
        <v>29.31</v>
      </c>
      <c r="P395">
        <v>29.31</v>
      </c>
      <c r="Q395">
        <v>29.31</v>
      </c>
      <c r="R395">
        <v>29.31</v>
      </c>
      <c r="S395">
        <v>29.31</v>
      </c>
      <c r="T395">
        <v>29.31</v>
      </c>
      <c r="U395">
        <v>29.31</v>
      </c>
      <c r="V395">
        <v>29.31</v>
      </c>
      <c r="W395" s="6" t="s">
        <v>764</v>
      </c>
      <c r="X395" s="6" t="s">
        <v>765</v>
      </c>
      <c r="Y395" s="6" t="s">
        <v>766</v>
      </c>
      <c r="Z395" s="6" t="s">
        <v>767</v>
      </c>
      <c r="AA395" s="6" t="s">
        <v>61</v>
      </c>
      <c r="AB395" s="6" t="s">
        <v>768</v>
      </c>
    </row>
    <row r="396" spans="1:28" x14ac:dyDescent="0.25">
      <c r="A396" t="s">
        <v>756</v>
      </c>
      <c r="B396" t="s">
        <v>757</v>
      </c>
      <c r="C396">
        <v>0</v>
      </c>
      <c r="D396" t="s">
        <v>1558</v>
      </c>
      <c r="E396" t="s">
        <v>30</v>
      </c>
      <c r="F396" t="s">
        <v>1559</v>
      </c>
      <c r="G396" t="s">
        <v>760</v>
      </c>
      <c r="H396" t="s">
        <v>761</v>
      </c>
      <c r="I396" t="s">
        <v>762</v>
      </c>
      <c r="J396" t="s">
        <v>763</v>
      </c>
      <c r="K396">
        <v>29.31</v>
      </c>
      <c r="L396">
        <v>29.31</v>
      </c>
      <c r="M396">
        <v>29.31</v>
      </c>
      <c r="N396">
        <v>29.31</v>
      </c>
      <c r="O396">
        <v>29.31</v>
      </c>
      <c r="P396">
        <v>29.31</v>
      </c>
      <c r="Q396">
        <v>29.31</v>
      </c>
      <c r="R396">
        <v>29.31</v>
      </c>
      <c r="S396">
        <v>29.31</v>
      </c>
      <c r="T396">
        <v>29.31</v>
      </c>
      <c r="U396">
        <v>29.31</v>
      </c>
      <c r="V396">
        <v>29.31</v>
      </c>
      <c r="W396" s="6" t="s">
        <v>764</v>
      </c>
      <c r="X396" s="6" t="s">
        <v>765</v>
      </c>
      <c r="Y396" s="6" t="s">
        <v>766</v>
      </c>
      <c r="Z396" s="6" t="s">
        <v>767</v>
      </c>
      <c r="AA396" s="6" t="s">
        <v>61</v>
      </c>
      <c r="AB396" s="6" t="s">
        <v>768</v>
      </c>
    </row>
    <row r="397" spans="1:28" x14ac:dyDescent="0.25">
      <c r="A397" t="s">
        <v>756</v>
      </c>
      <c r="B397" t="s">
        <v>757</v>
      </c>
      <c r="C397">
        <v>0</v>
      </c>
      <c r="D397" t="s">
        <v>1560</v>
      </c>
      <c r="E397" t="s">
        <v>30</v>
      </c>
      <c r="F397" t="s">
        <v>1561</v>
      </c>
      <c r="G397" t="s">
        <v>760</v>
      </c>
      <c r="H397" t="s">
        <v>761</v>
      </c>
      <c r="I397" t="s">
        <v>762</v>
      </c>
      <c r="J397" t="s">
        <v>763</v>
      </c>
      <c r="K397">
        <v>29.31</v>
      </c>
      <c r="L397">
        <v>29.31</v>
      </c>
      <c r="M397">
        <v>29.31</v>
      </c>
      <c r="N397">
        <v>29.31</v>
      </c>
      <c r="O397">
        <v>29.31</v>
      </c>
      <c r="P397">
        <v>29.31</v>
      </c>
      <c r="Q397">
        <v>29.31</v>
      </c>
      <c r="R397">
        <v>29.31</v>
      </c>
      <c r="S397">
        <v>29.31</v>
      </c>
      <c r="T397">
        <v>29.31</v>
      </c>
      <c r="U397">
        <v>29.31</v>
      </c>
      <c r="V397">
        <v>29.31</v>
      </c>
      <c r="W397" s="6" t="s">
        <v>764</v>
      </c>
      <c r="X397" s="6" t="s">
        <v>765</v>
      </c>
      <c r="Y397" s="6" t="s">
        <v>766</v>
      </c>
      <c r="Z397" s="6" t="s">
        <v>767</v>
      </c>
      <c r="AA397" s="6" t="s">
        <v>61</v>
      </c>
      <c r="AB397" s="6" t="s">
        <v>768</v>
      </c>
    </row>
    <row r="398" spans="1:28" x14ac:dyDescent="0.25">
      <c r="A398" t="s">
        <v>756</v>
      </c>
      <c r="B398" t="s">
        <v>757</v>
      </c>
      <c r="C398">
        <v>0</v>
      </c>
      <c r="D398" t="s">
        <v>1562</v>
      </c>
      <c r="E398" t="s">
        <v>30</v>
      </c>
      <c r="F398" t="s">
        <v>1563</v>
      </c>
      <c r="G398" t="s">
        <v>760</v>
      </c>
      <c r="H398" t="s">
        <v>761</v>
      </c>
      <c r="I398" t="s">
        <v>762</v>
      </c>
      <c r="J398" t="s">
        <v>763</v>
      </c>
      <c r="K398">
        <v>29.31</v>
      </c>
      <c r="L398">
        <v>29.31</v>
      </c>
      <c r="M398">
        <v>29.31</v>
      </c>
      <c r="N398">
        <v>29.31</v>
      </c>
      <c r="O398">
        <v>29.31</v>
      </c>
      <c r="P398">
        <v>29.31</v>
      </c>
      <c r="Q398">
        <v>29.31</v>
      </c>
      <c r="R398">
        <v>29.31</v>
      </c>
      <c r="S398">
        <v>29.31</v>
      </c>
      <c r="T398">
        <v>29.31</v>
      </c>
      <c r="U398">
        <v>29.31</v>
      </c>
      <c r="V398">
        <v>29.31</v>
      </c>
      <c r="W398" s="6" t="s">
        <v>764</v>
      </c>
      <c r="X398" s="6" t="s">
        <v>765</v>
      </c>
      <c r="Y398" s="6" t="s">
        <v>766</v>
      </c>
      <c r="Z398" s="6" t="s">
        <v>767</v>
      </c>
      <c r="AA398" s="6" t="s">
        <v>61</v>
      </c>
      <c r="AB398" s="6" t="s">
        <v>768</v>
      </c>
    </row>
    <row r="399" spans="1:28" x14ac:dyDescent="0.25">
      <c r="A399" t="s">
        <v>756</v>
      </c>
      <c r="B399" t="s">
        <v>757</v>
      </c>
      <c r="C399">
        <v>0</v>
      </c>
      <c r="D399" t="s">
        <v>1564</v>
      </c>
      <c r="E399" t="s">
        <v>30</v>
      </c>
      <c r="F399" t="s">
        <v>1565</v>
      </c>
      <c r="G399" t="s">
        <v>760</v>
      </c>
      <c r="H399" t="s">
        <v>761</v>
      </c>
      <c r="I399" t="s">
        <v>762</v>
      </c>
      <c r="J399" t="s">
        <v>763</v>
      </c>
      <c r="K399">
        <v>29.31</v>
      </c>
      <c r="L399">
        <v>29.31</v>
      </c>
      <c r="M399">
        <v>29.31</v>
      </c>
      <c r="N399">
        <v>29.31</v>
      </c>
      <c r="O399">
        <v>29.31</v>
      </c>
      <c r="P399">
        <v>29.31</v>
      </c>
      <c r="Q399">
        <v>29.31</v>
      </c>
      <c r="R399">
        <v>29.31</v>
      </c>
      <c r="S399">
        <v>29.31</v>
      </c>
      <c r="T399">
        <v>29.31</v>
      </c>
      <c r="U399">
        <v>29.31</v>
      </c>
      <c r="V399">
        <v>29.31</v>
      </c>
      <c r="W399" s="6" t="s">
        <v>764</v>
      </c>
      <c r="X399" s="6" t="s">
        <v>765</v>
      </c>
      <c r="Y399" s="6" t="s">
        <v>766</v>
      </c>
      <c r="Z399" s="6" t="s">
        <v>767</v>
      </c>
      <c r="AA399" s="6" t="s">
        <v>61</v>
      </c>
      <c r="AB399" s="6" t="s">
        <v>768</v>
      </c>
    </row>
    <row r="400" spans="1:28" x14ac:dyDescent="0.25">
      <c r="A400" t="s">
        <v>756</v>
      </c>
      <c r="B400" t="s">
        <v>757</v>
      </c>
      <c r="C400">
        <v>0</v>
      </c>
      <c r="D400" t="s">
        <v>1566</v>
      </c>
      <c r="E400" t="s">
        <v>30</v>
      </c>
      <c r="F400" t="s">
        <v>1567</v>
      </c>
      <c r="G400" t="s">
        <v>760</v>
      </c>
      <c r="H400" t="s">
        <v>761</v>
      </c>
      <c r="I400" t="s">
        <v>762</v>
      </c>
      <c r="J400" t="s">
        <v>763</v>
      </c>
      <c r="K400">
        <v>29.31</v>
      </c>
      <c r="L400">
        <v>29.31</v>
      </c>
      <c r="M400">
        <v>29.31</v>
      </c>
      <c r="N400">
        <v>29.31</v>
      </c>
      <c r="O400">
        <v>29.31</v>
      </c>
      <c r="P400">
        <v>29.31</v>
      </c>
      <c r="Q400">
        <v>29.31</v>
      </c>
      <c r="R400">
        <v>29.31</v>
      </c>
      <c r="S400">
        <v>29.31</v>
      </c>
      <c r="T400">
        <v>29.31</v>
      </c>
      <c r="U400">
        <v>29.31</v>
      </c>
      <c r="V400">
        <v>29.31</v>
      </c>
      <c r="W400" s="6" t="s">
        <v>764</v>
      </c>
      <c r="X400" s="6" t="s">
        <v>765</v>
      </c>
      <c r="Y400" s="6" t="s">
        <v>766</v>
      </c>
      <c r="Z400" s="6" t="s">
        <v>767</v>
      </c>
      <c r="AA400" s="6" t="s">
        <v>61</v>
      </c>
      <c r="AB400" s="6" t="s">
        <v>768</v>
      </c>
    </row>
    <row r="401" spans="1:28" x14ac:dyDescent="0.25">
      <c r="A401" t="s">
        <v>756</v>
      </c>
      <c r="B401" t="s">
        <v>757</v>
      </c>
      <c r="C401">
        <v>0</v>
      </c>
      <c r="D401" t="s">
        <v>1568</v>
      </c>
      <c r="E401" t="s">
        <v>30</v>
      </c>
      <c r="F401" t="s">
        <v>1569</v>
      </c>
      <c r="G401" t="s">
        <v>760</v>
      </c>
      <c r="H401" t="s">
        <v>761</v>
      </c>
      <c r="I401" t="s">
        <v>762</v>
      </c>
      <c r="J401" t="s">
        <v>763</v>
      </c>
      <c r="K401">
        <v>29.31</v>
      </c>
      <c r="L401">
        <v>29.31</v>
      </c>
      <c r="M401">
        <v>29.31</v>
      </c>
      <c r="N401">
        <v>29.31</v>
      </c>
      <c r="O401">
        <v>29.31</v>
      </c>
      <c r="P401">
        <v>29.31</v>
      </c>
      <c r="Q401">
        <v>29.31</v>
      </c>
      <c r="R401">
        <v>29.31</v>
      </c>
      <c r="S401">
        <v>29.31</v>
      </c>
      <c r="T401">
        <v>29.31</v>
      </c>
      <c r="U401">
        <v>29.31</v>
      </c>
      <c r="V401">
        <v>29.31</v>
      </c>
      <c r="W401" s="6" t="s">
        <v>764</v>
      </c>
      <c r="X401" s="6" t="s">
        <v>765</v>
      </c>
      <c r="Y401" s="6" t="s">
        <v>766</v>
      </c>
      <c r="Z401" s="6" t="s">
        <v>767</v>
      </c>
      <c r="AA401" s="6" t="s">
        <v>61</v>
      </c>
      <c r="AB401" s="6" t="s">
        <v>768</v>
      </c>
    </row>
    <row r="402" spans="1:28" x14ac:dyDescent="0.25">
      <c r="A402" t="s">
        <v>756</v>
      </c>
      <c r="B402" t="s">
        <v>757</v>
      </c>
      <c r="C402">
        <v>0</v>
      </c>
      <c r="D402" t="s">
        <v>1570</v>
      </c>
      <c r="E402" t="s">
        <v>30</v>
      </c>
      <c r="F402" t="s">
        <v>1571</v>
      </c>
      <c r="G402" t="s">
        <v>760</v>
      </c>
      <c r="H402" t="s">
        <v>761</v>
      </c>
      <c r="I402" t="s">
        <v>762</v>
      </c>
      <c r="J402" t="s">
        <v>763</v>
      </c>
      <c r="K402">
        <v>29.31</v>
      </c>
      <c r="L402">
        <v>29.31</v>
      </c>
      <c r="M402">
        <v>29.31</v>
      </c>
      <c r="N402">
        <v>29.31</v>
      </c>
      <c r="O402">
        <v>29.31</v>
      </c>
      <c r="P402">
        <v>29.31</v>
      </c>
      <c r="Q402">
        <v>29.31</v>
      </c>
      <c r="R402">
        <v>29.31</v>
      </c>
      <c r="S402">
        <v>29.31</v>
      </c>
      <c r="T402">
        <v>29.31</v>
      </c>
      <c r="U402">
        <v>29.31</v>
      </c>
      <c r="V402">
        <v>29.31</v>
      </c>
      <c r="W402" s="6" t="s">
        <v>764</v>
      </c>
      <c r="X402" s="6" t="s">
        <v>765</v>
      </c>
      <c r="Y402" s="6" t="s">
        <v>766</v>
      </c>
      <c r="Z402" s="6" t="s">
        <v>767</v>
      </c>
      <c r="AA402" s="6" t="s">
        <v>61</v>
      </c>
      <c r="AB402" s="6" t="s">
        <v>768</v>
      </c>
    </row>
    <row r="403" spans="1:28" x14ac:dyDescent="0.25">
      <c r="A403" t="s">
        <v>756</v>
      </c>
      <c r="B403" t="s">
        <v>757</v>
      </c>
      <c r="C403">
        <v>0</v>
      </c>
      <c r="D403" t="s">
        <v>1572</v>
      </c>
      <c r="E403" t="s">
        <v>30</v>
      </c>
      <c r="F403" t="s">
        <v>1573</v>
      </c>
      <c r="G403" t="s">
        <v>760</v>
      </c>
      <c r="H403" t="s">
        <v>761</v>
      </c>
      <c r="I403" t="s">
        <v>762</v>
      </c>
      <c r="J403" t="s">
        <v>763</v>
      </c>
      <c r="K403">
        <v>29.31</v>
      </c>
      <c r="L403">
        <v>29.31</v>
      </c>
      <c r="M403">
        <v>29.31</v>
      </c>
      <c r="N403">
        <v>29.31</v>
      </c>
      <c r="O403">
        <v>29.31</v>
      </c>
      <c r="P403">
        <v>29.31</v>
      </c>
      <c r="Q403">
        <v>29.31</v>
      </c>
      <c r="R403">
        <v>29.31</v>
      </c>
      <c r="S403">
        <v>29.31</v>
      </c>
      <c r="T403">
        <v>29.31</v>
      </c>
      <c r="U403">
        <v>29.31</v>
      </c>
      <c r="V403">
        <v>29.31</v>
      </c>
      <c r="W403" s="6" t="s">
        <v>764</v>
      </c>
      <c r="X403" s="6" t="s">
        <v>765</v>
      </c>
      <c r="Y403" s="6" t="s">
        <v>766</v>
      </c>
      <c r="Z403" s="6" t="s">
        <v>767</v>
      </c>
      <c r="AA403" s="6" t="s">
        <v>61</v>
      </c>
      <c r="AB403" s="6" t="s">
        <v>768</v>
      </c>
    </row>
    <row r="404" spans="1:28" x14ac:dyDescent="0.25">
      <c r="A404" t="s">
        <v>756</v>
      </c>
      <c r="B404" t="s">
        <v>757</v>
      </c>
      <c r="C404">
        <v>0</v>
      </c>
      <c r="D404" t="s">
        <v>1574</v>
      </c>
      <c r="E404" t="s">
        <v>30</v>
      </c>
      <c r="F404" t="s">
        <v>1575</v>
      </c>
      <c r="G404" t="s">
        <v>760</v>
      </c>
      <c r="H404" t="s">
        <v>761</v>
      </c>
      <c r="I404" t="s">
        <v>762</v>
      </c>
      <c r="J404" t="s">
        <v>763</v>
      </c>
      <c r="K404">
        <v>29.31</v>
      </c>
      <c r="L404">
        <v>29.31</v>
      </c>
      <c r="M404">
        <v>29.31</v>
      </c>
      <c r="N404">
        <v>29.31</v>
      </c>
      <c r="O404">
        <v>29.31</v>
      </c>
      <c r="P404">
        <v>29.31</v>
      </c>
      <c r="Q404">
        <v>29.31</v>
      </c>
      <c r="R404">
        <v>29.31</v>
      </c>
      <c r="S404">
        <v>29.31</v>
      </c>
      <c r="T404">
        <v>29.31</v>
      </c>
      <c r="U404">
        <v>29.31</v>
      </c>
      <c r="V404">
        <v>29.31</v>
      </c>
      <c r="W404" s="6" t="s">
        <v>764</v>
      </c>
      <c r="X404" s="6" t="s">
        <v>765</v>
      </c>
      <c r="Y404" s="6" t="s">
        <v>766</v>
      </c>
      <c r="Z404" s="6" t="s">
        <v>767</v>
      </c>
      <c r="AA404" s="6" t="s">
        <v>61</v>
      </c>
      <c r="AB404" s="6" t="s">
        <v>768</v>
      </c>
    </row>
    <row r="405" spans="1:28" x14ac:dyDescent="0.25">
      <c r="A405" t="s">
        <v>756</v>
      </c>
      <c r="B405" t="s">
        <v>757</v>
      </c>
      <c r="C405">
        <v>0</v>
      </c>
      <c r="D405" t="s">
        <v>1576</v>
      </c>
      <c r="E405" t="s">
        <v>30</v>
      </c>
      <c r="F405" t="s">
        <v>1577</v>
      </c>
      <c r="G405" t="s">
        <v>760</v>
      </c>
      <c r="H405" t="s">
        <v>761</v>
      </c>
      <c r="I405" t="s">
        <v>762</v>
      </c>
      <c r="J405" t="s">
        <v>763</v>
      </c>
      <c r="K405">
        <v>29.31</v>
      </c>
      <c r="L405">
        <v>29.31</v>
      </c>
      <c r="M405">
        <v>29.31</v>
      </c>
      <c r="N405">
        <v>29.31</v>
      </c>
      <c r="O405">
        <v>29.31</v>
      </c>
      <c r="P405">
        <v>29.31</v>
      </c>
      <c r="Q405">
        <v>29.31</v>
      </c>
      <c r="R405">
        <v>29.31</v>
      </c>
      <c r="S405">
        <v>29.31</v>
      </c>
      <c r="T405">
        <v>29.31</v>
      </c>
      <c r="U405">
        <v>29.31</v>
      </c>
      <c r="V405">
        <v>29.31</v>
      </c>
      <c r="W405" s="6" t="s">
        <v>764</v>
      </c>
      <c r="X405" s="6" t="s">
        <v>765</v>
      </c>
      <c r="Y405" s="6" t="s">
        <v>766</v>
      </c>
      <c r="Z405" s="6" t="s">
        <v>767</v>
      </c>
      <c r="AA405" s="6" t="s">
        <v>61</v>
      </c>
      <c r="AB405" s="6" t="s">
        <v>768</v>
      </c>
    </row>
    <row r="406" spans="1:28" x14ac:dyDescent="0.25">
      <c r="A406" t="s">
        <v>756</v>
      </c>
      <c r="B406" t="s">
        <v>757</v>
      </c>
      <c r="C406">
        <v>0</v>
      </c>
      <c r="D406" t="s">
        <v>1578</v>
      </c>
      <c r="E406" t="s">
        <v>30</v>
      </c>
      <c r="F406" t="s">
        <v>1579</v>
      </c>
      <c r="G406" t="s">
        <v>760</v>
      </c>
      <c r="H406" t="s">
        <v>761</v>
      </c>
      <c r="I406" t="s">
        <v>762</v>
      </c>
      <c r="J406" t="s">
        <v>763</v>
      </c>
      <c r="K406">
        <v>29.31</v>
      </c>
      <c r="L406">
        <v>29.31</v>
      </c>
      <c r="M406">
        <v>29.31</v>
      </c>
      <c r="N406">
        <v>29.31</v>
      </c>
      <c r="O406">
        <v>29.31</v>
      </c>
      <c r="P406">
        <v>29.31</v>
      </c>
      <c r="Q406">
        <v>29.31</v>
      </c>
      <c r="R406">
        <v>29.31</v>
      </c>
      <c r="S406">
        <v>29.31</v>
      </c>
      <c r="T406">
        <v>29.31</v>
      </c>
      <c r="U406">
        <v>29.31</v>
      </c>
      <c r="V406">
        <v>29.31</v>
      </c>
      <c r="W406" s="6" t="s">
        <v>764</v>
      </c>
      <c r="X406" s="6" t="s">
        <v>765</v>
      </c>
      <c r="Y406" s="6" t="s">
        <v>766</v>
      </c>
      <c r="Z406" s="6" t="s">
        <v>767</v>
      </c>
      <c r="AA406" s="6" t="s">
        <v>61</v>
      </c>
      <c r="AB406" s="6" t="s">
        <v>768</v>
      </c>
    </row>
    <row r="407" spans="1:28" x14ac:dyDescent="0.25">
      <c r="A407" t="s">
        <v>756</v>
      </c>
      <c r="B407" t="s">
        <v>757</v>
      </c>
      <c r="C407">
        <v>0</v>
      </c>
      <c r="D407" t="s">
        <v>1580</v>
      </c>
      <c r="E407" t="s">
        <v>30</v>
      </c>
      <c r="F407" t="s">
        <v>1581</v>
      </c>
      <c r="G407" t="s">
        <v>760</v>
      </c>
      <c r="H407" t="s">
        <v>761</v>
      </c>
      <c r="I407" t="s">
        <v>762</v>
      </c>
      <c r="J407" t="s">
        <v>763</v>
      </c>
      <c r="K407">
        <v>29.31</v>
      </c>
      <c r="L407">
        <v>29.31</v>
      </c>
      <c r="M407">
        <v>29.31</v>
      </c>
      <c r="N407">
        <v>29.31</v>
      </c>
      <c r="O407">
        <v>29.31</v>
      </c>
      <c r="P407">
        <v>29.31</v>
      </c>
      <c r="Q407">
        <v>29.31</v>
      </c>
      <c r="R407">
        <v>29.31</v>
      </c>
      <c r="S407">
        <v>29.31</v>
      </c>
      <c r="T407">
        <v>29.31</v>
      </c>
      <c r="U407">
        <v>29.31</v>
      </c>
      <c r="V407">
        <v>29.31</v>
      </c>
      <c r="W407" s="6" t="s">
        <v>764</v>
      </c>
      <c r="X407" s="6" t="s">
        <v>765</v>
      </c>
      <c r="Y407" s="6" t="s">
        <v>766</v>
      </c>
      <c r="Z407" s="6" t="s">
        <v>767</v>
      </c>
      <c r="AA407" s="6" t="s">
        <v>61</v>
      </c>
      <c r="AB407" s="6" t="s">
        <v>768</v>
      </c>
    </row>
    <row r="408" spans="1:28" x14ac:dyDescent="0.25">
      <c r="A408" t="s">
        <v>756</v>
      </c>
      <c r="B408" t="s">
        <v>757</v>
      </c>
      <c r="C408">
        <v>0</v>
      </c>
      <c r="D408" t="s">
        <v>1582</v>
      </c>
      <c r="E408" t="s">
        <v>30</v>
      </c>
      <c r="F408" t="s">
        <v>1583</v>
      </c>
      <c r="G408" t="s">
        <v>760</v>
      </c>
      <c r="H408" t="s">
        <v>761</v>
      </c>
      <c r="I408" t="s">
        <v>762</v>
      </c>
      <c r="J408" t="s">
        <v>763</v>
      </c>
      <c r="K408">
        <v>29.31</v>
      </c>
      <c r="L408">
        <v>29.31</v>
      </c>
      <c r="M408">
        <v>29.31</v>
      </c>
      <c r="N408">
        <v>29.31</v>
      </c>
      <c r="O408">
        <v>29.31</v>
      </c>
      <c r="P408">
        <v>29.31</v>
      </c>
      <c r="Q408">
        <v>29.31</v>
      </c>
      <c r="R408">
        <v>29.31</v>
      </c>
      <c r="S408">
        <v>29.31</v>
      </c>
      <c r="T408">
        <v>29.31</v>
      </c>
      <c r="U408">
        <v>29.31</v>
      </c>
      <c r="V408">
        <v>29.31</v>
      </c>
      <c r="W408" s="6" t="s">
        <v>764</v>
      </c>
      <c r="X408" s="6" t="s">
        <v>765</v>
      </c>
      <c r="Y408" s="6" t="s">
        <v>766</v>
      </c>
      <c r="Z408" s="6" t="s">
        <v>767</v>
      </c>
      <c r="AA408" s="6" t="s">
        <v>61</v>
      </c>
      <c r="AB408" s="6" t="s">
        <v>768</v>
      </c>
    </row>
    <row r="409" spans="1:28" x14ac:dyDescent="0.25">
      <c r="A409" t="s">
        <v>756</v>
      </c>
      <c r="B409" t="s">
        <v>757</v>
      </c>
      <c r="C409">
        <v>0</v>
      </c>
      <c r="D409" t="s">
        <v>1584</v>
      </c>
      <c r="E409" t="s">
        <v>30</v>
      </c>
      <c r="F409" t="s">
        <v>1585</v>
      </c>
      <c r="G409" t="s">
        <v>760</v>
      </c>
      <c r="H409" t="s">
        <v>761</v>
      </c>
      <c r="I409" t="s">
        <v>762</v>
      </c>
      <c r="J409" t="s">
        <v>763</v>
      </c>
      <c r="K409">
        <v>0</v>
      </c>
      <c r="L409">
        <v>0</v>
      </c>
      <c r="M409">
        <v>29.31</v>
      </c>
      <c r="N409">
        <v>29.31</v>
      </c>
      <c r="O409">
        <v>29.31</v>
      </c>
      <c r="P409">
        <v>29.31</v>
      </c>
      <c r="Q409">
        <v>29.31</v>
      </c>
      <c r="R409">
        <v>29.31</v>
      </c>
      <c r="S409">
        <v>29.31</v>
      </c>
      <c r="T409">
        <v>29.31</v>
      </c>
      <c r="U409">
        <v>29.31</v>
      </c>
      <c r="V409">
        <v>29.31</v>
      </c>
      <c r="W409" s="6" t="s">
        <v>764</v>
      </c>
      <c r="X409" s="6" t="s">
        <v>765</v>
      </c>
      <c r="Y409" s="6" t="s">
        <v>766</v>
      </c>
      <c r="Z409" s="6" t="s">
        <v>767</v>
      </c>
      <c r="AA409" s="6" t="s">
        <v>61</v>
      </c>
      <c r="AB409" s="6" t="s">
        <v>768</v>
      </c>
    </row>
    <row r="410" spans="1:28" x14ac:dyDescent="0.25">
      <c r="A410" t="s">
        <v>756</v>
      </c>
      <c r="B410" t="s">
        <v>757</v>
      </c>
      <c r="C410">
        <v>0</v>
      </c>
      <c r="D410" t="s">
        <v>1586</v>
      </c>
      <c r="E410" t="s">
        <v>30</v>
      </c>
      <c r="F410" t="s">
        <v>1587</v>
      </c>
      <c r="G410" t="s">
        <v>760</v>
      </c>
      <c r="H410" t="s">
        <v>761</v>
      </c>
      <c r="I410" t="s">
        <v>762</v>
      </c>
      <c r="J410" t="s">
        <v>763</v>
      </c>
      <c r="K410">
        <v>29.31</v>
      </c>
      <c r="L410">
        <v>29.31</v>
      </c>
      <c r="M410">
        <v>29.31</v>
      </c>
      <c r="N410">
        <v>29.31</v>
      </c>
      <c r="O410">
        <v>29.31</v>
      </c>
      <c r="P410">
        <v>29.31</v>
      </c>
      <c r="Q410">
        <v>29.31</v>
      </c>
      <c r="R410">
        <v>29.31</v>
      </c>
      <c r="S410">
        <v>29.31</v>
      </c>
      <c r="T410">
        <v>29.31</v>
      </c>
      <c r="U410">
        <v>29.31</v>
      </c>
      <c r="V410">
        <v>29.31</v>
      </c>
      <c r="W410" s="6" t="s">
        <v>764</v>
      </c>
      <c r="X410" s="6" t="s">
        <v>765</v>
      </c>
      <c r="Y410" s="6" t="s">
        <v>766</v>
      </c>
      <c r="Z410" s="6" t="s">
        <v>767</v>
      </c>
      <c r="AA410" s="6" t="s">
        <v>61</v>
      </c>
      <c r="AB410" s="6" t="s">
        <v>768</v>
      </c>
    </row>
    <row r="411" spans="1:28" x14ac:dyDescent="0.25">
      <c r="A411" t="s">
        <v>756</v>
      </c>
      <c r="B411" t="s">
        <v>757</v>
      </c>
      <c r="C411">
        <v>0</v>
      </c>
      <c r="D411" t="s">
        <v>1588</v>
      </c>
      <c r="E411" t="s">
        <v>30</v>
      </c>
      <c r="F411" t="s">
        <v>1589</v>
      </c>
      <c r="G411" t="s">
        <v>760</v>
      </c>
      <c r="H411" t="s">
        <v>761</v>
      </c>
      <c r="I411" t="s">
        <v>762</v>
      </c>
      <c r="J411" t="s">
        <v>763</v>
      </c>
      <c r="K411">
        <v>29.31</v>
      </c>
      <c r="L411">
        <v>29.31</v>
      </c>
      <c r="M411">
        <v>29.31</v>
      </c>
      <c r="N411">
        <v>29.31</v>
      </c>
      <c r="O411">
        <v>29.31</v>
      </c>
      <c r="P411">
        <v>29.31</v>
      </c>
      <c r="Q411">
        <v>29.31</v>
      </c>
      <c r="R411">
        <v>29.31</v>
      </c>
      <c r="S411">
        <v>29.31</v>
      </c>
      <c r="T411">
        <v>29.31</v>
      </c>
      <c r="U411">
        <v>29.31</v>
      </c>
      <c r="V411">
        <v>29.31</v>
      </c>
      <c r="W411" s="6" t="s">
        <v>764</v>
      </c>
      <c r="X411" s="6" t="s">
        <v>765</v>
      </c>
      <c r="Y411" s="6" t="s">
        <v>766</v>
      </c>
      <c r="Z411" s="6" t="s">
        <v>767</v>
      </c>
      <c r="AA411" s="6" t="s">
        <v>61</v>
      </c>
      <c r="AB411" s="6" t="s">
        <v>768</v>
      </c>
    </row>
    <row r="412" spans="1:28" x14ac:dyDescent="0.25">
      <c r="A412" t="s">
        <v>756</v>
      </c>
      <c r="B412" t="s">
        <v>757</v>
      </c>
      <c r="C412">
        <v>0</v>
      </c>
      <c r="D412" t="s">
        <v>1590</v>
      </c>
      <c r="E412" t="s">
        <v>30</v>
      </c>
      <c r="F412" t="s">
        <v>1591</v>
      </c>
      <c r="G412" t="s">
        <v>760</v>
      </c>
      <c r="H412" t="s">
        <v>761</v>
      </c>
      <c r="I412" t="s">
        <v>762</v>
      </c>
      <c r="J412" t="s">
        <v>763</v>
      </c>
      <c r="K412">
        <v>29.31</v>
      </c>
      <c r="L412">
        <v>29.31</v>
      </c>
      <c r="M412">
        <v>29.31</v>
      </c>
      <c r="N412">
        <v>29.31</v>
      </c>
      <c r="O412">
        <v>29.31</v>
      </c>
      <c r="P412">
        <v>29.31</v>
      </c>
      <c r="Q412">
        <v>29.31</v>
      </c>
      <c r="R412">
        <v>29.31</v>
      </c>
      <c r="S412">
        <v>29.31</v>
      </c>
      <c r="T412">
        <v>29.31</v>
      </c>
      <c r="U412">
        <v>29.31</v>
      </c>
      <c r="V412">
        <v>29.31</v>
      </c>
      <c r="W412" s="6" t="s">
        <v>764</v>
      </c>
      <c r="X412" s="6" t="s">
        <v>765</v>
      </c>
      <c r="Y412" s="6" t="s">
        <v>766</v>
      </c>
      <c r="Z412" s="6" t="s">
        <v>767</v>
      </c>
      <c r="AA412" s="6" t="s">
        <v>61</v>
      </c>
      <c r="AB412" s="6" t="s">
        <v>768</v>
      </c>
    </row>
    <row r="413" spans="1:28" x14ac:dyDescent="0.25">
      <c r="A413" t="s">
        <v>756</v>
      </c>
      <c r="B413" t="s">
        <v>757</v>
      </c>
      <c r="C413">
        <v>0</v>
      </c>
      <c r="D413" t="s">
        <v>1592</v>
      </c>
      <c r="E413" t="s">
        <v>30</v>
      </c>
      <c r="F413" t="s">
        <v>1593</v>
      </c>
      <c r="G413" t="s">
        <v>760</v>
      </c>
      <c r="H413" t="s">
        <v>761</v>
      </c>
      <c r="I413" t="s">
        <v>762</v>
      </c>
      <c r="J413" t="s">
        <v>763</v>
      </c>
      <c r="K413">
        <v>29.31</v>
      </c>
      <c r="L413">
        <v>29.31</v>
      </c>
      <c r="M413">
        <v>29.31</v>
      </c>
      <c r="N413">
        <v>29.31</v>
      </c>
      <c r="O413">
        <v>29.31</v>
      </c>
      <c r="P413">
        <v>29.31</v>
      </c>
      <c r="Q413">
        <v>29.31</v>
      </c>
      <c r="R413">
        <v>29.31</v>
      </c>
      <c r="S413">
        <v>29.31</v>
      </c>
      <c r="T413">
        <v>29.31</v>
      </c>
      <c r="U413">
        <v>29.31</v>
      </c>
      <c r="V413">
        <v>29.31</v>
      </c>
      <c r="W413" s="6" t="s">
        <v>764</v>
      </c>
      <c r="X413" s="6" t="s">
        <v>765</v>
      </c>
      <c r="Y413" s="6" t="s">
        <v>766</v>
      </c>
      <c r="Z413" s="6" t="s">
        <v>767</v>
      </c>
      <c r="AA413" s="6" t="s">
        <v>61</v>
      </c>
      <c r="AB413" s="6" t="s">
        <v>768</v>
      </c>
    </row>
    <row r="414" spans="1:28" x14ac:dyDescent="0.25">
      <c r="A414" t="s">
        <v>756</v>
      </c>
      <c r="B414" t="s">
        <v>757</v>
      </c>
      <c r="C414">
        <v>0</v>
      </c>
      <c r="D414" t="s">
        <v>1594</v>
      </c>
      <c r="E414" t="s">
        <v>30</v>
      </c>
      <c r="F414" t="s">
        <v>1595</v>
      </c>
      <c r="G414" t="s">
        <v>760</v>
      </c>
      <c r="H414" t="s">
        <v>761</v>
      </c>
      <c r="I414" t="s">
        <v>762</v>
      </c>
      <c r="J414" t="s">
        <v>763</v>
      </c>
      <c r="K414">
        <v>29.31</v>
      </c>
      <c r="L414">
        <v>29.31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 s="6" t="s">
        <v>764</v>
      </c>
      <c r="X414" s="6" t="s">
        <v>765</v>
      </c>
      <c r="Y414" s="6" t="s">
        <v>766</v>
      </c>
      <c r="Z414" s="6" t="s">
        <v>767</v>
      </c>
      <c r="AA414" s="6" t="s">
        <v>61</v>
      </c>
      <c r="AB414" s="6" t="s">
        <v>768</v>
      </c>
    </row>
    <row r="415" spans="1:28" x14ac:dyDescent="0.25">
      <c r="A415" t="s">
        <v>756</v>
      </c>
      <c r="B415" t="s">
        <v>757</v>
      </c>
      <c r="C415">
        <v>0</v>
      </c>
      <c r="D415" t="s">
        <v>1596</v>
      </c>
      <c r="E415" t="s">
        <v>30</v>
      </c>
      <c r="F415" t="s">
        <v>1597</v>
      </c>
      <c r="G415" t="s">
        <v>760</v>
      </c>
      <c r="H415" t="s">
        <v>761</v>
      </c>
      <c r="I415" t="s">
        <v>762</v>
      </c>
      <c r="J415" t="s">
        <v>763</v>
      </c>
      <c r="K415">
        <v>29.31</v>
      </c>
      <c r="L415">
        <v>29.31</v>
      </c>
      <c r="M415">
        <v>29.31</v>
      </c>
      <c r="N415">
        <v>29.31</v>
      </c>
      <c r="O415">
        <v>29.31</v>
      </c>
      <c r="P415">
        <v>29.31</v>
      </c>
      <c r="Q415">
        <v>29.31</v>
      </c>
      <c r="R415">
        <v>29.31</v>
      </c>
      <c r="S415">
        <v>29.31</v>
      </c>
      <c r="T415">
        <v>29.31</v>
      </c>
      <c r="U415">
        <v>29.31</v>
      </c>
      <c r="V415">
        <v>29.31</v>
      </c>
      <c r="W415" s="6" t="s">
        <v>764</v>
      </c>
      <c r="X415" s="6" t="s">
        <v>765</v>
      </c>
      <c r="Y415" s="6" t="s">
        <v>766</v>
      </c>
      <c r="Z415" s="6" t="s">
        <v>767</v>
      </c>
      <c r="AA415" s="6" t="s">
        <v>61</v>
      </c>
      <c r="AB415" s="6" t="s">
        <v>768</v>
      </c>
    </row>
    <row r="416" spans="1:28" x14ac:dyDescent="0.25">
      <c r="A416" t="s">
        <v>756</v>
      </c>
      <c r="B416" t="s">
        <v>757</v>
      </c>
      <c r="C416">
        <v>0</v>
      </c>
      <c r="D416" t="s">
        <v>1598</v>
      </c>
      <c r="E416" t="s">
        <v>30</v>
      </c>
      <c r="F416" t="s">
        <v>1599</v>
      </c>
      <c r="G416" t="s">
        <v>760</v>
      </c>
      <c r="H416" t="s">
        <v>761</v>
      </c>
      <c r="I416" t="s">
        <v>762</v>
      </c>
      <c r="J416" t="s">
        <v>763</v>
      </c>
      <c r="K416">
        <v>29.31</v>
      </c>
      <c r="L416">
        <v>29.31</v>
      </c>
      <c r="M416">
        <v>29.31</v>
      </c>
      <c r="N416">
        <v>29.31</v>
      </c>
      <c r="O416">
        <v>29.31</v>
      </c>
      <c r="P416">
        <v>29.31</v>
      </c>
      <c r="Q416">
        <v>29.31</v>
      </c>
      <c r="R416">
        <v>29.31</v>
      </c>
      <c r="S416">
        <v>29.31</v>
      </c>
      <c r="T416">
        <v>29.31</v>
      </c>
      <c r="U416">
        <v>29.31</v>
      </c>
      <c r="V416">
        <v>29.31</v>
      </c>
      <c r="W416" s="6" t="s">
        <v>764</v>
      </c>
      <c r="X416" s="6" t="s">
        <v>765</v>
      </c>
      <c r="Y416" s="6" t="s">
        <v>766</v>
      </c>
      <c r="Z416" s="6" t="s">
        <v>767</v>
      </c>
      <c r="AA416" s="6" t="s">
        <v>61</v>
      </c>
      <c r="AB416" s="6" t="s">
        <v>768</v>
      </c>
    </row>
    <row r="417" spans="1:28" x14ac:dyDescent="0.25">
      <c r="A417" t="s">
        <v>756</v>
      </c>
      <c r="B417" t="s">
        <v>757</v>
      </c>
      <c r="C417">
        <v>0</v>
      </c>
      <c r="D417" t="s">
        <v>1600</v>
      </c>
      <c r="E417" t="s">
        <v>30</v>
      </c>
      <c r="F417" t="s">
        <v>1601</v>
      </c>
      <c r="G417" t="s">
        <v>760</v>
      </c>
      <c r="H417" t="s">
        <v>761</v>
      </c>
      <c r="I417" t="s">
        <v>762</v>
      </c>
      <c r="J417" t="s">
        <v>763</v>
      </c>
      <c r="K417">
        <v>29.31</v>
      </c>
      <c r="L417">
        <v>29.31</v>
      </c>
      <c r="M417">
        <v>29.31</v>
      </c>
      <c r="N417">
        <v>29.31</v>
      </c>
      <c r="O417">
        <v>29.31</v>
      </c>
      <c r="P417">
        <v>29.31</v>
      </c>
      <c r="Q417">
        <v>29.31</v>
      </c>
      <c r="R417">
        <v>29.31</v>
      </c>
      <c r="S417">
        <v>29.31</v>
      </c>
      <c r="T417">
        <v>29.31</v>
      </c>
      <c r="U417">
        <v>29.31</v>
      </c>
      <c r="V417">
        <v>29.31</v>
      </c>
      <c r="W417" s="6" t="s">
        <v>764</v>
      </c>
      <c r="X417" s="6" t="s">
        <v>765</v>
      </c>
      <c r="Y417" s="6" t="s">
        <v>766</v>
      </c>
      <c r="Z417" s="6" t="s">
        <v>767</v>
      </c>
      <c r="AA417" s="6" t="s">
        <v>61</v>
      </c>
      <c r="AB417" s="6" t="s">
        <v>768</v>
      </c>
    </row>
    <row r="418" spans="1:28" x14ac:dyDescent="0.25">
      <c r="A418" t="s">
        <v>756</v>
      </c>
      <c r="B418" t="s">
        <v>757</v>
      </c>
      <c r="C418">
        <v>0</v>
      </c>
      <c r="D418" t="s">
        <v>1602</v>
      </c>
      <c r="E418" t="s">
        <v>30</v>
      </c>
      <c r="F418" t="s">
        <v>1603</v>
      </c>
      <c r="G418" t="s">
        <v>760</v>
      </c>
      <c r="H418" t="s">
        <v>761</v>
      </c>
      <c r="I418" t="s">
        <v>762</v>
      </c>
      <c r="J418" t="s">
        <v>763</v>
      </c>
      <c r="K418">
        <v>29.31</v>
      </c>
      <c r="L418">
        <v>29.31</v>
      </c>
      <c r="M418">
        <v>29.31</v>
      </c>
      <c r="N418">
        <v>29.31</v>
      </c>
      <c r="O418">
        <v>29.31</v>
      </c>
      <c r="P418">
        <v>29.31</v>
      </c>
      <c r="Q418">
        <v>29.31</v>
      </c>
      <c r="R418">
        <v>29.31</v>
      </c>
      <c r="S418">
        <v>29.31</v>
      </c>
      <c r="T418">
        <v>29.31</v>
      </c>
      <c r="U418">
        <v>29.31</v>
      </c>
      <c r="V418">
        <v>29.31</v>
      </c>
      <c r="W418" s="6" t="s">
        <v>764</v>
      </c>
      <c r="X418" s="6" t="s">
        <v>765</v>
      </c>
      <c r="Y418" s="6" t="s">
        <v>766</v>
      </c>
      <c r="Z418" s="6" t="s">
        <v>767</v>
      </c>
      <c r="AA418" s="6" t="s">
        <v>61</v>
      </c>
      <c r="AB418" s="6" t="s">
        <v>768</v>
      </c>
    </row>
    <row r="419" spans="1:28" x14ac:dyDescent="0.25">
      <c r="A419" t="s">
        <v>756</v>
      </c>
      <c r="B419" t="s">
        <v>757</v>
      </c>
      <c r="C419">
        <v>0</v>
      </c>
      <c r="D419" t="s">
        <v>1604</v>
      </c>
      <c r="E419" t="s">
        <v>30</v>
      </c>
      <c r="F419" t="s">
        <v>1605</v>
      </c>
      <c r="G419" t="s">
        <v>760</v>
      </c>
      <c r="H419" t="s">
        <v>761</v>
      </c>
      <c r="I419" t="s">
        <v>762</v>
      </c>
      <c r="J419" t="s">
        <v>763</v>
      </c>
      <c r="K419">
        <v>29.31</v>
      </c>
      <c r="L419">
        <v>29.31</v>
      </c>
      <c r="M419">
        <v>29.31</v>
      </c>
      <c r="N419">
        <v>29.31</v>
      </c>
      <c r="O419">
        <v>29.31</v>
      </c>
      <c r="P419">
        <v>29.31</v>
      </c>
      <c r="Q419">
        <v>29.31</v>
      </c>
      <c r="R419">
        <v>29.31</v>
      </c>
      <c r="S419">
        <v>29.31</v>
      </c>
      <c r="T419">
        <v>29.31</v>
      </c>
      <c r="U419">
        <v>29.31</v>
      </c>
      <c r="V419">
        <v>29.31</v>
      </c>
      <c r="W419" s="6" t="s">
        <v>764</v>
      </c>
      <c r="X419" s="6" t="s">
        <v>765</v>
      </c>
      <c r="Y419" s="6" t="s">
        <v>766</v>
      </c>
      <c r="Z419" s="6" t="s">
        <v>767</v>
      </c>
      <c r="AA419" s="6" t="s">
        <v>61</v>
      </c>
      <c r="AB419" s="6" t="s">
        <v>768</v>
      </c>
    </row>
    <row r="420" spans="1:28" x14ac:dyDescent="0.25">
      <c r="A420" t="s">
        <v>756</v>
      </c>
      <c r="B420" t="s">
        <v>757</v>
      </c>
      <c r="C420">
        <v>0</v>
      </c>
      <c r="D420" t="s">
        <v>1606</v>
      </c>
      <c r="E420" t="s">
        <v>30</v>
      </c>
      <c r="F420" t="s">
        <v>1607</v>
      </c>
      <c r="G420" t="s">
        <v>760</v>
      </c>
      <c r="H420" t="s">
        <v>761</v>
      </c>
      <c r="I420" t="s">
        <v>762</v>
      </c>
      <c r="J420" t="s">
        <v>763</v>
      </c>
      <c r="K420">
        <v>29.31</v>
      </c>
      <c r="L420">
        <v>29.31</v>
      </c>
      <c r="M420">
        <v>29.31</v>
      </c>
      <c r="N420">
        <v>29.31</v>
      </c>
      <c r="O420">
        <v>29.31</v>
      </c>
      <c r="P420">
        <v>29.31</v>
      </c>
      <c r="Q420">
        <v>29.31</v>
      </c>
      <c r="R420">
        <v>29.31</v>
      </c>
      <c r="S420">
        <v>29.31</v>
      </c>
      <c r="T420">
        <v>29.31</v>
      </c>
      <c r="U420">
        <v>29.31</v>
      </c>
      <c r="V420">
        <v>29.31</v>
      </c>
      <c r="W420" s="6" t="s">
        <v>764</v>
      </c>
      <c r="X420" s="6" t="s">
        <v>765</v>
      </c>
      <c r="Y420" s="6" t="s">
        <v>766</v>
      </c>
      <c r="Z420" s="6" t="s">
        <v>767</v>
      </c>
      <c r="AA420" s="6" t="s">
        <v>61</v>
      </c>
      <c r="AB420" s="6" t="s">
        <v>768</v>
      </c>
    </row>
    <row r="421" spans="1:28" x14ac:dyDescent="0.25">
      <c r="A421" t="s">
        <v>756</v>
      </c>
      <c r="B421" t="s">
        <v>757</v>
      </c>
      <c r="C421">
        <v>0</v>
      </c>
      <c r="D421" t="s">
        <v>1608</v>
      </c>
      <c r="E421" t="s">
        <v>30</v>
      </c>
      <c r="F421" t="s">
        <v>1609</v>
      </c>
      <c r="G421" t="s">
        <v>760</v>
      </c>
      <c r="H421" t="s">
        <v>761</v>
      </c>
      <c r="I421" t="s">
        <v>762</v>
      </c>
      <c r="J421" t="s">
        <v>763</v>
      </c>
      <c r="K421">
        <v>29.31</v>
      </c>
      <c r="L421">
        <v>29.31</v>
      </c>
      <c r="M421">
        <v>29.31</v>
      </c>
      <c r="N421">
        <v>29.31</v>
      </c>
      <c r="O421">
        <v>29.31</v>
      </c>
      <c r="P421">
        <v>29.31</v>
      </c>
      <c r="Q421">
        <v>29.31</v>
      </c>
      <c r="R421">
        <v>29.31</v>
      </c>
      <c r="S421">
        <v>29.31</v>
      </c>
      <c r="T421">
        <v>29.31</v>
      </c>
      <c r="U421">
        <v>29.31</v>
      </c>
      <c r="V421">
        <v>29.31</v>
      </c>
      <c r="W421" s="6" t="s">
        <v>764</v>
      </c>
      <c r="X421" s="6" t="s">
        <v>765</v>
      </c>
      <c r="Y421" s="6" t="s">
        <v>766</v>
      </c>
      <c r="Z421" s="6" t="s">
        <v>767</v>
      </c>
      <c r="AA421" s="6" t="s">
        <v>61</v>
      </c>
      <c r="AB421" s="6" t="s">
        <v>768</v>
      </c>
    </row>
    <row r="422" spans="1:28" x14ac:dyDescent="0.25">
      <c r="A422" t="s">
        <v>756</v>
      </c>
      <c r="B422" t="s">
        <v>757</v>
      </c>
      <c r="C422">
        <v>0</v>
      </c>
      <c r="D422" t="s">
        <v>1610</v>
      </c>
      <c r="E422" t="s">
        <v>30</v>
      </c>
      <c r="F422" t="s">
        <v>1611</v>
      </c>
      <c r="G422" t="s">
        <v>760</v>
      </c>
      <c r="H422" t="s">
        <v>761</v>
      </c>
      <c r="I422" t="s">
        <v>762</v>
      </c>
      <c r="J422" t="s">
        <v>763</v>
      </c>
      <c r="K422">
        <v>29.31</v>
      </c>
      <c r="L422">
        <v>29.31</v>
      </c>
      <c r="M422">
        <v>29.31</v>
      </c>
      <c r="N422">
        <v>29.31</v>
      </c>
      <c r="O422">
        <v>29.31</v>
      </c>
      <c r="P422">
        <v>29.31</v>
      </c>
      <c r="Q422">
        <v>29.31</v>
      </c>
      <c r="R422">
        <v>29.31</v>
      </c>
      <c r="S422">
        <v>29.31</v>
      </c>
      <c r="T422">
        <v>29.31</v>
      </c>
      <c r="U422">
        <v>29.31</v>
      </c>
      <c r="V422">
        <v>29.31</v>
      </c>
      <c r="W422" s="6" t="s">
        <v>764</v>
      </c>
      <c r="X422" s="6" t="s">
        <v>765</v>
      </c>
      <c r="Y422" s="6" t="s">
        <v>766</v>
      </c>
      <c r="Z422" s="6" t="s">
        <v>767</v>
      </c>
      <c r="AA422" s="6" t="s">
        <v>61</v>
      </c>
      <c r="AB422" s="6" t="s">
        <v>768</v>
      </c>
    </row>
    <row r="423" spans="1:28" x14ac:dyDescent="0.25">
      <c r="A423" t="s">
        <v>756</v>
      </c>
      <c r="B423" t="s">
        <v>757</v>
      </c>
      <c r="C423">
        <v>0</v>
      </c>
      <c r="D423" t="s">
        <v>1612</v>
      </c>
      <c r="E423" t="s">
        <v>30</v>
      </c>
      <c r="F423" t="s">
        <v>1613</v>
      </c>
      <c r="G423" t="s">
        <v>760</v>
      </c>
      <c r="H423" t="s">
        <v>761</v>
      </c>
      <c r="I423" t="s">
        <v>762</v>
      </c>
      <c r="J423" t="s">
        <v>763</v>
      </c>
      <c r="K423">
        <v>29.31</v>
      </c>
      <c r="L423">
        <v>29.31</v>
      </c>
      <c r="M423">
        <v>29.31</v>
      </c>
      <c r="N423">
        <v>29.31</v>
      </c>
      <c r="O423">
        <v>29.31</v>
      </c>
      <c r="P423">
        <v>29.31</v>
      </c>
      <c r="Q423">
        <v>29.31</v>
      </c>
      <c r="R423">
        <v>29.31</v>
      </c>
      <c r="S423">
        <v>29.31</v>
      </c>
      <c r="T423">
        <v>29.31</v>
      </c>
      <c r="U423">
        <v>29.31</v>
      </c>
      <c r="V423">
        <v>29.31</v>
      </c>
      <c r="W423" s="6" t="s">
        <v>764</v>
      </c>
      <c r="X423" s="6" t="s">
        <v>765</v>
      </c>
      <c r="Y423" s="6" t="s">
        <v>766</v>
      </c>
      <c r="Z423" s="6" t="s">
        <v>767</v>
      </c>
      <c r="AA423" s="6" t="s">
        <v>61</v>
      </c>
      <c r="AB423" s="6" t="s">
        <v>768</v>
      </c>
    </row>
    <row r="424" spans="1:28" x14ac:dyDescent="0.25">
      <c r="A424" t="s">
        <v>756</v>
      </c>
      <c r="B424" t="s">
        <v>757</v>
      </c>
      <c r="C424">
        <v>0</v>
      </c>
      <c r="D424" t="s">
        <v>1614</v>
      </c>
      <c r="E424" t="s">
        <v>30</v>
      </c>
      <c r="F424" t="s">
        <v>1615</v>
      </c>
      <c r="G424" t="s">
        <v>760</v>
      </c>
      <c r="H424" t="s">
        <v>761</v>
      </c>
      <c r="I424" t="s">
        <v>762</v>
      </c>
      <c r="J424" t="s">
        <v>763</v>
      </c>
      <c r="K424">
        <v>29.31</v>
      </c>
      <c r="L424">
        <v>29.31</v>
      </c>
      <c r="M424">
        <v>29.31</v>
      </c>
      <c r="N424">
        <v>29.31</v>
      </c>
      <c r="O424">
        <v>29.31</v>
      </c>
      <c r="P424">
        <v>29.31</v>
      </c>
      <c r="Q424">
        <v>29.31</v>
      </c>
      <c r="R424">
        <v>29.31</v>
      </c>
      <c r="S424">
        <v>29.31</v>
      </c>
      <c r="T424">
        <v>29.31</v>
      </c>
      <c r="U424">
        <v>29.31</v>
      </c>
      <c r="V424">
        <v>29.31</v>
      </c>
      <c r="W424" s="6" t="s">
        <v>764</v>
      </c>
      <c r="X424" s="6" t="s">
        <v>765</v>
      </c>
      <c r="Y424" s="6" t="s">
        <v>766</v>
      </c>
      <c r="Z424" s="6" t="s">
        <v>767</v>
      </c>
      <c r="AA424" s="6" t="s">
        <v>61</v>
      </c>
      <c r="AB424" s="6" t="s">
        <v>768</v>
      </c>
    </row>
    <row r="425" spans="1:28" x14ac:dyDescent="0.25">
      <c r="A425" t="s">
        <v>756</v>
      </c>
      <c r="B425" t="s">
        <v>757</v>
      </c>
      <c r="C425">
        <v>0</v>
      </c>
      <c r="D425" t="s">
        <v>1616</v>
      </c>
      <c r="E425" t="s">
        <v>30</v>
      </c>
      <c r="F425" t="s">
        <v>1617</v>
      </c>
      <c r="G425" t="s">
        <v>760</v>
      </c>
      <c r="H425" t="s">
        <v>761</v>
      </c>
      <c r="I425" t="s">
        <v>762</v>
      </c>
      <c r="J425" t="s">
        <v>763</v>
      </c>
      <c r="K425">
        <v>29.31</v>
      </c>
      <c r="L425">
        <v>29.31</v>
      </c>
      <c r="M425">
        <v>29.31</v>
      </c>
      <c r="N425">
        <v>29.31</v>
      </c>
      <c r="O425">
        <v>29.31</v>
      </c>
      <c r="P425">
        <v>29.31</v>
      </c>
      <c r="Q425">
        <v>29.31</v>
      </c>
      <c r="R425">
        <v>29.31</v>
      </c>
      <c r="S425">
        <v>29.31</v>
      </c>
      <c r="T425">
        <v>29.31</v>
      </c>
      <c r="U425">
        <v>29.31</v>
      </c>
      <c r="V425">
        <v>29.31</v>
      </c>
      <c r="W425" s="6" t="s">
        <v>764</v>
      </c>
      <c r="X425" s="6" t="s">
        <v>765</v>
      </c>
      <c r="Y425" s="6" t="s">
        <v>766</v>
      </c>
      <c r="Z425" s="6" t="s">
        <v>767</v>
      </c>
      <c r="AA425" s="6" t="s">
        <v>61</v>
      </c>
      <c r="AB425" s="6" t="s">
        <v>768</v>
      </c>
    </row>
    <row r="426" spans="1:28" x14ac:dyDescent="0.25">
      <c r="A426" t="s">
        <v>756</v>
      </c>
      <c r="B426" t="s">
        <v>757</v>
      </c>
      <c r="C426">
        <v>0</v>
      </c>
      <c r="D426" t="s">
        <v>1618</v>
      </c>
      <c r="E426" t="s">
        <v>30</v>
      </c>
      <c r="F426" t="s">
        <v>1619</v>
      </c>
      <c r="G426" t="s">
        <v>760</v>
      </c>
      <c r="H426" t="s">
        <v>761</v>
      </c>
      <c r="I426" t="s">
        <v>762</v>
      </c>
      <c r="J426" t="s">
        <v>763</v>
      </c>
      <c r="K426">
        <v>29.31</v>
      </c>
      <c r="L426">
        <v>29.31</v>
      </c>
      <c r="M426">
        <v>29.31</v>
      </c>
      <c r="N426">
        <v>29.31</v>
      </c>
      <c r="O426">
        <v>29.31</v>
      </c>
      <c r="P426">
        <v>29.31</v>
      </c>
      <c r="Q426">
        <v>29.31</v>
      </c>
      <c r="R426">
        <v>29.31</v>
      </c>
      <c r="S426">
        <v>29.31</v>
      </c>
      <c r="T426">
        <v>29.31</v>
      </c>
      <c r="U426">
        <v>29.31</v>
      </c>
      <c r="V426">
        <v>29.31</v>
      </c>
      <c r="W426" s="6" t="s">
        <v>764</v>
      </c>
      <c r="X426" s="6" t="s">
        <v>765</v>
      </c>
      <c r="Y426" s="6" t="s">
        <v>766</v>
      </c>
      <c r="Z426" s="6" t="s">
        <v>767</v>
      </c>
      <c r="AA426" s="6" t="s">
        <v>61</v>
      </c>
      <c r="AB426" s="6" t="s">
        <v>768</v>
      </c>
    </row>
    <row r="427" spans="1:28" x14ac:dyDescent="0.25">
      <c r="A427" t="s">
        <v>756</v>
      </c>
      <c r="B427" t="s">
        <v>757</v>
      </c>
      <c r="C427">
        <v>0</v>
      </c>
      <c r="D427" t="s">
        <v>1620</v>
      </c>
      <c r="E427" t="s">
        <v>30</v>
      </c>
      <c r="F427" t="s">
        <v>1621</v>
      </c>
      <c r="G427" t="s">
        <v>760</v>
      </c>
      <c r="H427" t="s">
        <v>761</v>
      </c>
      <c r="I427" t="s">
        <v>762</v>
      </c>
      <c r="J427" t="s">
        <v>763</v>
      </c>
      <c r="K427">
        <v>29.31</v>
      </c>
      <c r="L427">
        <v>29.31</v>
      </c>
      <c r="M427">
        <v>29.31</v>
      </c>
      <c r="N427">
        <v>29.31</v>
      </c>
      <c r="O427">
        <v>29.31</v>
      </c>
      <c r="P427">
        <v>29.31</v>
      </c>
      <c r="Q427">
        <v>29.31</v>
      </c>
      <c r="R427">
        <v>29.31</v>
      </c>
      <c r="S427">
        <v>29.31</v>
      </c>
      <c r="T427">
        <v>29.31</v>
      </c>
      <c r="U427">
        <v>29.31</v>
      </c>
      <c r="V427">
        <v>29.31</v>
      </c>
      <c r="W427" s="6" t="s">
        <v>764</v>
      </c>
      <c r="X427" s="6" t="s">
        <v>765</v>
      </c>
      <c r="Y427" s="6" t="s">
        <v>766</v>
      </c>
      <c r="Z427" s="6" t="s">
        <v>767</v>
      </c>
      <c r="AA427" s="6" t="s">
        <v>61</v>
      </c>
      <c r="AB427" s="6" t="s">
        <v>768</v>
      </c>
    </row>
    <row r="428" spans="1:28" x14ac:dyDescent="0.25">
      <c r="A428" t="s">
        <v>756</v>
      </c>
      <c r="B428" t="s">
        <v>757</v>
      </c>
      <c r="C428">
        <v>0</v>
      </c>
      <c r="D428" t="s">
        <v>1622</v>
      </c>
      <c r="E428" t="s">
        <v>30</v>
      </c>
      <c r="F428" t="s">
        <v>1623</v>
      </c>
      <c r="G428" t="s">
        <v>760</v>
      </c>
      <c r="H428" t="s">
        <v>761</v>
      </c>
      <c r="I428" t="s">
        <v>762</v>
      </c>
      <c r="J428" t="s">
        <v>763</v>
      </c>
      <c r="K428">
        <v>29.31</v>
      </c>
      <c r="L428">
        <v>29.31</v>
      </c>
      <c r="M428">
        <v>29.31</v>
      </c>
      <c r="N428">
        <v>29.31</v>
      </c>
      <c r="O428">
        <v>29.31</v>
      </c>
      <c r="P428">
        <v>29.31</v>
      </c>
      <c r="Q428">
        <v>29.31</v>
      </c>
      <c r="R428">
        <v>29.31</v>
      </c>
      <c r="S428">
        <v>29.31</v>
      </c>
      <c r="T428">
        <v>29.31</v>
      </c>
      <c r="U428">
        <v>29.31</v>
      </c>
      <c r="V428">
        <v>29.31</v>
      </c>
      <c r="W428" s="6" t="s">
        <v>764</v>
      </c>
      <c r="X428" s="6" t="s">
        <v>765</v>
      </c>
      <c r="Y428" s="6" t="s">
        <v>766</v>
      </c>
      <c r="Z428" s="6" t="s">
        <v>767</v>
      </c>
      <c r="AA428" s="6" t="s">
        <v>61</v>
      </c>
      <c r="AB428" s="6" t="s">
        <v>768</v>
      </c>
    </row>
    <row r="429" spans="1:28" x14ac:dyDescent="0.25">
      <c r="A429" t="s">
        <v>756</v>
      </c>
      <c r="B429" t="s">
        <v>757</v>
      </c>
      <c r="C429">
        <v>0</v>
      </c>
      <c r="D429" t="s">
        <v>1624</v>
      </c>
      <c r="E429" t="s">
        <v>30</v>
      </c>
      <c r="F429" t="s">
        <v>1625</v>
      </c>
      <c r="G429" t="s">
        <v>760</v>
      </c>
      <c r="H429" t="s">
        <v>761</v>
      </c>
      <c r="I429" t="s">
        <v>762</v>
      </c>
      <c r="J429" t="s">
        <v>763</v>
      </c>
      <c r="K429">
        <v>29.31</v>
      </c>
      <c r="L429">
        <v>29.31</v>
      </c>
      <c r="M429">
        <v>29.31</v>
      </c>
      <c r="N429">
        <v>29.31</v>
      </c>
      <c r="O429">
        <v>29.31</v>
      </c>
      <c r="P429">
        <v>29.31</v>
      </c>
      <c r="Q429">
        <v>29.31</v>
      </c>
      <c r="R429">
        <v>29.31</v>
      </c>
      <c r="S429">
        <v>29.31</v>
      </c>
      <c r="T429">
        <v>29.31</v>
      </c>
      <c r="U429">
        <v>29.31</v>
      </c>
      <c r="V429">
        <v>29.31</v>
      </c>
      <c r="W429" s="6" t="s">
        <v>764</v>
      </c>
      <c r="X429" s="6" t="s">
        <v>765</v>
      </c>
      <c r="Y429" s="6" t="s">
        <v>766</v>
      </c>
      <c r="Z429" s="6" t="s">
        <v>767</v>
      </c>
      <c r="AA429" s="6" t="s">
        <v>61</v>
      </c>
      <c r="AB429" s="6" t="s">
        <v>768</v>
      </c>
    </row>
    <row r="430" spans="1:28" x14ac:dyDescent="0.25">
      <c r="A430" t="s">
        <v>756</v>
      </c>
      <c r="B430" t="s">
        <v>757</v>
      </c>
      <c r="C430">
        <v>0</v>
      </c>
      <c r="D430" t="s">
        <v>1626</v>
      </c>
      <c r="E430" t="s">
        <v>30</v>
      </c>
      <c r="F430" t="s">
        <v>1627</v>
      </c>
      <c r="G430" t="s">
        <v>760</v>
      </c>
      <c r="H430" t="s">
        <v>761</v>
      </c>
      <c r="I430" t="s">
        <v>762</v>
      </c>
      <c r="J430" t="s">
        <v>763</v>
      </c>
      <c r="K430">
        <v>29.31</v>
      </c>
      <c r="L430">
        <v>29.31</v>
      </c>
      <c r="M430">
        <v>29.31</v>
      </c>
      <c r="N430">
        <v>29.31</v>
      </c>
      <c r="O430">
        <v>29.31</v>
      </c>
      <c r="P430">
        <v>29.31</v>
      </c>
      <c r="Q430">
        <v>29.31</v>
      </c>
      <c r="R430">
        <v>29.31</v>
      </c>
      <c r="S430">
        <v>29.31</v>
      </c>
      <c r="T430">
        <v>29.31</v>
      </c>
      <c r="U430">
        <v>29.31</v>
      </c>
      <c r="V430">
        <v>29.31</v>
      </c>
      <c r="W430" s="6" t="s">
        <v>764</v>
      </c>
      <c r="X430" s="6" t="s">
        <v>765</v>
      </c>
      <c r="Y430" s="6" t="s">
        <v>766</v>
      </c>
      <c r="Z430" s="6" t="s">
        <v>767</v>
      </c>
      <c r="AA430" s="6" t="s">
        <v>61</v>
      </c>
      <c r="AB430" s="6" t="s">
        <v>768</v>
      </c>
    </row>
    <row r="431" spans="1:28" x14ac:dyDescent="0.25">
      <c r="A431" t="s">
        <v>756</v>
      </c>
      <c r="B431" t="s">
        <v>757</v>
      </c>
      <c r="C431">
        <v>0</v>
      </c>
      <c r="D431" t="s">
        <v>1628</v>
      </c>
      <c r="E431" t="s">
        <v>30</v>
      </c>
      <c r="F431" t="s">
        <v>1629</v>
      </c>
      <c r="G431" t="s">
        <v>760</v>
      </c>
      <c r="H431" t="s">
        <v>761</v>
      </c>
      <c r="I431" t="s">
        <v>762</v>
      </c>
      <c r="J431" t="s">
        <v>763</v>
      </c>
      <c r="K431">
        <v>0</v>
      </c>
      <c r="L431">
        <v>0</v>
      </c>
      <c r="M431">
        <v>29.31</v>
      </c>
      <c r="N431">
        <v>29.31</v>
      </c>
      <c r="O431">
        <v>29.31</v>
      </c>
      <c r="P431">
        <v>29.31</v>
      </c>
      <c r="Q431">
        <v>29.31</v>
      </c>
      <c r="R431">
        <v>29.31</v>
      </c>
      <c r="S431">
        <v>29.31</v>
      </c>
      <c r="T431">
        <v>29.31</v>
      </c>
      <c r="U431">
        <v>29.31</v>
      </c>
      <c r="V431">
        <v>29.31</v>
      </c>
      <c r="W431" s="6" t="s">
        <v>764</v>
      </c>
      <c r="X431" s="6" t="s">
        <v>765</v>
      </c>
      <c r="Y431" s="6" t="s">
        <v>766</v>
      </c>
      <c r="Z431" s="6" t="s">
        <v>767</v>
      </c>
      <c r="AA431" s="6" t="s">
        <v>61</v>
      </c>
      <c r="AB431" s="6" t="s">
        <v>768</v>
      </c>
    </row>
    <row r="432" spans="1:28" x14ac:dyDescent="0.25">
      <c r="A432" t="s">
        <v>756</v>
      </c>
      <c r="B432" t="s">
        <v>757</v>
      </c>
      <c r="C432">
        <v>0</v>
      </c>
      <c r="D432" t="s">
        <v>1630</v>
      </c>
      <c r="E432" t="s">
        <v>30</v>
      </c>
      <c r="F432" t="s">
        <v>1631</v>
      </c>
      <c r="G432" t="s">
        <v>760</v>
      </c>
      <c r="H432" t="s">
        <v>761</v>
      </c>
      <c r="I432" t="s">
        <v>762</v>
      </c>
      <c r="J432" t="s">
        <v>763</v>
      </c>
      <c r="K432">
        <v>29.31</v>
      </c>
      <c r="L432">
        <v>29.31</v>
      </c>
      <c r="M432">
        <v>29.31</v>
      </c>
      <c r="N432">
        <v>29.31</v>
      </c>
      <c r="O432">
        <v>29.31</v>
      </c>
      <c r="P432">
        <v>29.31</v>
      </c>
      <c r="Q432">
        <v>29.31</v>
      </c>
      <c r="R432">
        <v>29.31</v>
      </c>
      <c r="S432">
        <v>29.31</v>
      </c>
      <c r="T432">
        <v>29.31</v>
      </c>
      <c r="U432">
        <v>29.31</v>
      </c>
      <c r="V432">
        <v>29.31</v>
      </c>
      <c r="W432" s="6" t="s">
        <v>764</v>
      </c>
      <c r="X432" s="6" t="s">
        <v>765</v>
      </c>
      <c r="Y432" s="6" t="s">
        <v>766</v>
      </c>
      <c r="Z432" s="6" t="s">
        <v>767</v>
      </c>
      <c r="AA432" s="6" t="s">
        <v>61</v>
      </c>
      <c r="AB432" s="6" t="s">
        <v>768</v>
      </c>
    </row>
    <row r="433" spans="1:28" x14ac:dyDescent="0.25">
      <c r="A433" t="s">
        <v>756</v>
      </c>
      <c r="B433" t="s">
        <v>757</v>
      </c>
      <c r="C433">
        <v>0</v>
      </c>
      <c r="D433" t="s">
        <v>1632</v>
      </c>
      <c r="E433" t="s">
        <v>30</v>
      </c>
      <c r="F433" t="s">
        <v>1633</v>
      </c>
      <c r="G433" t="s">
        <v>760</v>
      </c>
      <c r="H433" t="s">
        <v>761</v>
      </c>
      <c r="I433" t="s">
        <v>762</v>
      </c>
      <c r="J433" t="s">
        <v>763</v>
      </c>
      <c r="K433">
        <v>29.31</v>
      </c>
      <c r="L433">
        <v>29.31</v>
      </c>
      <c r="M433">
        <v>29.31</v>
      </c>
      <c r="N433">
        <v>29.31</v>
      </c>
      <c r="O433">
        <v>29.31</v>
      </c>
      <c r="P433">
        <v>29.31</v>
      </c>
      <c r="Q433">
        <v>29.31</v>
      </c>
      <c r="R433">
        <v>29.31</v>
      </c>
      <c r="S433">
        <v>29.31</v>
      </c>
      <c r="T433">
        <v>29.31</v>
      </c>
      <c r="U433">
        <v>29.31</v>
      </c>
      <c r="V433">
        <v>29.31</v>
      </c>
      <c r="W433" s="6" t="s">
        <v>764</v>
      </c>
      <c r="X433" s="6" t="s">
        <v>765</v>
      </c>
      <c r="Y433" s="6" t="s">
        <v>766</v>
      </c>
      <c r="Z433" s="6" t="s">
        <v>767</v>
      </c>
      <c r="AA433" s="6" t="s">
        <v>61</v>
      </c>
      <c r="AB433" s="6" t="s">
        <v>768</v>
      </c>
    </row>
    <row r="434" spans="1:28" x14ac:dyDescent="0.25">
      <c r="A434" t="s">
        <v>756</v>
      </c>
      <c r="B434" t="s">
        <v>757</v>
      </c>
      <c r="C434">
        <v>0</v>
      </c>
      <c r="D434" t="s">
        <v>1634</v>
      </c>
      <c r="E434" t="s">
        <v>30</v>
      </c>
      <c r="F434" t="s">
        <v>1635</v>
      </c>
      <c r="G434" t="s">
        <v>760</v>
      </c>
      <c r="H434" t="s">
        <v>761</v>
      </c>
      <c r="I434" t="s">
        <v>762</v>
      </c>
      <c r="J434" t="s">
        <v>763</v>
      </c>
      <c r="K434">
        <v>29.31</v>
      </c>
      <c r="L434">
        <v>29.31</v>
      </c>
      <c r="M434">
        <v>29.31</v>
      </c>
      <c r="N434">
        <v>29.31</v>
      </c>
      <c r="O434">
        <v>29.31</v>
      </c>
      <c r="P434">
        <v>29.31</v>
      </c>
      <c r="Q434">
        <v>29.31</v>
      </c>
      <c r="R434">
        <v>29.31</v>
      </c>
      <c r="S434">
        <v>29.31</v>
      </c>
      <c r="T434">
        <v>29.31</v>
      </c>
      <c r="U434">
        <v>29.31</v>
      </c>
      <c r="V434">
        <v>29.31</v>
      </c>
      <c r="W434" s="6" t="s">
        <v>764</v>
      </c>
      <c r="X434" s="6" t="s">
        <v>765</v>
      </c>
      <c r="Y434" s="6" t="s">
        <v>766</v>
      </c>
      <c r="Z434" s="6" t="s">
        <v>767</v>
      </c>
      <c r="AA434" s="6" t="s">
        <v>61</v>
      </c>
      <c r="AB434" s="6" t="s">
        <v>768</v>
      </c>
    </row>
    <row r="435" spans="1:28" x14ac:dyDescent="0.25">
      <c r="A435" t="s">
        <v>756</v>
      </c>
      <c r="B435" t="s">
        <v>757</v>
      </c>
      <c r="C435">
        <v>0</v>
      </c>
      <c r="D435" s="113" t="s">
        <v>1636</v>
      </c>
      <c r="E435" t="s">
        <v>1637</v>
      </c>
      <c r="F435" t="s">
        <v>1638</v>
      </c>
      <c r="G435" t="s">
        <v>760</v>
      </c>
      <c r="H435" t="s">
        <v>761</v>
      </c>
      <c r="I435" t="s">
        <v>762</v>
      </c>
      <c r="J435" t="s">
        <v>763</v>
      </c>
      <c r="K435">
        <v>27.72</v>
      </c>
      <c r="L435">
        <v>27.72</v>
      </c>
      <c r="M435">
        <v>27.72</v>
      </c>
      <c r="N435">
        <v>27.72</v>
      </c>
      <c r="O435">
        <v>27.72</v>
      </c>
      <c r="P435">
        <v>27.72</v>
      </c>
      <c r="Q435">
        <v>27.72</v>
      </c>
      <c r="R435">
        <v>27.72</v>
      </c>
      <c r="S435">
        <v>27.72</v>
      </c>
      <c r="T435">
        <v>27.72</v>
      </c>
      <c r="U435">
        <v>27.72</v>
      </c>
      <c r="V435">
        <v>27.72</v>
      </c>
      <c r="W435" s="6" t="s">
        <v>764</v>
      </c>
      <c r="X435" s="6" t="s">
        <v>765</v>
      </c>
      <c r="Y435" s="6" t="s">
        <v>766</v>
      </c>
      <c r="Z435" s="6" t="s">
        <v>767</v>
      </c>
      <c r="AA435" s="6" t="s">
        <v>61</v>
      </c>
      <c r="AB435" s="6" t="s">
        <v>768</v>
      </c>
    </row>
    <row r="436" spans="1:28" x14ac:dyDescent="0.25">
      <c r="A436" t="s">
        <v>756</v>
      </c>
      <c r="B436" t="s">
        <v>757</v>
      </c>
      <c r="C436">
        <v>0</v>
      </c>
      <c r="D436" s="113" t="s">
        <v>1639</v>
      </c>
      <c r="E436" t="s">
        <v>37</v>
      </c>
      <c r="F436" t="s">
        <v>1640</v>
      </c>
      <c r="G436" t="s">
        <v>760</v>
      </c>
      <c r="H436" t="s">
        <v>761</v>
      </c>
      <c r="I436" t="s">
        <v>762</v>
      </c>
      <c r="J436" t="s">
        <v>763</v>
      </c>
      <c r="K436">
        <v>90.55</v>
      </c>
      <c r="L436">
        <v>90.55</v>
      </c>
      <c r="M436">
        <v>90.55</v>
      </c>
      <c r="N436">
        <v>90.55</v>
      </c>
      <c r="O436">
        <v>90.55</v>
      </c>
      <c r="P436">
        <v>90.55</v>
      </c>
      <c r="Q436">
        <v>90.55</v>
      </c>
      <c r="R436">
        <v>90.55</v>
      </c>
      <c r="S436">
        <v>90.55</v>
      </c>
      <c r="T436">
        <v>90.55</v>
      </c>
      <c r="U436">
        <v>90.55</v>
      </c>
      <c r="V436">
        <v>90.55</v>
      </c>
      <c r="W436" s="6" t="s">
        <v>764</v>
      </c>
      <c r="X436" s="6" t="s">
        <v>765</v>
      </c>
      <c r="Y436" s="6" t="s">
        <v>766</v>
      </c>
      <c r="Z436" s="6" t="s">
        <v>767</v>
      </c>
      <c r="AA436" s="6" t="s">
        <v>61</v>
      </c>
      <c r="AB436" s="6" t="s">
        <v>768</v>
      </c>
    </row>
    <row r="437" spans="1:28" x14ac:dyDescent="0.25">
      <c r="A437" t="s">
        <v>756</v>
      </c>
      <c r="B437" t="s">
        <v>757</v>
      </c>
      <c r="C437">
        <v>0</v>
      </c>
      <c r="D437" s="113" t="s">
        <v>1641</v>
      </c>
      <c r="E437" t="s">
        <v>37</v>
      </c>
      <c r="F437" t="s">
        <v>1642</v>
      </c>
      <c r="G437" t="s">
        <v>760</v>
      </c>
      <c r="H437" t="s">
        <v>761</v>
      </c>
      <c r="I437" t="s">
        <v>762</v>
      </c>
      <c r="J437" t="s">
        <v>763</v>
      </c>
      <c r="K437">
        <v>90.55</v>
      </c>
      <c r="L437">
        <v>90.55</v>
      </c>
      <c r="M437">
        <v>90.55</v>
      </c>
      <c r="N437">
        <v>90.55</v>
      </c>
      <c r="O437">
        <v>90.55</v>
      </c>
      <c r="P437">
        <v>90.55</v>
      </c>
      <c r="Q437">
        <v>90.55</v>
      </c>
      <c r="R437">
        <v>90.55</v>
      </c>
      <c r="S437">
        <v>90.55</v>
      </c>
      <c r="T437">
        <v>90.55</v>
      </c>
      <c r="U437">
        <v>90.55</v>
      </c>
      <c r="V437">
        <v>90.55</v>
      </c>
      <c r="W437" s="6" t="s">
        <v>764</v>
      </c>
      <c r="X437" s="6" t="s">
        <v>765</v>
      </c>
      <c r="Y437" s="6" t="s">
        <v>766</v>
      </c>
      <c r="Z437" s="6" t="s">
        <v>767</v>
      </c>
      <c r="AA437" s="6" t="s">
        <v>61</v>
      </c>
      <c r="AB437" s="6" t="s">
        <v>768</v>
      </c>
    </row>
    <row r="438" spans="1:28" x14ac:dyDescent="0.25">
      <c r="A438" t="s">
        <v>1045</v>
      </c>
      <c r="B438" t="s">
        <v>757</v>
      </c>
      <c r="C438">
        <v>0</v>
      </c>
      <c r="D438" s="114" t="s">
        <v>1643</v>
      </c>
      <c r="E438" t="s">
        <v>31</v>
      </c>
      <c r="F438" t="s">
        <v>1644</v>
      </c>
      <c r="G438" t="s">
        <v>760</v>
      </c>
      <c r="H438" t="s">
        <v>761</v>
      </c>
      <c r="I438" t="s">
        <v>762</v>
      </c>
      <c r="J438" t="s">
        <v>763</v>
      </c>
      <c r="K438">
        <v>27.49</v>
      </c>
      <c r="L438">
        <v>27.49</v>
      </c>
      <c r="M438">
        <v>27.49</v>
      </c>
      <c r="N438">
        <v>27.49</v>
      </c>
      <c r="O438">
        <v>27.49</v>
      </c>
      <c r="P438">
        <v>27.49</v>
      </c>
      <c r="Q438">
        <v>27.49</v>
      </c>
      <c r="R438">
        <v>27.49</v>
      </c>
      <c r="S438">
        <v>27.49</v>
      </c>
      <c r="T438">
        <v>27.49</v>
      </c>
      <c r="U438">
        <v>27.49</v>
      </c>
      <c r="V438">
        <v>27.49</v>
      </c>
      <c r="W438" s="6" t="s">
        <v>764</v>
      </c>
      <c r="X438" s="6" t="s">
        <v>765</v>
      </c>
      <c r="Y438" s="6" t="s">
        <v>766</v>
      </c>
      <c r="Z438" s="6" t="s">
        <v>767</v>
      </c>
      <c r="AA438" s="6" t="s">
        <v>1048</v>
      </c>
      <c r="AB438" s="6" t="s">
        <v>768</v>
      </c>
    </row>
    <row r="439" spans="1:28" x14ac:dyDescent="0.25">
      <c r="A439" t="s">
        <v>1045</v>
      </c>
      <c r="B439" t="s">
        <v>757</v>
      </c>
      <c r="C439">
        <v>0</v>
      </c>
      <c r="D439" s="114" t="s">
        <v>1645</v>
      </c>
      <c r="E439" t="s">
        <v>31</v>
      </c>
      <c r="F439" t="s">
        <v>1646</v>
      </c>
      <c r="G439" t="s">
        <v>760</v>
      </c>
      <c r="H439" t="s">
        <v>761</v>
      </c>
      <c r="I439" t="s">
        <v>762</v>
      </c>
      <c r="J439" t="s">
        <v>763</v>
      </c>
      <c r="K439">
        <v>27.49</v>
      </c>
      <c r="L439">
        <v>27.49</v>
      </c>
      <c r="M439">
        <v>27.49</v>
      </c>
      <c r="N439">
        <v>27.49</v>
      </c>
      <c r="O439">
        <v>27.49</v>
      </c>
      <c r="P439">
        <v>27.49</v>
      </c>
      <c r="Q439">
        <v>27.49</v>
      </c>
      <c r="R439">
        <v>27.49</v>
      </c>
      <c r="S439">
        <v>27.49</v>
      </c>
      <c r="T439">
        <v>27.49</v>
      </c>
      <c r="U439">
        <v>27.49</v>
      </c>
      <c r="V439">
        <v>27.49</v>
      </c>
      <c r="W439" s="6" t="s">
        <v>764</v>
      </c>
      <c r="X439" s="6" t="s">
        <v>765</v>
      </c>
      <c r="Y439" s="6" t="s">
        <v>766</v>
      </c>
      <c r="Z439" s="6" t="s">
        <v>767</v>
      </c>
      <c r="AA439" s="6" t="s">
        <v>1048</v>
      </c>
      <c r="AB439" s="6" t="s">
        <v>768</v>
      </c>
    </row>
    <row r="440" spans="1:28" x14ac:dyDescent="0.25">
      <c r="A440" t="s">
        <v>1045</v>
      </c>
      <c r="B440" t="s">
        <v>757</v>
      </c>
      <c r="C440">
        <v>0</v>
      </c>
      <c r="D440" s="114" t="s">
        <v>1647</v>
      </c>
      <c r="E440" t="s">
        <v>31</v>
      </c>
      <c r="F440" t="s">
        <v>1648</v>
      </c>
      <c r="G440" t="s">
        <v>760</v>
      </c>
      <c r="H440" t="s">
        <v>761</v>
      </c>
      <c r="I440" t="s">
        <v>762</v>
      </c>
      <c r="J440" t="s">
        <v>763</v>
      </c>
      <c r="K440">
        <v>27.49</v>
      </c>
      <c r="L440">
        <v>27.49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 s="6" t="s">
        <v>764</v>
      </c>
      <c r="X440" s="6" t="s">
        <v>765</v>
      </c>
      <c r="Y440" s="6" t="s">
        <v>766</v>
      </c>
      <c r="Z440" s="6" t="s">
        <v>767</v>
      </c>
      <c r="AA440" s="6" t="s">
        <v>1048</v>
      </c>
      <c r="AB440" s="6" t="s">
        <v>768</v>
      </c>
    </row>
    <row r="441" spans="1:28" x14ac:dyDescent="0.25">
      <c r="A441" t="s">
        <v>1045</v>
      </c>
      <c r="B441" t="s">
        <v>757</v>
      </c>
      <c r="C441">
        <v>0</v>
      </c>
      <c r="D441" s="114" t="s">
        <v>1649</v>
      </c>
      <c r="E441" t="s">
        <v>31</v>
      </c>
      <c r="F441" t="s">
        <v>1650</v>
      </c>
      <c r="G441" t="s">
        <v>760</v>
      </c>
      <c r="H441" t="s">
        <v>761</v>
      </c>
      <c r="I441" t="s">
        <v>762</v>
      </c>
      <c r="J441" t="s">
        <v>763</v>
      </c>
      <c r="K441">
        <v>27.49</v>
      </c>
      <c r="L441">
        <v>27.49</v>
      </c>
      <c r="M441">
        <v>27.49</v>
      </c>
      <c r="N441">
        <v>27.49</v>
      </c>
      <c r="O441">
        <v>27.49</v>
      </c>
      <c r="P441">
        <v>27.49</v>
      </c>
      <c r="Q441">
        <v>27.49</v>
      </c>
      <c r="R441">
        <v>27.49</v>
      </c>
      <c r="S441">
        <v>27.49</v>
      </c>
      <c r="T441">
        <v>27.49</v>
      </c>
      <c r="U441">
        <v>27.49</v>
      </c>
      <c r="V441">
        <v>27.49</v>
      </c>
      <c r="W441" s="6" t="s">
        <v>764</v>
      </c>
      <c r="X441" s="6" t="s">
        <v>765</v>
      </c>
      <c r="Y441" s="6" t="s">
        <v>766</v>
      </c>
      <c r="Z441" s="6" t="s">
        <v>767</v>
      </c>
      <c r="AA441" s="6" t="s">
        <v>1048</v>
      </c>
      <c r="AB441" s="6" t="s">
        <v>768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498DB"/>
  </sheetPr>
  <dimension ref="A1:J377"/>
  <sheetViews>
    <sheetView zoomScaleNormal="85" workbookViewId="0">
      <pane ySplit="9" topLeftCell="A387" activePane="bottomLeft" state="frozen"/>
      <selection pane="bottomLeft" activeCell="C387" sqref="C387:E390"/>
    </sheetView>
  </sheetViews>
  <sheetFormatPr defaultColWidth="8.7109375" defaultRowHeight="15" customHeight="1" x14ac:dyDescent="0.25"/>
  <cols>
    <col min="1" max="1" width="22" customWidth="1"/>
    <col min="2" max="2" width="32" customWidth="1"/>
    <col min="3" max="3" width="28.5703125" customWidth="1"/>
    <col min="4" max="4" width="33.7109375" customWidth="1"/>
    <col min="5" max="5" width="15.7109375" customWidth="1"/>
    <col min="6" max="6" width="29.7109375" bestFit="1" customWidth="1"/>
    <col min="7" max="7" width="13.7109375" customWidth="1"/>
    <col min="8" max="8" width="13.85546875" bestFit="1" customWidth="1"/>
    <col min="9" max="9" width="13.5703125" bestFit="1" customWidth="1"/>
    <col min="10" max="10" width="16.5703125" bestFit="1" customWidth="1"/>
    <col min="11" max="11" width="15.5703125" bestFit="1" customWidth="1"/>
    <col min="12" max="12" width="19" bestFit="1" customWidth="1"/>
    <col min="13" max="13" width="27.42578125" bestFit="1" customWidth="1"/>
    <col min="14" max="14" width="99.42578125" bestFit="1" customWidth="1"/>
    <col min="15" max="15" width="10.85546875" bestFit="1" customWidth="1"/>
    <col min="16" max="16" width="11.42578125" bestFit="1" customWidth="1"/>
    <col min="17" max="17" width="32" bestFit="1" customWidth="1"/>
    <col min="18" max="18" width="8" bestFit="1" customWidth="1"/>
    <col min="19" max="19" width="19.5703125" bestFit="1" customWidth="1"/>
    <col min="20" max="20" width="16.140625" bestFit="1" customWidth="1"/>
    <col min="21" max="21" width="10.140625" bestFit="1" customWidth="1"/>
    <col min="22" max="22" width="16.85546875" bestFit="1" customWidth="1"/>
  </cols>
  <sheetData>
    <row r="1" spans="1:7" ht="24" customHeight="1" x14ac:dyDescent="0.4">
      <c r="A1" s="194" t="s">
        <v>1651</v>
      </c>
      <c r="B1" s="194"/>
      <c r="C1" s="194"/>
      <c r="D1" s="194"/>
      <c r="E1" s="194"/>
    </row>
    <row r="2" spans="1:7" x14ac:dyDescent="0.25"/>
    <row r="3" spans="1:7" ht="15" customHeight="1" x14ac:dyDescent="0.25">
      <c r="A3" s="11" t="s">
        <v>1652</v>
      </c>
    </row>
    <row r="4" spans="1:7" ht="15" customHeight="1" x14ac:dyDescent="0.25">
      <c r="A4" s="12" t="s">
        <v>1653</v>
      </c>
    </row>
    <row r="5" spans="1:7" x14ac:dyDescent="0.25"/>
    <row r="6" spans="1:7" ht="15" customHeight="1" x14ac:dyDescent="0.25">
      <c r="A6" s="13" t="s">
        <v>1654</v>
      </c>
      <c r="B6" s="13" t="s">
        <v>1655</v>
      </c>
      <c r="C6" s="13" t="s">
        <v>1656</v>
      </c>
    </row>
    <row r="7" spans="1:7" ht="21.75" customHeight="1" x14ac:dyDescent="0.35">
      <c r="A7" s="14">
        <f>COUNTA(A10:A500)</f>
        <v>367</v>
      </c>
      <c r="B7" s="15">
        <f>COUNTIF(B10:B500,"Connected in last 60 days")</f>
        <v>357</v>
      </c>
      <c r="C7" s="16">
        <f>COUNTIF(B10:B500,"Not Connected in last 60 days")</f>
        <v>10</v>
      </c>
    </row>
    <row r="8" spans="1:7" x14ac:dyDescent="0.25"/>
    <row r="9" spans="1:7" ht="15" customHeight="1" x14ac:dyDescent="0.25">
      <c r="A9" s="17" t="s">
        <v>1657</v>
      </c>
      <c r="B9" s="17" t="s">
        <v>67</v>
      </c>
      <c r="C9" s="17" t="s">
        <v>65</v>
      </c>
      <c r="D9" s="17" t="s">
        <v>1658</v>
      </c>
      <c r="E9" s="17" t="s">
        <v>54</v>
      </c>
      <c r="F9" s="155"/>
      <c r="G9" s="156"/>
    </row>
    <row r="10" spans="1:7" hidden="1" x14ac:dyDescent="0.25">
      <c r="A10" s="82" t="s">
        <v>709</v>
      </c>
      <c r="B10" s="120" t="s">
        <v>1659</v>
      </c>
      <c r="C10" s="120" t="s">
        <v>37</v>
      </c>
      <c r="E10" s="49"/>
    </row>
    <row r="11" spans="1:7" hidden="1" x14ac:dyDescent="0.25">
      <c r="A11" s="83" t="s">
        <v>1660</v>
      </c>
      <c r="B11" s="121" t="s">
        <v>1659</v>
      </c>
      <c r="C11" s="121" t="s">
        <v>1661</v>
      </c>
      <c r="E11" s="49"/>
    </row>
    <row r="12" spans="1:7" hidden="1" x14ac:dyDescent="0.25">
      <c r="A12" s="82" t="s">
        <v>1662</v>
      </c>
      <c r="B12" s="120" t="s">
        <v>1659</v>
      </c>
      <c r="C12" s="120" t="s">
        <v>1661</v>
      </c>
      <c r="E12" s="49"/>
    </row>
    <row r="13" spans="1:7" hidden="1" x14ac:dyDescent="0.25">
      <c r="A13" s="83" t="s">
        <v>1663</v>
      </c>
      <c r="B13" s="121" t="s">
        <v>1659</v>
      </c>
      <c r="C13" s="121" t="s">
        <v>1661</v>
      </c>
      <c r="E13" s="49"/>
    </row>
    <row r="14" spans="1:7" hidden="1" x14ac:dyDescent="0.25">
      <c r="A14" s="82" t="s">
        <v>495</v>
      </c>
      <c r="B14" s="120" t="s">
        <v>1659</v>
      </c>
      <c r="C14" s="120" t="s">
        <v>165</v>
      </c>
      <c r="E14" s="49"/>
    </row>
    <row r="15" spans="1:7" hidden="1" x14ac:dyDescent="0.25">
      <c r="A15" s="83" t="s">
        <v>1664</v>
      </c>
      <c r="B15" s="121" t="s">
        <v>1659</v>
      </c>
      <c r="C15" s="121" t="s">
        <v>165</v>
      </c>
      <c r="E15" s="157"/>
      <c r="F15" s="158"/>
    </row>
    <row r="16" spans="1:7" hidden="1" x14ac:dyDescent="0.25">
      <c r="A16" s="82" t="s">
        <v>489</v>
      </c>
      <c r="B16" s="120" t="s">
        <v>1659</v>
      </c>
      <c r="C16" s="120" t="s">
        <v>165</v>
      </c>
    </row>
    <row r="17" spans="1:5" hidden="1" x14ac:dyDescent="0.25">
      <c r="A17" s="83" t="s">
        <v>475</v>
      </c>
      <c r="B17" s="121" t="s">
        <v>1659</v>
      </c>
      <c r="C17" s="121" t="s">
        <v>165</v>
      </c>
    </row>
    <row r="18" spans="1:5" x14ac:dyDescent="0.25">
      <c r="A18" s="82" t="s">
        <v>483</v>
      </c>
      <c r="B18" s="120" t="s">
        <v>1665</v>
      </c>
      <c r="C18" s="120" t="s">
        <v>165</v>
      </c>
      <c r="D18" s="159" t="s">
        <v>58</v>
      </c>
      <c r="E18" s="160" t="s">
        <v>1666</v>
      </c>
    </row>
    <row r="19" spans="1:5" hidden="1" x14ac:dyDescent="0.25">
      <c r="A19" s="83" t="s">
        <v>1667</v>
      </c>
      <c r="B19" s="121" t="s">
        <v>1659</v>
      </c>
      <c r="C19" s="121" t="s">
        <v>165</v>
      </c>
    </row>
    <row r="20" spans="1:5" hidden="1" x14ac:dyDescent="0.25">
      <c r="A20" s="82" t="s">
        <v>477</v>
      </c>
      <c r="B20" s="120" t="s">
        <v>1659</v>
      </c>
      <c r="C20" s="120" t="s">
        <v>165</v>
      </c>
    </row>
    <row r="21" spans="1:5" hidden="1" x14ac:dyDescent="0.25">
      <c r="A21" s="83" t="s">
        <v>490</v>
      </c>
      <c r="B21" s="121" t="s">
        <v>1659</v>
      </c>
      <c r="C21" s="121" t="s">
        <v>165</v>
      </c>
    </row>
    <row r="22" spans="1:5" hidden="1" x14ac:dyDescent="0.25">
      <c r="A22" s="82" t="s">
        <v>474</v>
      </c>
      <c r="B22" s="120" t="s">
        <v>1659</v>
      </c>
      <c r="C22" s="120" t="s">
        <v>165</v>
      </c>
    </row>
    <row r="23" spans="1:5" hidden="1" x14ac:dyDescent="0.25">
      <c r="A23" s="83" t="s">
        <v>476</v>
      </c>
      <c r="B23" s="121" t="s">
        <v>1659</v>
      </c>
      <c r="C23" s="121" t="s">
        <v>165</v>
      </c>
    </row>
    <row r="24" spans="1:5" hidden="1" x14ac:dyDescent="0.25">
      <c r="A24" s="82" t="s">
        <v>1668</v>
      </c>
      <c r="B24" s="120" t="s">
        <v>1659</v>
      </c>
      <c r="C24" s="120" t="s">
        <v>165</v>
      </c>
    </row>
    <row r="25" spans="1:5" hidden="1" x14ac:dyDescent="0.25">
      <c r="A25" s="83" t="s">
        <v>1669</v>
      </c>
      <c r="B25" s="121" t="s">
        <v>1659</v>
      </c>
      <c r="C25" s="121" t="s">
        <v>165</v>
      </c>
    </row>
    <row r="26" spans="1:5" hidden="1" x14ac:dyDescent="0.25">
      <c r="A26" s="82" t="s">
        <v>1670</v>
      </c>
      <c r="B26" s="120" t="s">
        <v>1659</v>
      </c>
      <c r="C26" s="120" t="s">
        <v>165</v>
      </c>
    </row>
    <row r="27" spans="1:5" hidden="1" x14ac:dyDescent="0.25">
      <c r="A27" s="83" t="s">
        <v>492</v>
      </c>
      <c r="B27" s="121" t="s">
        <v>1659</v>
      </c>
      <c r="C27" s="121" t="s">
        <v>165</v>
      </c>
    </row>
    <row r="28" spans="1:5" hidden="1" x14ac:dyDescent="0.25">
      <c r="A28" s="82" t="s">
        <v>1671</v>
      </c>
      <c r="B28" s="120" t="s">
        <v>1659</v>
      </c>
      <c r="C28" s="120" t="s">
        <v>165</v>
      </c>
    </row>
    <row r="29" spans="1:5" hidden="1" x14ac:dyDescent="0.25">
      <c r="A29" s="83" t="s">
        <v>1672</v>
      </c>
      <c r="B29" s="121" t="s">
        <v>1659</v>
      </c>
      <c r="C29" s="121" t="s">
        <v>165</v>
      </c>
    </row>
    <row r="30" spans="1:5" hidden="1" x14ac:dyDescent="0.25">
      <c r="A30" s="82" t="s">
        <v>1673</v>
      </c>
      <c r="B30" s="120" t="s">
        <v>1659</v>
      </c>
      <c r="C30" s="120" t="s">
        <v>165</v>
      </c>
    </row>
    <row r="31" spans="1:5" hidden="1" x14ac:dyDescent="0.25">
      <c r="A31" s="83" t="s">
        <v>1674</v>
      </c>
      <c r="B31" s="121" t="s">
        <v>1659</v>
      </c>
      <c r="C31" s="121" t="s">
        <v>165</v>
      </c>
    </row>
    <row r="32" spans="1:5" hidden="1" x14ac:dyDescent="0.25">
      <c r="A32" s="82" t="s">
        <v>488</v>
      </c>
      <c r="B32" s="120" t="s">
        <v>1659</v>
      </c>
      <c r="C32" s="120" t="s">
        <v>165</v>
      </c>
    </row>
    <row r="33" spans="1:3" hidden="1" x14ac:dyDescent="0.25">
      <c r="A33" s="83" t="s">
        <v>1675</v>
      </c>
      <c r="B33" s="121" t="s">
        <v>1659</v>
      </c>
      <c r="C33" s="121" t="s">
        <v>165</v>
      </c>
    </row>
    <row r="34" spans="1:3" hidden="1" x14ac:dyDescent="0.25">
      <c r="A34" s="82" t="s">
        <v>486</v>
      </c>
      <c r="B34" s="120" t="s">
        <v>1659</v>
      </c>
      <c r="C34" s="120" t="s">
        <v>165</v>
      </c>
    </row>
    <row r="35" spans="1:3" hidden="1" x14ac:dyDescent="0.25">
      <c r="A35" s="83" t="s">
        <v>1676</v>
      </c>
      <c r="B35" s="121" t="s">
        <v>1659</v>
      </c>
      <c r="C35" s="121" t="s">
        <v>165</v>
      </c>
    </row>
    <row r="36" spans="1:3" hidden="1" x14ac:dyDescent="0.25">
      <c r="A36" s="82" t="s">
        <v>1677</v>
      </c>
      <c r="B36" s="120" t="s">
        <v>1659</v>
      </c>
      <c r="C36" s="120" t="s">
        <v>165</v>
      </c>
    </row>
    <row r="37" spans="1:3" hidden="1" x14ac:dyDescent="0.25">
      <c r="A37" s="83" t="s">
        <v>1678</v>
      </c>
      <c r="B37" s="121" t="s">
        <v>1659</v>
      </c>
      <c r="C37" s="121" t="s">
        <v>165</v>
      </c>
    </row>
    <row r="38" spans="1:3" hidden="1" x14ac:dyDescent="0.25">
      <c r="A38" s="82" t="s">
        <v>1679</v>
      </c>
      <c r="B38" s="120" t="s">
        <v>1659</v>
      </c>
      <c r="C38" s="120" t="s">
        <v>165</v>
      </c>
    </row>
    <row r="39" spans="1:3" hidden="1" x14ac:dyDescent="0.25">
      <c r="A39" s="83" t="s">
        <v>1680</v>
      </c>
      <c r="B39" s="121" t="s">
        <v>1659</v>
      </c>
      <c r="C39" s="121" t="s">
        <v>165</v>
      </c>
    </row>
    <row r="40" spans="1:3" hidden="1" x14ac:dyDescent="0.25">
      <c r="A40" s="82" t="s">
        <v>479</v>
      </c>
      <c r="B40" s="120" t="s">
        <v>1659</v>
      </c>
      <c r="C40" s="120" t="s">
        <v>165</v>
      </c>
    </row>
    <row r="41" spans="1:3" hidden="1" x14ac:dyDescent="0.25">
      <c r="A41" s="83" t="s">
        <v>1681</v>
      </c>
      <c r="B41" s="121" t="s">
        <v>1659</v>
      </c>
      <c r="C41" s="121" t="s">
        <v>165</v>
      </c>
    </row>
    <row r="42" spans="1:3" hidden="1" x14ac:dyDescent="0.25">
      <c r="A42" s="82" t="s">
        <v>1682</v>
      </c>
      <c r="B42" s="120" t="s">
        <v>1659</v>
      </c>
      <c r="C42" s="120" t="s">
        <v>31</v>
      </c>
    </row>
    <row r="43" spans="1:3" hidden="1" x14ac:dyDescent="0.25">
      <c r="A43" s="83" t="s">
        <v>1683</v>
      </c>
      <c r="B43" s="121" t="s">
        <v>1659</v>
      </c>
      <c r="C43" s="121" t="s">
        <v>31</v>
      </c>
    </row>
    <row r="44" spans="1:3" hidden="1" x14ac:dyDescent="0.25">
      <c r="A44" s="82" t="s">
        <v>1684</v>
      </c>
      <c r="B44" s="120" t="s">
        <v>1659</v>
      </c>
      <c r="C44" s="120" t="s">
        <v>31</v>
      </c>
    </row>
    <row r="45" spans="1:3" hidden="1" x14ac:dyDescent="0.25">
      <c r="A45" s="83" t="s">
        <v>1685</v>
      </c>
      <c r="B45" s="121" t="s">
        <v>1659</v>
      </c>
      <c r="C45" s="121" t="s">
        <v>31</v>
      </c>
    </row>
    <row r="46" spans="1:3" hidden="1" x14ac:dyDescent="0.25">
      <c r="A46" s="82" t="s">
        <v>1686</v>
      </c>
      <c r="B46" s="120" t="s">
        <v>1659</v>
      </c>
      <c r="C46" s="120" t="s">
        <v>31</v>
      </c>
    </row>
    <row r="47" spans="1:3" hidden="1" x14ac:dyDescent="0.25">
      <c r="A47" s="83" t="s">
        <v>1687</v>
      </c>
      <c r="B47" s="121" t="s">
        <v>1659</v>
      </c>
      <c r="C47" s="121" t="s">
        <v>31</v>
      </c>
    </row>
    <row r="48" spans="1:3" hidden="1" x14ac:dyDescent="0.25">
      <c r="A48" s="82" t="s">
        <v>1688</v>
      </c>
      <c r="B48" s="120" t="s">
        <v>1659</v>
      </c>
      <c r="C48" s="120" t="s">
        <v>31</v>
      </c>
    </row>
    <row r="49" spans="1:5" hidden="1" x14ac:dyDescent="0.25">
      <c r="A49" s="83" t="s">
        <v>1689</v>
      </c>
      <c r="B49" s="121" t="s">
        <v>1659</v>
      </c>
      <c r="C49" s="121" t="s">
        <v>31</v>
      </c>
    </row>
    <row r="50" spans="1:5" hidden="1" x14ac:dyDescent="0.25">
      <c r="A50" s="82" t="s">
        <v>1690</v>
      </c>
      <c r="B50" s="120" t="s">
        <v>1659</v>
      </c>
      <c r="C50" s="120" t="s">
        <v>31</v>
      </c>
    </row>
    <row r="51" spans="1:5" x14ac:dyDescent="0.25">
      <c r="A51" s="83" t="s">
        <v>1691</v>
      </c>
      <c r="B51" s="121" t="s">
        <v>1665</v>
      </c>
      <c r="C51" s="121" t="s">
        <v>31</v>
      </c>
      <c r="D51" t="s">
        <v>1692</v>
      </c>
      <c r="E51" t="s">
        <v>56</v>
      </c>
    </row>
    <row r="52" spans="1:5" hidden="1" x14ac:dyDescent="0.25">
      <c r="A52" s="82" t="s">
        <v>1649</v>
      </c>
      <c r="B52" s="120" t="s">
        <v>1659</v>
      </c>
      <c r="C52" s="120" t="s">
        <v>31</v>
      </c>
    </row>
    <row r="53" spans="1:5" hidden="1" x14ac:dyDescent="0.25">
      <c r="A53" s="83" t="s">
        <v>1693</v>
      </c>
      <c r="B53" s="121" t="s">
        <v>1659</v>
      </c>
      <c r="C53" s="121" t="s">
        <v>31</v>
      </c>
    </row>
    <row r="54" spans="1:5" hidden="1" x14ac:dyDescent="0.25">
      <c r="A54" s="82" t="s">
        <v>1694</v>
      </c>
      <c r="B54" s="120" t="s">
        <v>1659</v>
      </c>
      <c r="C54" s="120" t="s">
        <v>31</v>
      </c>
    </row>
    <row r="55" spans="1:5" hidden="1" x14ac:dyDescent="0.25">
      <c r="A55" s="83" t="s">
        <v>1695</v>
      </c>
      <c r="B55" s="121" t="s">
        <v>1659</v>
      </c>
      <c r="C55" s="121" t="s">
        <v>31</v>
      </c>
    </row>
    <row r="56" spans="1:5" hidden="1" x14ac:dyDescent="0.25">
      <c r="A56" s="82" t="s">
        <v>1643</v>
      </c>
      <c r="B56" s="120" t="s">
        <v>1659</v>
      </c>
      <c r="C56" s="120" t="s">
        <v>31</v>
      </c>
    </row>
    <row r="57" spans="1:5" hidden="1" x14ac:dyDescent="0.25">
      <c r="A57" s="83" t="s">
        <v>1696</v>
      </c>
      <c r="B57" s="121" t="s">
        <v>1659</v>
      </c>
      <c r="C57" s="121" t="s">
        <v>31</v>
      </c>
    </row>
    <row r="58" spans="1:5" hidden="1" x14ac:dyDescent="0.25">
      <c r="A58" s="82" t="s">
        <v>1697</v>
      </c>
      <c r="B58" s="120" t="s">
        <v>1659</v>
      </c>
      <c r="C58" s="120" t="s">
        <v>31</v>
      </c>
    </row>
    <row r="59" spans="1:5" hidden="1" x14ac:dyDescent="0.25">
      <c r="A59" s="83" t="s">
        <v>1698</v>
      </c>
      <c r="B59" s="121" t="s">
        <v>1659</v>
      </c>
      <c r="C59" s="121" t="s">
        <v>31</v>
      </c>
    </row>
    <row r="60" spans="1:5" hidden="1" x14ac:dyDescent="0.25">
      <c r="A60" s="82" t="s">
        <v>1699</v>
      </c>
      <c r="B60" s="120" t="s">
        <v>1659</v>
      </c>
      <c r="C60" s="120" t="s">
        <v>31</v>
      </c>
    </row>
    <row r="61" spans="1:5" hidden="1" x14ac:dyDescent="0.25">
      <c r="A61" s="83" t="s">
        <v>316</v>
      </c>
      <c r="B61" s="121" t="s">
        <v>1659</v>
      </c>
      <c r="C61" s="121" t="s">
        <v>31</v>
      </c>
    </row>
    <row r="62" spans="1:5" hidden="1" x14ac:dyDescent="0.25">
      <c r="A62" s="82" t="s">
        <v>300</v>
      </c>
      <c r="B62" s="120" t="s">
        <v>1659</v>
      </c>
      <c r="C62" s="120" t="s">
        <v>31</v>
      </c>
    </row>
    <row r="63" spans="1:5" hidden="1" x14ac:dyDescent="0.25">
      <c r="A63" s="83" t="s">
        <v>1700</v>
      </c>
      <c r="B63" s="121" t="s">
        <v>1659</v>
      </c>
      <c r="C63" s="121" t="s">
        <v>31</v>
      </c>
    </row>
    <row r="64" spans="1:5" hidden="1" x14ac:dyDescent="0.25">
      <c r="A64" s="82" t="s">
        <v>302</v>
      </c>
      <c r="B64" s="120" t="s">
        <v>1659</v>
      </c>
      <c r="C64" s="120" t="s">
        <v>31</v>
      </c>
    </row>
    <row r="65" spans="1:3" hidden="1" x14ac:dyDescent="0.25">
      <c r="A65" s="83" t="s">
        <v>1701</v>
      </c>
      <c r="B65" s="121" t="s">
        <v>1659</v>
      </c>
      <c r="C65" s="121" t="s">
        <v>31</v>
      </c>
    </row>
    <row r="66" spans="1:3" hidden="1" x14ac:dyDescent="0.25">
      <c r="A66" s="82" t="s">
        <v>289</v>
      </c>
      <c r="B66" s="120" t="s">
        <v>1659</v>
      </c>
      <c r="C66" s="120" t="s">
        <v>31</v>
      </c>
    </row>
    <row r="67" spans="1:3" hidden="1" x14ac:dyDescent="0.25">
      <c r="A67" s="83" t="s">
        <v>1702</v>
      </c>
      <c r="B67" s="121" t="s">
        <v>1659</v>
      </c>
      <c r="C67" s="121" t="s">
        <v>31</v>
      </c>
    </row>
    <row r="68" spans="1:3" hidden="1" x14ac:dyDescent="0.25">
      <c r="A68" s="82" t="s">
        <v>1703</v>
      </c>
      <c r="B68" s="120" t="s">
        <v>1659</v>
      </c>
      <c r="C68" s="120" t="s">
        <v>31</v>
      </c>
    </row>
    <row r="69" spans="1:3" hidden="1" x14ac:dyDescent="0.25">
      <c r="A69" s="83" t="s">
        <v>1704</v>
      </c>
      <c r="B69" s="121" t="s">
        <v>1659</v>
      </c>
      <c r="C69" s="121" t="s">
        <v>31</v>
      </c>
    </row>
    <row r="70" spans="1:3" hidden="1" x14ac:dyDescent="0.25">
      <c r="A70" s="82" t="s">
        <v>308</v>
      </c>
      <c r="B70" s="120" t="s">
        <v>1659</v>
      </c>
      <c r="C70" s="120" t="s">
        <v>31</v>
      </c>
    </row>
    <row r="71" spans="1:3" hidden="1" x14ac:dyDescent="0.25">
      <c r="A71" s="83" t="s">
        <v>1705</v>
      </c>
      <c r="B71" s="121" t="s">
        <v>1659</v>
      </c>
      <c r="C71" s="121" t="s">
        <v>31</v>
      </c>
    </row>
    <row r="72" spans="1:3" hidden="1" x14ac:dyDescent="0.25">
      <c r="A72" s="82" t="s">
        <v>1706</v>
      </c>
      <c r="B72" s="120" t="s">
        <v>1659</v>
      </c>
      <c r="C72" s="120" t="s">
        <v>31</v>
      </c>
    </row>
    <row r="73" spans="1:3" hidden="1" x14ac:dyDescent="0.25">
      <c r="A73" s="83" t="s">
        <v>306</v>
      </c>
      <c r="B73" s="121" t="s">
        <v>1659</v>
      </c>
      <c r="C73" s="121" t="s">
        <v>31</v>
      </c>
    </row>
    <row r="74" spans="1:3" hidden="1" x14ac:dyDescent="0.25">
      <c r="A74" s="82" t="s">
        <v>1707</v>
      </c>
      <c r="B74" s="120" t="s">
        <v>1659</v>
      </c>
      <c r="C74" s="120" t="s">
        <v>31</v>
      </c>
    </row>
    <row r="75" spans="1:3" hidden="1" x14ac:dyDescent="0.25">
      <c r="A75" s="83" t="s">
        <v>1708</v>
      </c>
      <c r="B75" s="121" t="s">
        <v>1659</v>
      </c>
      <c r="C75" s="121" t="s">
        <v>31</v>
      </c>
    </row>
    <row r="76" spans="1:3" hidden="1" x14ac:dyDescent="0.25">
      <c r="A76" s="82" t="s">
        <v>310</v>
      </c>
      <c r="B76" s="120" t="s">
        <v>1659</v>
      </c>
      <c r="C76" s="120" t="s">
        <v>31</v>
      </c>
    </row>
    <row r="77" spans="1:3" hidden="1" x14ac:dyDescent="0.25">
      <c r="A77" s="83" t="s">
        <v>296</v>
      </c>
      <c r="B77" s="121" t="s">
        <v>1659</v>
      </c>
      <c r="C77" s="121" t="s">
        <v>31</v>
      </c>
    </row>
    <row r="78" spans="1:3" hidden="1" x14ac:dyDescent="0.25">
      <c r="A78" s="82" t="s">
        <v>314</v>
      </c>
      <c r="B78" s="120" t="s">
        <v>1659</v>
      </c>
      <c r="C78" s="120" t="s">
        <v>31</v>
      </c>
    </row>
    <row r="79" spans="1:3" hidden="1" x14ac:dyDescent="0.25">
      <c r="A79" s="83" t="s">
        <v>304</v>
      </c>
      <c r="B79" s="121" t="s">
        <v>1659</v>
      </c>
      <c r="C79" s="121" t="s">
        <v>31</v>
      </c>
    </row>
    <row r="80" spans="1:3" hidden="1" x14ac:dyDescent="0.25">
      <c r="A80" s="82" t="s">
        <v>292</v>
      </c>
      <c r="B80" s="120" t="s">
        <v>1659</v>
      </c>
      <c r="C80" s="120" t="s">
        <v>31</v>
      </c>
    </row>
    <row r="81" spans="1:3" hidden="1" x14ac:dyDescent="0.25">
      <c r="A81" s="83" t="s">
        <v>1709</v>
      </c>
      <c r="B81" s="121" t="s">
        <v>1659</v>
      </c>
      <c r="C81" s="121" t="s">
        <v>31</v>
      </c>
    </row>
    <row r="82" spans="1:3" hidden="1" x14ac:dyDescent="0.25">
      <c r="A82" s="82" t="s">
        <v>1710</v>
      </c>
      <c r="B82" s="120" t="s">
        <v>1659</v>
      </c>
      <c r="C82" s="120" t="s">
        <v>31</v>
      </c>
    </row>
    <row r="83" spans="1:3" hidden="1" x14ac:dyDescent="0.25">
      <c r="A83" s="83" t="s">
        <v>1711</v>
      </c>
      <c r="B83" s="121" t="s">
        <v>1659</v>
      </c>
      <c r="C83" s="121" t="s">
        <v>31</v>
      </c>
    </row>
    <row r="84" spans="1:3" hidden="1" x14ac:dyDescent="0.25">
      <c r="A84" s="82" t="s">
        <v>1712</v>
      </c>
      <c r="B84" s="120" t="s">
        <v>1659</v>
      </c>
      <c r="C84" s="120" t="s">
        <v>31</v>
      </c>
    </row>
    <row r="85" spans="1:3" hidden="1" x14ac:dyDescent="0.25">
      <c r="A85" s="83" t="s">
        <v>1713</v>
      </c>
      <c r="B85" s="121" t="s">
        <v>1659</v>
      </c>
      <c r="C85" s="121" t="s">
        <v>31</v>
      </c>
    </row>
    <row r="86" spans="1:3" hidden="1" x14ac:dyDescent="0.25">
      <c r="A86" s="82" t="s">
        <v>1714</v>
      </c>
      <c r="B86" s="120" t="s">
        <v>1659</v>
      </c>
      <c r="C86" s="120" t="s">
        <v>31</v>
      </c>
    </row>
    <row r="87" spans="1:3" hidden="1" x14ac:dyDescent="0.25">
      <c r="A87" s="83" t="s">
        <v>1715</v>
      </c>
      <c r="B87" s="121" t="s">
        <v>1659</v>
      </c>
      <c r="C87" s="121" t="s">
        <v>31</v>
      </c>
    </row>
    <row r="88" spans="1:3" hidden="1" x14ac:dyDescent="0.25">
      <c r="A88" s="82" t="s">
        <v>1716</v>
      </c>
      <c r="B88" s="120" t="s">
        <v>1659</v>
      </c>
      <c r="C88" s="120" t="s">
        <v>31</v>
      </c>
    </row>
    <row r="89" spans="1:3" hidden="1" x14ac:dyDescent="0.25">
      <c r="A89" s="83" t="s">
        <v>1717</v>
      </c>
      <c r="B89" s="121" t="s">
        <v>1659</v>
      </c>
      <c r="C89" s="121" t="s">
        <v>31</v>
      </c>
    </row>
    <row r="90" spans="1:3" hidden="1" x14ac:dyDescent="0.25">
      <c r="A90" s="82" t="s">
        <v>1718</v>
      </c>
      <c r="B90" s="120" t="s">
        <v>1659</v>
      </c>
      <c r="C90" s="120" t="s">
        <v>31</v>
      </c>
    </row>
    <row r="91" spans="1:3" hidden="1" x14ac:dyDescent="0.25">
      <c r="A91" s="83" t="s">
        <v>1719</v>
      </c>
      <c r="B91" s="121" t="s">
        <v>1659</v>
      </c>
      <c r="C91" s="121" t="s">
        <v>31</v>
      </c>
    </row>
    <row r="92" spans="1:3" hidden="1" x14ac:dyDescent="0.25">
      <c r="A92" s="82" t="s">
        <v>1720</v>
      </c>
      <c r="B92" s="120" t="s">
        <v>1659</v>
      </c>
      <c r="C92" s="120" t="s">
        <v>31</v>
      </c>
    </row>
    <row r="93" spans="1:3" hidden="1" x14ac:dyDescent="0.25">
      <c r="A93" s="83" t="s">
        <v>1721</v>
      </c>
      <c r="B93" s="121" t="s">
        <v>1659</v>
      </c>
      <c r="C93" s="121" t="s">
        <v>31</v>
      </c>
    </row>
    <row r="94" spans="1:3" hidden="1" x14ac:dyDescent="0.25">
      <c r="A94" s="82" t="s">
        <v>1722</v>
      </c>
      <c r="B94" s="120" t="s">
        <v>1659</v>
      </c>
      <c r="C94" s="120" t="s">
        <v>31</v>
      </c>
    </row>
    <row r="95" spans="1:3" hidden="1" x14ac:dyDescent="0.25">
      <c r="A95" s="83" t="s">
        <v>1723</v>
      </c>
      <c r="B95" s="121" t="s">
        <v>1659</v>
      </c>
      <c r="C95" s="121" t="s">
        <v>31</v>
      </c>
    </row>
    <row r="96" spans="1:3" hidden="1" x14ac:dyDescent="0.25">
      <c r="A96" s="82" t="s">
        <v>1724</v>
      </c>
      <c r="B96" s="120" t="s">
        <v>1659</v>
      </c>
      <c r="C96" s="120" t="s">
        <v>31</v>
      </c>
    </row>
    <row r="97" spans="1:3" hidden="1" x14ac:dyDescent="0.25">
      <c r="A97" s="83" t="s">
        <v>1647</v>
      </c>
      <c r="B97" s="121" t="s">
        <v>1659</v>
      </c>
      <c r="C97" s="121" t="s">
        <v>31</v>
      </c>
    </row>
    <row r="98" spans="1:3" hidden="1" x14ac:dyDescent="0.25">
      <c r="A98" s="82" t="s">
        <v>1725</v>
      </c>
      <c r="B98" s="120" t="s">
        <v>1659</v>
      </c>
      <c r="C98" s="120" t="s">
        <v>31</v>
      </c>
    </row>
    <row r="99" spans="1:3" hidden="1" x14ac:dyDescent="0.25">
      <c r="A99" s="83" t="s">
        <v>1726</v>
      </c>
      <c r="B99" s="121" t="s">
        <v>1659</v>
      </c>
      <c r="C99" s="121" t="s">
        <v>31</v>
      </c>
    </row>
    <row r="100" spans="1:3" hidden="1" x14ac:dyDescent="0.25">
      <c r="A100" s="82" t="s">
        <v>1727</v>
      </c>
      <c r="B100" s="120" t="s">
        <v>1659</v>
      </c>
      <c r="C100" s="120" t="s">
        <v>31</v>
      </c>
    </row>
    <row r="101" spans="1:3" hidden="1" x14ac:dyDescent="0.25">
      <c r="A101" s="83" t="s">
        <v>1728</v>
      </c>
      <c r="B101" s="121" t="s">
        <v>1659</v>
      </c>
      <c r="C101" s="121" t="s">
        <v>31</v>
      </c>
    </row>
    <row r="102" spans="1:3" hidden="1" x14ac:dyDescent="0.25">
      <c r="A102" s="82" t="s">
        <v>298</v>
      </c>
      <c r="B102" s="120" t="s">
        <v>1659</v>
      </c>
      <c r="C102" s="120" t="s">
        <v>31</v>
      </c>
    </row>
    <row r="103" spans="1:3" hidden="1" x14ac:dyDescent="0.25">
      <c r="A103" s="83" t="s">
        <v>1729</v>
      </c>
      <c r="B103" s="121" t="s">
        <v>1659</v>
      </c>
      <c r="C103" s="121" t="s">
        <v>31</v>
      </c>
    </row>
    <row r="104" spans="1:3" hidden="1" x14ac:dyDescent="0.25">
      <c r="A104" s="82" t="s">
        <v>1730</v>
      </c>
      <c r="B104" s="120" t="s">
        <v>1659</v>
      </c>
      <c r="C104" s="120" t="s">
        <v>31</v>
      </c>
    </row>
    <row r="105" spans="1:3" hidden="1" x14ac:dyDescent="0.25">
      <c r="A105" s="83" t="s">
        <v>1731</v>
      </c>
      <c r="B105" s="121" t="s">
        <v>1659</v>
      </c>
      <c r="C105" s="121" t="s">
        <v>31</v>
      </c>
    </row>
    <row r="106" spans="1:3" hidden="1" x14ac:dyDescent="0.25">
      <c r="A106" s="82" t="s">
        <v>1732</v>
      </c>
      <c r="B106" s="120" t="s">
        <v>1659</v>
      </c>
      <c r="C106" s="120" t="s">
        <v>31</v>
      </c>
    </row>
    <row r="107" spans="1:3" hidden="1" x14ac:dyDescent="0.25">
      <c r="A107" s="83" t="s">
        <v>1645</v>
      </c>
      <c r="B107" s="121" t="s">
        <v>1659</v>
      </c>
      <c r="C107" s="121" t="s">
        <v>31</v>
      </c>
    </row>
    <row r="108" spans="1:3" hidden="1" x14ac:dyDescent="0.25">
      <c r="A108" s="82" t="s">
        <v>1733</v>
      </c>
      <c r="B108" s="120" t="s">
        <v>1659</v>
      </c>
      <c r="C108" s="120" t="s">
        <v>31</v>
      </c>
    </row>
    <row r="109" spans="1:3" hidden="1" x14ac:dyDescent="0.25">
      <c r="A109" s="83" t="s">
        <v>1734</v>
      </c>
      <c r="B109" s="121" t="s">
        <v>1659</v>
      </c>
      <c r="C109" s="121" t="s">
        <v>31</v>
      </c>
    </row>
    <row r="110" spans="1:3" hidden="1" x14ac:dyDescent="0.25">
      <c r="A110" s="82" t="s">
        <v>1735</v>
      </c>
      <c r="B110" s="120" t="s">
        <v>1659</v>
      </c>
      <c r="C110" s="120" t="s">
        <v>31</v>
      </c>
    </row>
    <row r="111" spans="1:3" hidden="1" x14ac:dyDescent="0.25">
      <c r="A111" s="83" t="s">
        <v>1736</v>
      </c>
      <c r="B111" s="121" t="s">
        <v>1659</v>
      </c>
      <c r="C111" s="121" t="s">
        <v>31</v>
      </c>
    </row>
    <row r="112" spans="1:3" hidden="1" x14ac:dyDescent="0.25">
      <c r="A112" s="82" t="s">
        <v>294</v>
      </c>
      <c r="B112" s="120" t="s">
        <v>1659</v>
      </c>
      <c r="C112" s="120" t="s">
        <v>31</v>
      </c>
    </row>
    <row r="113" spans="1:3" hidden="1" x14ac:dyDescent="0.25">
      <c r="A113" s="83" t="s">
        <v>1737</v>
      </c>
      <c r="B113" s="121" t="s">
        <v>1659</v>
      </c>
      <c r="C113" s="121" t="s">
        <v>31</v>
      </c>
    </row>
    <row r="114" spans="1:3" hidden="1" x14ac:dyDescent="0.25">
      <c r="A114" s="82" t="s">
        <v>1738</v>
      </c>
      <c r="B114" s="120" t="s">
        <v>1659</v>
      </c>
      <c r="C114" s="120" t="s">
        <v>31</v>
      </c>
    </row>
    <row r="115" spans="1:3" hidden="1" x14ac:dyDescent="0.25">
      <c r="A115" s="83" t="s">
        <v>1739</v>
      </c>
      <c r="B115" s="121" t="s">
        <v>1659</v>
      </c>
      <c r="C115" s="121" t="s">
        <v>31</v>
      </c>
    </row>
    <row r="116" spans="1:3" hidden="1" x14ac:dyDescent="0.25">
      <c r="A116" s="82" t="s">
        <v>1740</v>
      </c>
      <c r="B116" s="120" t="s">
        <v>1659</v>
      </c>
      <c r="C116" s="120" t="s">
        <v>31</v>
      </c>
    </row>
    <row r="117" spans="1:3" hidden="1" x14ac:dyDescent="0.25">
      <c r="A117" s="83" t="s">
        <v>1741</v>
      </c>
      <c r="B117" s="121" t="s">
        <v>1659</v>
      </c>
      <c r="C117" s="121" t="s">
        <v>32</v>
      </c>
    </row>
    <row r="118" spans="1:3" hidden="1" x14ac:dyDescent="0.25">
      <c r="A118" s="82" t="s">
        <v>1742</v>
      </c>
      <c r="B118" s="120" t="s">
        <v>1659</v>
      </c>
      <c r="C118" s="120" t="s">
        <v>32</v>
      </c>
    </row>
    <row r="119" spans="1:3" hidden="1" x14ac:dyDescent="0.25">
      <c r="A119" s="83" t="s">
        <v>1743</v>
      </c>
      <c r="B119" s="121" t="s">
        <v>1659</v>
      </c>
      <c r="C119" s="121" t="s">
        <v>32</v>
      </c>
    </row>
    <row r="120" spans="1:3" hidden="1" x14ac:dyDescent="0.25">
      <c r="A120" s="82" t="s">
        <v>1744</v>
      </c>
      <c r="B120" s="120" t="s">
        <v>1659</v>
      </c>
      <c r="C120" s="120" t="s">
        <v>32</v>
      </c>
    </row>
    <row r="121" spans="1:3" hidden="1" x14ac:dyDescent="0.25">
      <c r="A121" s="83" t="s">
        <v>1745</v>
      </c>
      <c r="B121" s="121" t="s">
        <v>1659</v>
      </c>
      <c r="C121" s="121" t="s">
        <v>32</v>
      </c>
    </row>
    <row r="122" spans="1:3" hidden="1" x14ac:dyDescent="0.25">
      <c r="A122" s="82" t="s">
        <v>1746</v>
      </c>
      <c r="B122" s="120" t="s">
        <v>1659</v>
      </c>
      <c r="C122" s="120" t="s">
        <v>32</v>
      </c>
    </row>
    <row r="123" spans="1:3" hidden="1" x14ac:dyDescent="0.25">
      <c r="A123" s="83" t="s">
        <v>1747</v>
      </c>
      <c r="B123" s="121" t="s">
        <v>1659</v>
      </c>
      <c r="C123" s="121" t="s">
        <v>32</v>
      </c>
    </row>
    <row r="124" spans="1:3" hidden="1" x14ac:dyDescent="0.25">
      <c r="A124" s="82" t="s">
        <v>1748</v>
      </c>
      <c r="B124" s="120" t="s">
        <v>1659</v>
      </c>
      <c r="C124" s="120" t="s">
        <v>32</v>
      </c>
    </row>
    <row r="125" spans="1:3" hidden="1" x14ac:dyDescent="0.25">
      <c r="A125" s="83" t="s">
        <v>1749</v>
      </c>
      <c r="B125" s="121" t="s">
        <v>1659</v>
      </c>
      <c r="C125" s="121" t="s">
        <v>32</v>
      </c>
    </row>
    <row r="126" spans="1:3" hidden="1" x14ac:dyDescent="0.25">
      <c r="A126" s="82" t="s">
        <v>1750</v>
      </c>
      <c r="B126" s="120" t="s">
        <v>1659</v>
      </c>
      <c r="C126" s="120" t="s">
        <v>32</v>
      </c>
    </row>
    <row r="127" spans="1:3" hidden="1" x14ac:dyDescent="0.25">
      <c r="A127" s="83" t="s">
        <v>1751</v>
      </c>
      <c r="B127" s="121" t="s">
        <v>1659</v>
      </c>
      <c r="C127" s="121" t="s">
        <v>32</v>
      </c>
    </row>
    <row r="128" spans="1:3" hidden="1" x14ac:dyDescent="0.25">
      <c r="A128" s="82" t="s">
        <v>1752</v>
      </c>
      <c r="B128" s="120" t="s">
        <v>1659</v>
      </c>
      <c r="C128" s="120" t="s">
        <v>32</v>
      </c>
    </row>
    <row r="129" spans="1:3" hidden="1" x14ac:dyDescent="0.25">
      <c r="A129" s="83" t="s">
        <v>1753</v>
      </c>
      <c r="B129" s="121" t="s">
        <v>1659</v>
      </c>
      <c r="C129" s="121" t="s">
        <v>32</v>
      </c>
    </row>
    <row r="130" spans="1:3" hidden="1" x14ac:dyDescent="0.25">
      <c r="A130" s="82" t="s">
        <v>1754</v>
      </c>
      <c r="B130" s="120" t="s">
        <v>1659</v>
      </c>
      <c r="C130" s="120" t="s">
        <v>32</v>
      </c>
    </row>
    <row r="131" spans="1:3" hidden="1" x14ac:dyDescent="0.25">
      <c r="A131" s="83" t="s">
        <v>1755</v>
      </c>
      <c r="B131" s="121" t="s">
        <v>1659</v>
      </c>
      <c r="C131" s="121" t="s">
        <v>32</v>
      </c>
    </row>
    <row r="132" spans="1:3" hidden="1" x14ac:dyDescent="0.25">
      <c r="A132" s="82" t="s">
        <v>1756</v>
      </c>
      <c r="B132" s="120" t="s">
        <v>1659</v>
      </c>
      <c r="C132" s="120" t="s">
        <v>32</v>
      </c>
    </row>
    <row r="133" spans="1:3" hidden="1" x14ac:dyDescent="0.25">
      <c r="A133" s="83" t="s">
        <v>1757</v>
      </c>
      <c r="B133" s="121" t="s">
        <v>1659</v>
      </c>
      <c r="C133" s="121" t="s">
        <v>32</v>
      </c>
    </row>
    <row r="134" spans="1:3" hidden="1" x14ac:dyDescent="0.25">
      <c r="A134" s="82" t="s">
        <v>1758</v>
      </c>
      <c r="B134" s="120" t="s">
        <v>1659</v>
      </c>
      <c r="C134" s="120" t="s">
        <v>32</v>
      </c>
    </row>
    <row r="135" spans="1:3" hidden="1" x14ac:dyDescent="0.25">
      <c r="A135" s="83" t="s">
        <v>1759</v>
      </c>
      <c r="B135" s="121" t="s">
        <v>1659</v>
      </c>
      <c r="C135" s="121" t="s">
        <v>32</v>
      </c>
    </row>
    <row r="136" spans="1:3" hidden="1" x14ac:dyDescent="0.25">
      <c r="A136" s="82" t="s">
        <v>1760</v>
      </c>
      <c r="B136" s="120" t="s">
        <v>1659</v>
      </c>
      <c r="C136" s="120" t="s">
        <v>32</v>
      </c>
    </row>
    <row r="137" spans="1:3" hidden="1" x14ac:dyDescent="0.25">
      <c r="A137" s="83" t="s">
        <v>1761</v>
      </c>
      <c r="B137" s="121" t="s">
        <v>1659</v>
      </c>
      <c r="C137" s="121" t="s">
        <v>32</v>
      </c>
    </row>
    <row r="138" spans="1:3" hidden="1" x14ac:dyDescent="0.25">
      <c r="A138" s="82" t="s">
        <v>1762</v>
      </c>
      <c r="B138" s="120" t="s">
        <v>1659</v>
      </c>
      <c r="C138" s="120" t="s">
        <v>32</v>
      </c>
    </row>
    <row r="139" spans="1:3" hidden="1" x14ac:dyDescent="0.25">
      <c r="A139" s="83" t="s">
        <v>1763</v>
      </c>
      <c r="B139" s="121" t="s">
        <v>1659</v>
      </c>
      <c r="C139" s="121" t="s">
        <v>32</v>
      </c>
    </row>
    <row r="140" spans="1:3" hidden="1" x14ac:dyDescent="0.25">
      <c r="A140" s="82" t="s">
        <v>1764</v>
      </c>
      <c r="B140" s="120" t="s">
        <v>1659</v>
      </c>
      <c r="C140" s="120" t="s">
        <v>32</v>
      </c>
    </row>
    <row r="141" spans="1:3" hidden="1" x14ac:dyDescent="0.25">
      <c r="A141" s="83" t="s">
        <v>1765</v>
      </c>
      <c r="B141" s="121" t="s">
        <v>1659</v>
      </c>
      <c r="C141" s="121" t="s">
        <v>32</v>
      </c>
    </row>
    <row r="142" spans="1:3" hidden="1" x14ac:dyDescent="0.25">
      <c r="A142" s="82" t="s">
        <v>1766</v>
      </c>
      <c r="B142" s="120" t="s">
        <v>1659</v>
      </c>
      <c r="C142" s="120" t="s">
        <v>32</v>
      </c>
    </row>
    <row r="143" spans="1:3" hidden="1" x14ac:dyDescent="0.25">
      <c r="A143" s="83" t="s">
        <v>1767</v>
      </c>
      <c r="B143" s="121" t="s">
        <v>1659</v>
      </c>
      <c r="C143" s="121" t="s">
        <v>32</v>
      </c>
    </row>
    <row r="144" spans="1:3" hidden="1" x14ac:dyDescent="0.25">
      <c r="A144" s="82" t="s">
        <v>1768</v>
      </c>
      <c r="B144" s="120" t="s">
        <v>1659</v>
      </c>
      <c r="C144" s="120" t="s">
        <v>32</v>
      </c>
    </row>
    <row r="145" spans="1:3" hidden="1" x14ac:dyDescent="0.25">
      <c r="A145" s="83" t="s">
        <v>1769</v>
      </c>
      <c r="B145" s="121" t="s">
        <v>1659</v>
      </c>
      <c r="C145" s="121" t="s">
        <v>32</v>
      </c>
    </row>
    <row r="146" spans="1:3" hidden="1" x14ac:dyDescent="0.25">
      <c r="A146" s="82" t="s">
        <v>1770</v>
      </c>
      <c r="B146" s="120" t="s">
        <v>1659</v>
      </c>
      <c r="C146" s="120" t="s">
        <v>32</v>
      </c>
    </row>
    <row r="147" spans="1:3" hidden="1" x14ac:dyDescent="0.25">
      <c r="A147" s="83" t="s">
        <v>1771</v>
      </c>
      <c r="B147" s="121" t="s">
        <v>1659</v>
      </c>
      <c r="C147" s="121" t="s">
        <v>32</v>
      </c>
    </row>
    <row r="148" spans="1:3" hidden="1" x14ac:dyDescent="0.25">
      <c r="A148" s="82" t="s">
        <v>1772</v>
      </c>
      <c r="B148" s="120" t="s">
        <v>1659</v>
      </c>
      <c r="C148" s="120" t="s">
        <v>32</v>
      </c>
    </row>
    <row r="149" spans="1:3" hidden="1" x14ac:dyDescent="0.25">
      <c r="A149" s="83" t="s">
        <v>1773</v>
      </c>
      <c r="B149" s="121" t="s">
        <v>1659</v>
      </c>
      <c r="C149" s="121" t="s">
        <v>32</v>
      </c>
    </row>
    <row r="150" spans="1:3" hidden="1" x14ac:dyDescent="0.25">
      <c r="A150" s="82" t="s">
        <v>1774</v>
      </c>
      <c r="B150" s="120" t="s">
        <v>1659</v>
      </c>
      <c r="C150" s="120" t="s">
        <v>32</v>
      </c>
    </row>
    <row r="151" spans="1:3" hidden="1" x14ac:dyDescent="0.25">
      <c r="A151" s="83" t="s">
        <v>1775</v>
      </c>
      <c r="B151" s="121" t="s">
        <v>1659</v>
      </c>
      <c r="C151" s="121" t="s">
        <v>32</v>
      </c>
    </row>
    <row r="152" spans="1:3" hidden="1" x14ac:dyDescent="0.25">
      <c r="A152" s="82" t="s">
        <v>1776</v>
      </c>
      <c r="B152" s="120" t="s">
        <v>1659</v>
      </c>
      <c r="C152" s="120" t="s">
        <v>32</v>
      </c>
    </row>
    <row r="153" spans="1:3" hidden="1" x14ac:dyDescent="0.25">
      <c r="A153" s="83" t="s">
        <v>1777</v>
      </c>
      <c r="B153" s="121" t="s">
        <v>1659</v>
      </c>
      <c r="C153" s="121" t="s">
        <v>32</v>
      </c>
    </row>
    <row r="154" spans="1:3" hidden="1" x14ac:dyDescent="0.25">
      <c r="A154" s="82" t="s">
        <v>1778</v>
      </c>
      <c r="B154" s="120" t="s">
        <v>1659</v>
      </c>
      <c r="C154" s="120" t="s">
        <v>32</v>
      </c>
    </row>
    <row r="155" spans="1:3" hidden="1" x14ac:dyDescent="0.25">
      <c r="A155" s="83" t="s">
        <v>1779</v>
      </c>
      <c r="B155" s="121" t="s">
        <v>1659</v>
      </c>
      <c r="C155" s="121" t="s">
        <v>32</v>
      </c>
    </row>
    <row r="156" spans="1:3" hidden="1" x14ac:dyDescent="0.25">
      <c r="A156" s="82" t="s">
        <v>1780</v>
      </c>
      <c r="B156" s="120" t="s">
        <v>1659</v>
      </c>
      <c r="C156" s="120" t="s">
        <v>32</v>
      </c>
    </row>
    <row r="157" spans="1:3" hidden="1" x14ac:dyDescent="0.25">
      <c r="A157" s="83" t="s">
        <v>1781</v>
      </c>
      <c r="B157" s="121" t="s">
        <v>1659</v>
      </c>
      <c r="C157" s="121" t="s">
        <v>32</v>
      </c>
    </row>
    <row r="158" spans="1:3" hidden="1" x14ac:dyDescent="0.25">
      <c r="A158" s="82" t="s">
        <v>1782</v>
      </c>
      <c r="B158" s="120" t="s">
        <v>1659</v>
      </c>
      <c r="C158" s="120" t="s">
        <v>32</v>
      </c>
    </row>
    <row r="159" spans="1:3" hidden="1" x14ac:dyDescent="0.25">
      <c r="A159" s="83" t="s">
        <v>1783</v>
      </c>
      <c r="B159" s="121" t="s">
        <v>1659</v>
      </c>
      <c r="C159" s="121" t="s">
        <v>32</v>
      </c>
    </row>
    <row r="160" spans="1:3" hidden="1" x14ac:dyDescent="0.25">
      <c r="A160" s="82" t="s">
        <v>1784</v>
      </c>
      <c r="B160" s="120" t="s">
        <v>1659</v>
      </c>
      <c r="C160" s="120" t="s">
        <v>32</v>
      </c>
    </row>
    <row r="161" spans="1:3" hidden="1" x14ac:dyDescent="0.25">
      <c r="A161" s="83" t="s">
        <v>1785</v>
      </c>
      <c r="B161" s="121" t="s">
        <v>1659</v>
      </c>
      <c r="C161" s="121" t="s">
        <v>32</v>
      </c>
    </row>
    <row r="162" spans="1:3" hidden="1" x14ac:dyDescent="0.25">
      <c r="A162" s="82" t="s">
        <v>1786</v>
      </c>
      <c r="B162" s="120" t="s">
        <v>1659</v>
      </c>
      <c r="C162" s="120" t="s">
        <v>32</v>
      </c>
    </row>
    <row r="163" spans="1:3" hidden="1" x14ac:dyDescent="0.25">
      <c r="A163" s="83" t="s">
        <v>1787</v>
      </c>
      <c r="B163" s="121" t="s">
        <v>1659</v>
      </c>
      <c r="C163" s="121" t="s">
        <v>32</v>
      </c>
    </row>
    <row r="164" spans="1:3" hidden="1" x14ac:dyDescent="0.25">
      <c r="A164" s="82" t="s">
        <v>1788</v>
      </c>
      <c r="B164" s="120" t="s">
        <v>1659</v>
      </c>
      <c r="C164" s="120" t="s">
        <v>32</v>
      </c>
    </row>
    <row r="165" spans="1:3" hidden="1" x14ac:dyDescent="0.25">
      <c r="A165" s="83" t="s">
        <v>1789</v>
      </c>
      <c r="B165" s="121" t="s">
        <v>1659</v>
      </c>
      <c r="C165" s="121" t="s">
        <v>32</v>
      </c>
    </row>
    <row r="166" spans="1:3" hidden="1" x14ac:dyDescent="0.25">
      <c r="A166" s="82" t="s">
        <v>1790</v>
      </c>
      <c r="B166" s="120" t="s">
        <v>1659</v>
      </c>
      <c r="C166" s="120" t="s">
        <v>32</v>
      </c>
    </row>
    <row r="167" spans="1:3" hidden="1" x14ac:dyDescent="0.25">
      <c r="A167" s="83" t="s">
        <v>1791</v>
      </c>
      <c r="B167" s="121" t="s">
        <v>1659</v>
      </c>
      <c r="C167" s="121" t="s">
        <v>32</v>
      </c>
    </row>
    <row r="168" spans="1:3" hidden="1" x14ac:dyDescent="0.25">
      <c r="A168" s="82" t="s">
        <v>1792</v>
      </c>
      <c r="B168" s="120" t="s">
        <v>1659</v>
      </c>
      <c r="C168" s="120" t="s">
        <v>32</v>
      </c>
    </row>
    <row r="169" spans="1:3" hidden="1" x14ac:dyDescent="0.25">
      <c r="A169" s="83" t="s">
        <v>1793</v>
      </c>
      <c r="B169" s="121" t="s">
        <v>1659</v>
      </c>
      <c r="C169" s="121" t="s">
        <v>32</v>
      </c>
    </row>
    <row r="170" spans="1:3" hidden="1" x14ac:dyDescent="0.25">
      <c r="A170" s="82" t="s">
        <v>1794</v>
      </c>
      <c r="B170" s="120" t="s">
        <v>1659</v>
      </c>
      <c r="C170" s="120" t="s">
        <v>32</v>
      </c>
    </row>
    <row r="171" spans="1:3" hidden="1" x14ac:dyDescent="0.25">
      <c r="A171" s="83" t="s">
        <v>1795</v>
      </c>
      <c r="B171" s="121" t="s">
        <v>1659</v>
      </c>
      <c r="C171" s="121" t="s">
        <v>32</v>
      </c>
    </row>
    <row r="172" spans="1:3" hidden="1" x14ac:dyDescent="0.25">
      <c r="A172" s="82" t="s">
        <v>1796</v>
      </c>
      <c r="B172" s="120" t="s">
        <v>1659</v>
      </c>
      <c r="C172" s="120" t="s">
        <v>32</v>
      </c>
    </row>
    <row r="173" spans="1:3" hidden="1" x14ac:dyDescent="0.25">
      <c r="A173" s="83" t="s">
        <v>1797</v>
      </c>
      <c r="B173" s="121" t="s">
        <v>1659</v>
      </c>
      <c r="C173" s="121" t="s">
        <v>32</v>
      </c>
    </row>
    <row r="174" spans="1:3" hidden="1" x14ac:dyDescent="0.25">
      <c r="A174" s="82" t="s">
        <v>1798</v>
      </c>
      <c r="B174" s="120" t="s">
        <v>1659</v>
      </c>
      <c r="C174" s="120" t="s">
        <v>32</v>
      </c>
    </row>
    <row r="175" spans="1:3" hidden="1" x14ac:dyDescent="0.25">
      <c r="A175" s="83" t="s">
        <v>1799</v>
      </c>
      <c r="B175" s="121" t="s">
        <v>1659</v>
      </c>
      <c r="C175" s="121" t="s">
        <v>32</v>
      </c>
    </row>
    <row r="176" spans="1:3" hidden="1" x14ac:dyDescent="0.25">
      <c r="A176" s="82" t="s">
        <v>1800</v>
      </c>
      <c r="B176" s="120" t="s">
        <v>1659</v>
      </c>
      <c r="C176" s="120" t="s">
        <v>32</v>
      </c>
    </row>
    <row r="177" spans="1:3" hidden="1" x14ac:dyDescent="0.25">
      <c r="A177" s="83" t="s">
        <v>1801</v>
      </c>
      <c r="B177" s="121" t="s">
        <v>1659</v>
      </c>
      <c r="C177" s="121" t="s">
        <v>32</v>
      </c>
    </row>
    <row r="178" spans="1:3" hidden="1" x14ac:dyDescent="0.25">
      <c r="A178" s="82" t="s">
        <v>1802</v>
      </c>
      <c r="B178" s="120" t="s">
        <v>1659</v>
      </c>
      <c r="C178" s="120" t="s">
        <v>32</v>
      </c>
    </row>
    <row r="179" spans="1:3" hidden="1" x14ac:dyDescent="0.25">
      <c r="A179" s="83" t="s">
        <v>1803</v>
      </c>
      <c r="B179" s="121" t="s">
        <v>1659</v>
      </c>
      <c r="C179" s="121" t="s">
        <v>32</v>
      </c>
    </row>
    <row r="180" spans="1:3" hidden="1" x14ac:dyDescent="0.25">
      <c r="A180" s="82" t="s">
        <v>1804</v>
      </c>
      <c r="B180" s="120" t="s">
        <v>1659</v>
      </c>
      <c r="C180" s="120" t="s">
        <v>32</v>
      </c>
    </row>
    <row r="181" spans="1:3" hidden="1" x14ac:dyDescent="0.25">
      <c r="A181" s="83" t="s">
        <v>1805</v>
      </c>
      <c r="B181" s="121" t="s">
        <v>1659</v>
      </c>
      <c r="C181" s="121" t="s">
        <v>32</v>
      </c>
    </row>
    <row r="182" spans="1:3" hidden="1" x14ac:dyDescent="0.25">
      <c r="A182" s="82" t="s">
        <v>1806</v>
      </c>
      <c r="B182" s="120" t="s">
        <v>1659</v>
      </c>
      <c r="C182" s="120" t="s">
        <v>32</v>
      </c>
    </row>
    <row r="183" spans="1:3" hidden="1" x14ac:dyDescent="0.25">
      <c r="A183" s="83" t="s">
        <v>1807</v>
      </c>
      <c r="B183" s="121" t="s">
        <v>1659</v>
      </c>
      <c r="C183" s="121" t="s">
        <v>32</v>
      </c>
    </row>
    <row r="184" spans="1:3" hidden="1" x14ac:dyDescent="0.25">
      <c r="A184" s="82" t="s">
        <v>1808</v>
      </c>
      <c r="B184" s="120" t="s">
        <v>1659</v>
      </c>
      <c r="C184" s="120" t="s">
        <v>806</v>
      </c>
    </row>
    <row r="185" spans="1:3" hidden="1" x14ac:dyDescent="0.25">
      <c r="A185" s="83" t="s">
        <v>265</v>
      </c>
      <c r="B185" s="121" t="s">
        <v>1659</v>
      </c>
      <c r="C185" s="121" t="s">
        <v>806</v>
      </c>
    </row>
    <row r="186" spans="1:3" hidden="1" x14ac:dyDescent="0.25">
      <c r="A186" s="82" t="s">
        <v>1809</v>
      </c>
      <c r="B186" s="120" t="s">
        <v>1659</v>
      </c>
      <c r="C186" s="120" t="s">
        <v>806</v>
      </c>
    </row>
    <row r="187" spans="1:3" hidden="1" x14ac:dyDescent="0.25">
      <c r="A187" s="83" t="s">
        <v>266</v>
      </c>
      <c r="B187" s="121" t="s">
        <v>1659</v>
      </c>
      <c r="C187" s="121" t="s">
        <v>806</v>
      </c>
    </row>
    <row r="188" spans="1:3" hidden="1" x14ac:dyDescent="0.25">
      <c r="A188" s="82" t="s">
        <v>1810</v>
      </c>
      <c r="B188" s="120" t="s">
        <v>1659</v>
      </c>
      <c r="C188" s="120" t="s">
        <v>806</v>
      </c>
    </row>
    <row r="189" spans="1:3" hidden="1" x14ac:dyDescent="0.25">
      <c r="A189" s="83" t="s">
        <v>267</v>
      </c>
      <c r="B189" s="121" t="s">
        <v>1659</v>
      </c>
      <c r="C189" s="121" t="s">
        <v>806</v>
      </c>
    </row>
    <row r="190" spans="1:3" hidden="1" x14ac:dyDescent="0.25">
      <c r="A190" s="82" t="s">
        <v>1811</v>
      </c>
      <c r="B190" s="120" t="s">
        <v>1659</v>
      </c>
      <c r="C190" s="120" t="s">
        <v>806</v>
      </c>
    </row>
    <row r="191" spans="1:3" hidden="1" x14ac:dyDescent="0.25">
      <c r="A191" s="83" t="s">
        <v>1812</v>
      </c>
      <c r="B191" s="121" t="s">
        <v>1659</v>
      </c>
      <c r="C191" s="121" t="s">
        <v>806</v>
      </c>
    </row>
    <row r="192" spans="1:3" hidden="1" x14ac:dyDescent="0.25">
      <c r="A192" s="82" t="s">
        <v>278</v>
      </c>
      <c r="B192" s="120" t="s">
        <v>1659</v>
      </c>
      <c r="C192" s="120" t="s">
        <v>806</v>
      </c>
    </row>
    <row r="193" spans="1:5" hidden="1" x14ac:dyDescent="0.25">
      <c r="A193" s="83" t="s">
        <v>1813</v>
      </c>
      <c r="B193" s="121" t="s">
        <v>1659</v>
      </c>
      <c r="C193" s="121" t="s">
        <v>806</v>
      </c>
    </row>
    <row r="194" spans="1:5" hidden="1" x14ac:dyDescent="0.25">
      <c r="A194" s="82" t="s">
        <v>1814</v>
      </c>
      <c r="B194" s="120" t="s">
        <v>1659</v>
      </c>
      <c r="C194" s="120" t="s">
        <v>806</v>
      </c>
    </row>
    <row r="195" spans="1:5" hidden="1" x14ac:dyDescent="0.25">
      <c r="A195" s="83" t="s">
        <v>1815</v>
      </c>
      <c r="B195" s="121" t="s">
        <v>1659</v>
      </c>
      <c r="C195" s="121" t="s">
        <v>806</v>
      </c>
    </row>
    <row r="196" spans="1:5" x14ac:dyDescent="0.25">
      <c r="A196" s="82" t="s">
        <v>1816</v>
      </c>
      <c r="B196" s="120" t="s">
        <v>1665</v>
      </c>
      <c r="C196" s="120" t="s">
        <v>806</v>
      </c>
      <c r="D196" t="s">
        <v>55</v>
      </c>
      <c r="E196" t="s">
        <v>56</v>
      </c>
    </row>
    <row r="197" spans="1:5" hidden="1" x14ac:dyDescent="0.25">
      <c r="A197" s="83" t="s">
        <v>276</v>
      </c>
      <c r="B197" s="121" t="s">
        <v>1659</v>
      </c>
      <c r="C197" s="121" t="s">
        <v>806</v>
      </c>
    </row>
    <row r="198" spans="1:5" hidden="1" x14ac:dyDescent="0.25">
      <c r="A198" s="82" t="s">
        <v>277</v>
      </c>
      <c r="B198" s="120" t="s">
        <v>1659</v>
      </c>
      <c r="C198" s="120" t="s">
        <v>806</v>
      </c>
    </row>
    <row r="199" spans="1:5" hidden="1" x14ac:dyDescent="0.25">
      <c r="A199" s="83" t="s">
        <v>288</v>
      </c>
      <c r="B199" s="121" t="s">
        <v>1659</v>
      </c>
      <c r="C199" s="121" t="s">
        <v>806</v>
      </c>
    </row>
    <row r="200" spans="1:5" hidden="1" x14ac:dyDescent="0.25">
      <c r="A200" s="82" t="s">
        <v>1817</v>
      </c>
      <c r="B200" s="120" t="s">
        <v>1659</v>
      </c>
      <c r="C200" s="120" t="s">
        <v>806</v>
      </c>
    </row>
    <row r="201" spans="1:5" hidden="1" x14ac:dyDescent="0.25">
      <c r="A201" s="83" t="s">
        <v>270</v>
      </c>
      <c r="B201" s="121" t="s">
        <v>1659</v>
      </c>
      <c r="C201" s="121" t="s">
        <v>806</v>
      </c>
    </row>
    <row r="202" spans="1:5" hidden="1" x14ac:dyDescent="0.25">
      <c r="A202" s="82" t="s">
        <v>1818</v>
      </c>
      <c r="B202" s="120" t="s">
        <v>1659</v>
      </c>
      <c r="C202" s="120" t="s">
        <v>806</v>
      </c>
    </row>
    <row r="203" spans="1:5" hidden="1" x14ac:dyDescent="0.25">
      <c r="A203" s="83" t="s">
        <v>1819</v>
      </c>
      <c r="B203" s="121" t="s">
        <v>1659</v>
      </c>
      <c r="C203" s="121" t="s">
        <v>806</v>
      </c>
    </row>
    <row r="204" spans="1:5" hidden="1" x14ac:dyDescent="0.25">
      <c r="A204" s="82" t="s">
        <v>1820</v>
      </c>
      <c r="B204" s="120" t="s">
        <v>1659</v>
      </c>
      <c r="C204" s="120" t="s">
        <v>806</v>
      </c>
    </row>
    <row r="205" spans="1:5" hidden="1" x14ac:dyDescent="0.25">
      <c r="A205" s="83" t="s">
        <v>284</v>
      </c>
      <c r="B205" s="121" t="s">
        <v>1659</v>
      </c>
      <c r="C205" s="121" t="s">
        <v>806</v>
      </c>
    </row>
    <row r="206" spans="1:5" hidden="1" x14ac:dyDescent="0.25">
      <c r="A206" s="82" t="s">
        <v>1821</v>
      </c>
      <c r="B206" s="120" t="s">
        <v>1659</v>
      </c>
      <c r="C206" s="120" t="s">
        <v>806</v>
      </c>
    </row>
    <row r="207" spans="1:5" hidden="1" x14ac:dyDescent="0.25">
      <c r="A207" s="83" t="s">
        <v>268</v>
      </c>
      <c r="B207" s="121" t="s">
        <v>1659</v>
      </c>
      <c r="C207" s="121" t="s">
        <v>806</v>
      </c>
    </row>
    <row r="208" spans="1:5" hidden="1" x14ac:dyDescent="0.25">
      <c r="A208" s="82" t="s">
        <v>1822</v>
      </c>
      <c r="B208" s="120" t="s">
        <v>1659</v>
      </c>
      <c r="C208" s="120" t="s">
        <v>806</v>
      </c>
    </row>
    <row r="209" spans="1:5" hidden="1" x14ac:dyDescent="0.25">
      <c r="A209" s="83" t="s">
        <v>1823</v>
      </c>
      <c r="B209" s="121" t="s">
        <v>1659</v>
      </c>
      <c r="C209" s="121" t="s">
        <v>806</v>
      </c>
    </row>
    <row r="210" spans="1:5" x14ac:dyDescent="0.25">
      <c r="A210" s="82" t="s">
        <v>1824</v>
      </c>
      <c r="B210" s="120" t="s">
        <v>1665</v>
      </c>
      <c r="C210" s="120" t="s">
        <v>806</v>
      </c>
      <c r="D210" s="160" t="s">
        <v>55</v>
      </c>
      <c r="E210" t="s">
        <v>56</v>
      </c>
    </row>
    <row r="211" spans="1:5" hidden="1" x14ac:dyDescent="0.25">
      <c r="A211" s="83" t="s">
        <v>286</v>
      </c>
      <c r="B211" s="121" t="s">
        <v>1659</v>
      </c>
      <c r="C211" s="121" t="s">
        <v>806</v>
      </c>
    </row>
    <row r="212" spans="1:5" hidden="1" x14ac:dyDescent="0.25">
      <c r="A212" s="82" t="s">
        <v>1825</v>
      </c>
      <c r="B212" s="120" t="s">
        <v>1659</v>
      </c>
      <c r="C212" s="120" t="s">
        <v>806</v>
      </c>
    </row>
    <row r="213" spans="1:5" hidden="1" x14ac:dyDescent="0.25">
      <c r="A213" s="83" t="s">
        <v>1826</v>
      </c>
      <c r="B213" s="121" t="s">
        <v>1659</v>
      </c>
      <c r="C213" s="121" t="s">
        <v>806</v>
      </c>
    </row>
    <row r="214" spans="1:5" hidden="1" x14ac:dyDescent="0.25">
      <c r="A214" s="82" t="s">
        <v>1827</v>
      </c>
      <c r="B214" s="120" t="s">
        <v>1659</v>
      </c>
      <c r="C214" s="120" t="s">
        <v>806</v>
      </c>
    </row>
    <row r="215" spans="1:5" hidden="1" x14ac:dyDescent="0.25">
      <c r="A215" s="83" t="s">
        <v>1828</v>
      </c>
      <c r="B215" s="121" t="s">
        <v>1659</v>
      </c>
      <c r="C215" s="121" t="s">
        <v>806</v>
      </c>
    </row>
    <row r="216" spans="1:5" hidden="1" x14ac:dyDescent="0.25">
      <c r="A216" s="82" t="s">
        <v>1829</v>
      </c>
      <c r="B216" s="120" t="s">
        <v>1659</v>
      </c>
      <c r="C216" s="120" t="s">
        <v>806</v>
      </c>
    </row>
    <row r="217" spans="1:5" hidden="1" x14ac:dyDescent="0.25">
      <c r="A217" s="83" t="s">
        <v>1830</v>
      </c>
      <c r="B217" s="121" t="s">
        <v>1659</v>
      </c>
      <c r="C217" s="121" t="s">
        <v>806</v>
      </c>
    </row>
    <row r="218" spans="1:5" hidden="1" x14ac:dyDescent="0.25">
      <c r="A218" s="82" t="s">
        <v>1831</v>
      </c>
      <c r="B218" s="120" t="s">
        <v>1659</v>
      </c>
      <c r="C218" s="120" t="s">
        <v>806</v>
      </c>
    </row>
    <row r="219" spans="1:5" hidden="1" x14ac:dyDescent="0.25">
      <c r="A219" s="83" t="s">
        <v>283</v>
      </c>
      <c r="B219" s="121" t="s">
        <v>1659</v>
      </c>
      <c r="C219" s="121" t="s">
        <v>806</v>
      </c>
    </row>
    <row r="220" spans="1:5" hidden="1" x14ac:dyDescent="0.25">
      <c r="A220" s="82" t="s">
        <v>1832</v>
      </c>
      <c r="B220" s="120" t="s">
        <v>1659</v>
      </c>
      <c r="C220" s="120" t="s">
        <v>806</v>
      </c>
    </row>
    <row r="221" spans="1:5" hidden="1" x14ac:dyDescent="0.25">
      <c r="A221" s="83" t="s">
        <v>1833</v>
      </c>
      <c r="B221" s="121" t="s">
        <v>1659</v>
      </c>
      <c r="C221" s="121" t="s">
        <v>806</v>
      </c>
    </row>
    <row r="222" spans="1:5" hidden="1" x14ac:dyDescent="0.25">
      <c r="A222" s="82" t="s">
        <v>279</v>
      </c>
      <c r="B222" s="120" t="s">
        <v>1659</v>
      </c>
      <c r="C222" s="120" t="s">
        <v>806</v>
      </c>
    </row>
    <row r="223" spans="1:5" hidden="1" x14ac:dyDescent="0.25">
      <c r="A223" s="83" t="s">
        <v>1834</v>
      </c>
      <c r="B223" s="121" t="s">
        <v>1659</v>
      </c>
      <c r="C223" s="121" t="s">
        <v>806</v>
      </c>
    </row>
    <row r="224" spans="1:5" hidden="1" x14ac:dyDescent="0.25">
      <c r="A224" s="82" t="s">
        <v>1835</v>
      </c>
      <c r="B224" s="120" t="s">
        <v>1659</v>
      </c>
      <c r="C224" s="120" t="s">
        <v>806</v>
      </c>
    </row>
    <row r="225" spans="1:3" hidden="1" x14ac:dyDescent="0.25">
      <c r="A225" s="83" t="s">
        <v>1836</v>
      </c>
      <c r="B225" s="121" t="s">
        <v>1659</v>
      </c>
      <c r="C225" s="121" t="s">
        <v>806</v>
      </c>
    </row>
    <row r="226" spans="1:3" hidden="1" x14ac:dyDescent="0.25">
      <c r="A226" s="82" t="s">
        <v>1837</v>
      </c>
      <c r="B226" s="120" t="s">
        <v>1659</v>
      </c>
      <c r="C226" s="120" t="s">
        <v>806</v>
      </c>
    </row>
    <row r="227" spans="1:3" hidden="1" x14ac:dyDescent="0.25">
      <c r="A227" s="83" t="s">
        <v>282</v>
      </c>
      <c r="B227" s="121" t="s">
        <v>1659</v>
      </c>
      <c r="C227" s="121" t="s">
        <v>806</v>
      </c>
    </row>
    <row r="228" spans="1:3" hidden="1" x14ac:dyDescent="0.25">
      <c r="A228" s="82" t="s">
        <v>1838</v>
      </c>
      <c r="B228" s="120" t="s">
        <v>1659</v>
      </c>
      <c r="C228" s="120" t="s">
        <v>806</v>
      </c>
    </row>
    <row r="229" spans="1:3" hidden="1" x14ac:dyDescent="0.25">
      <c r="A229" s="83" t="s">
        <v>1839</v>
      </c>
      <c r="B229" s="121" t="s">
        <v>1659</v>
      </c>
      <c r="C229" s="121" t="s">
        <v>806</v>
      </c>
    </row>
    <row r="230" spans="1:3" hidden="1" x14ac:dyDescent="0.25">
      <c r="A230" s="82" t="s">
        <v>1840</v>
      </c>
      <c r="B230" s="120" t="s">
        <v>1659</v>
      </c>
      <c r="C230" s="120" t="s">
        <v>806</v>
      </c>
    </row>
    <row r="231" spans="1:3" hidden="1" x14ac:dyDescent="0.25">
      <c r="A231" s="83" t="s">
        <v>1841</v>
      </c>
      <c r="B231" s="121" t="s">
        <v>1659</v>
      </c>
      <c r="C231" s="121" t="s">
        <v>806</v>
      </c>
    </row>
    <row r="232" spans="1:3" hidden="1" x14ac:dyDescent="0.25">
      <c r="A232" s="82" t="s">
        <v>1842</v>
      </c>
      <c r="B232" s="120" t="s">
        <v>1659</v>
      </c>
      <c r="C232" s="120" t="s">
        <v>806</v>
      </c>
    </row>
    <row r="233" spans="1:3" hidden="1" x14ac:dyDescent="0.25">
      <c r="A233" s="83" t="s">
        <v>1843</v>
      </c>
      <c r="B233" s="121" t="s">
        <v>1659</v>
      </c>
      <c r="C233" s="121" t="s">
        <v>806</v>
      </c>
    </row>
    <row r="234" spans="1:3" hidden="1" x14ac:dyDescent="0.25">
      <c r="A234" s="82" t="s">
        <v>280</v>
      </c>
      <c r="B234" s="120" t="s">
        <v>1659</v>
      </c>
      <c r="C234" s="120" t="s">
        <v>806</v>
      </c>
    </row>
    <row r="235" spans="1:3" hidden="1" x14ac:dyDescent="0.25">
      <c r="A235" s="83" t="s">
        <v>1844</v>
      </c>
      <c r="B235" s="121" t="s">
        <v>1659</v>
      </c>
      <c r="C235" s="121" t="s">
        <v>837</v>
      </c>
    </row>
    <row r="236" spans="1:3" hidden="1" x14ac:dyDescent="0.25">
      <c r="A236" s="82" t="s">
        <v>1845</v>
      </c>
      <c r="B236" s="120" t="s">
        <v>1659</v>
      </c>
      <c r="C236" s="120" t="s">
        <v>837</v>
      </c>
    </row>
    <row r="237" spans="1:3" hidden="1" x14ac:dyDescent="0.25">
      <c r="A237" s="83" t="s">
        <v>1846</v>
      </c>
      <c r="B237" s="121" t="s">
        <v>1659</v>
      </c>
      <c r="C237" s="121" t="s">
        <v>837</v>
      </c>
    </row>
    <row r="238" spans="1:3" hidden="1" x14ac:dyDescent="0.25">
      <c r="A238" s="82" t="s">
        <v>1847</v>
      </c>
      <c r="B238" s="120" t="s">
        <v>1659</v>
      </c>
      <c r="C238" s="120" t="s">
        <v>837</v>
      </c>
    </row>
    <row r="239" spans="1:3" hidden="1" x14ac:dyDescent="0.25">
      <c r="A239" s="83" t="s">
        <v>1848</v>
      </c>
      <c r="B239" s="121" t="s">
        <v>1659</v>
      </c>
      <c r="C239" s="121" t="s">
        <v>837</v>
      </c>
    </row>
    <row r="240" spans="1:3" hidden="1" x14ac:dyDescent="0.25">
      <c r="A240" s="82" t="s">
        <v>1849</v>
      </c>
      <c r="B240" s="120" t="s">
        <v>1659</v>
      </c>
      <c r="C240" s="120" t="s">
        <v>837</v>
      </c>
    </row>
    <row r="241" spans="1:6" hidden="1" x14ac:dyDescent="0.25">
      <c r="A241" s="83" t="s">
        <v>1850</v>
      </c>
      <c r="B241" s="121" t="s">
        <v>1659</v>
      </c>
      <c r="C241" s="121" t="s">
        <v>837</v>
      </c>
    </row>
    <row r="242" spans="1:6" hidden="1" x14ac:dyDescent="0.25">
      <c r="A242" s="82" t="s">
        <v>1851</v>
      </c>
      <c r="B242" s="120" t="s">
        <v>1659</v>
      </c>
      <c r="C242" s="120" t="s">
        <v>837</v>
      </c>
    </row>
    <row r="243" spans="1:6" hidden="1" x14ac:dyDescent="0.25">
      <c r="A243" s="83" t="s">
        <v>1852</v>
      </c>
      <c r="B243" s="121" t="s">
        <v>1659</v>
      </c>
      <c r="C243" s="121" t="s">
        <v>837</v>
      </c>
    </row>
    <row r="244" spans="1:6" hidden="1" x14ac:dyDescent="0.25">
      <c r="A244" s="82" t="s">
        <v>1853</v>
      </c>
      <c r="B244" s="120" t="s">
        <v>1659</v>
      </c>
      <c r="C244" s="120" t="s">
        <v>837</v>
      </c>
    </row>
    <row r="245" spans="1:6" hidden="1" x14ac:dyDescent="0.25">
      <c r="A245" s="83" t="s">
        <v>1854</v>
      </c>
      <c r="B245" s="121" t="s">
        <v>1659</v>
      </c>
      <c r="C245" s="121" t="s">
        <v>837</v>
      </c>
    </row>
    <row r="246" spans="1:6" hidden="1" x14ac:dyDescent="0.25">
      <c r="A246" s="82" t="s">
        <v>1855</v>
      </c>
      <c r="B246" s="120" t="s">
        <v>1659</v>
      </c>
      <c r="C246" s="120" t="s">
        <v>837</v>
      </c>
    </row>
    <row r="247" spans="1:6" hidden="1" x14ac:dyDescent="0.25">
      <c r="A247" s="83" t="s">
        <v>1856</v>
      </c>
      <c r="B247" s="121" t="s">
        <v>1659</v>
      </c>
      <c r="C247" s="121" t="s">
        <v>837</v>
      </c>
    </row>
    <row r="248" spans="1:6" hidden="1" x14ac:dyDescent="0.25">
      <c r="A248" s="82" t="s">
        <v>1857</v>
      </c>
      <c r="B248" s="120" t="s">
        <v>1659</v>
      </c>
      <c r="C248" s="120" t="s">
        <v>837</v>
      </c>
    </row>
    <row r="249" spans="1:6" hidden="1" x14ac:dyDescent="0.25">
      <c r="A249" s="83" t="s">
        <v>1858</v>
      </c>
      <c r="B249" s="121" t="s">
        <v>1659</v>
      </c>
      <c r="C249" s="121" t="s">
        <v>837</v>
      </c>
    </row>
    <row r="250" spans="1:6" hidden="1" x14ac:dyDescent="0.25">
      <c r="A250" s="82" t="s">
        <v>1859</v>
      </c>
      <c r="B250" s="120" t="s">
        <v>1659</v>
      </c>
      <c r="C250" s="120" t="s">
        <v>837</v>
      </c>
    </row>
    <row r="251" spans="1:6" hidden="1" x14ac:dyDescent="0.25">
      <c r="A251" s="83" t="s">
        <v>1860</v>
      </c>
      <c r="B251" s="121" t="s">
        <v>1659</v>
      </c>
      <c r="C251" s="121" t="s">
        <v>837</v>
      </c>
    </row>
    <row r="252" spans="1:6" hidden="1" x14ac:dyDescent="0.25">
      <c r="A252" s="82" t="s">
        <v>1861</v>
      </c>
      <c r="B252" s="120" t="s">
        <v>1659</v>
      </c>
      <c r="C252" s="120" t="s">
        <v>837</v>
      </c>
    </row>
    <row r="253" spans="1:6" hidden="1" x14ac:dyDescent="0.25">
      <c r="A253" s="83" t="s">
        <v>1862</v>
      </c>
      <c r="B253" s="121" t="s">
        <v>1659</v>
      </c>
      <c r="C253" s="121" t="s">
        <v>837</v>
      </c>
    </row>
    <row r="254" spans="1:6" hidden="1" x14ac:dyDescent="0.25">
      <c r="A254" s="82" t="s">
        <v>1863</v>
      </c>
      <c r="B254" s="120" t="s">
        <v>1659</v>
      </c>
      <c r="C254" s="120" t="s">
        <v>837</v>
      </c>
    </row>
    <row r="255" spans="1:6" hidden="1" x14ac:dyDescent="0.25">
      <c r="A255" s="83" t="s">
        <v>1864</v>
      </c>
      <c r="B255" s="121" t="s">
        <v>1659</v>
      </c>
      <c r="C255" s="121" t="s">
        <v>837</v>
      </c>
    </row>
    <row r="256" spans="1:6" ht="17.25" x14ac:dyDescent="0.25">
      <c r="A256" s="82" t="s">
        <v>1865</v>
      </c>
      <c r="B256" s="120" t="s">
        <v>1665</v>
      </c>
      <c r="C256" s="120" t="s">
        <v>36</v>
      </c>
      <c r="D256" s="159" t="s">
        <v>55</v>
      </c>
      <c r="E256" t="s">
        <v>57</v>
      </c>
      <c r="F256" s="161"/>
    </row>
    <row r="257" spans="1:9" hidden="1" x14ac:dyDescent="0.25">
      <c r="A257" s="83" t="s">
        <v>1866</v>
      </c>
      <c r="B257" s="121" t="s">
        <v>1659</v>
      </c>
      <c r="C257" s="121" t="s">
        <v>36</v>
      </c>
    </row>
    <row r="258" spans="1:9" x14ac:dyDescent="0.25">
      <c r="A258" s="82" t="s">
        <v>1867</v>
      </c>
      <c r="B258" s="120" t="s">
        <v>1665</v>
      </c>
      <c r="C258" s="120" t="s">
        <v>36</v>
      </c>
      <c r="D258" s="159" t="s">
        <v>55</v>
      </c>
      <c r="E258" t="s">
        <v>57</v>
      </c>
      <c r="G258" s="146"/>
      <c r="H258" s="147"/>
      <c r="I258" s="148"/>
    </row>
    <row r="259" spans="1:9" hidden="1" x14ac:dyDescent="0.25">
      <c r="A259" s="83" t="s">
        <v>700</v>
      </c>
      <c r="B259" s="121" t="s">
        <v>1659</v>
      </c>
      <c r="C259" s="121" t="s">
        <v>30</v>
      </c>
      <c r="G259" s="149"/>
      <c r="H259" s="150"/>
      <c r="I259" s="151"/>
    </row>
    <row r="260" spans="1:9" hidden="1" x14ac:dyDescent="0.25">
      <c r="A260" s="82" t="s">
        <v>1868</v>
      </c>
      <c r="B260" s="120" t="s">
        <v>1659</v>
      </c>
      <c r="C260" s="120" t="s">
        <v>30</v>
      </c>
      <c r="G260" s="149"/>
      <c r="H260" s="150"/>
      <c r="I260" s="151"/>
    </row>
    <row r="261" spans="1:9" hidden="1" x14ac:dyDescent="0.25">
      <c r="A261" s="83" t="s">
        <v>1869</v>
      </c>
      <c r="B261" s="121" t="s">
        <v>1659</v>
      </c>
      <c r="C261" s="121" t="s">
        <v>30</v>
      </c>
      <c r="G261" s="149"/>
      <c r="H261" s="150"/>
      <c r="I261" s="151"/>
    </row>
    <row r="262" spans="1:9" hidden="1" x14ac:dyDescent="0.25">
      <c r="A262" s="82" t="s">
        <v>1870</v>
      </c>
      <c r="B262" s="120" t="s">
        <v>1659</v>
      </c>
      <c r="C262" s="120" t="s">
        <v>30</v>
      </c>
      <c r="G262" s="149"/>
      <c r="H262" s="150"/>
      <c r="I262" s="151"/>
    </row>
    <row r="263" spans="1:9" hidden="1" x14ac:dyDescent="0.25">
      <c r="A263" s="83" t="s">
        <v>1871</v>
      </c>
      <c r="B263" s="121" t="s">
        <v>1659</v>
      </c>
      <c r="C263" s="121" t="s">
        <v>30</v>
      </c>
      <c r="G263" s="149"/>
      <c r="H263" s="150"/>
      <c r="I263" s="151"/>
    </row>
    <row r="264" spans="1:9" hidden="1" x14ac:dyDescent="0.25">
      <c r="A264" s="82" t="s">
        <v>1872</v>
      </c>
      <c r="B264" s="120" t="s">
        <v>1659</v>
      </c>
      <c r="C264" s="120" t="s">
        <v>30</v>
      </c>
      <c r="G264" s="149"/>
      <c r="H264" s="150"/>
      <c r="I264" s="151"/>
    </row>
    <row r="265" spans="1:9" hidden="1" x14ac:dyDescent="0.25">
      <c r="A265" s="83" t="s">
        <v>1873</v>
      </c>
      <c r="B265" s="121" t="s">
        <v>1659</v>
      </c>
      <c r="C265" s="121" t="s">
        <v>30</v>
      </c>
      <c r="G265" s="149"/>
      <c r="H265" s="150"/>
      <c r="I265" s="151"/>
    </row>
    <row r="266" spans="1:9" hidden="1" x14ac:dyDescent="0.25">
      <c r="A266" s="82" t="s">
        <v>1874</v>
      </c>
      <c r="B266" s="120" t="s">
        <v>1659</v>
      </c>
      <c r="C266" s="120" t="s">
        <v>30</v>
      </c>
      <c r="G266" s="149"/>
      <c r="H266" s="150"/>
      <c r="I266" s="151"/>
    </row>
    <row r="267" spans="1:9" hidden="1" x14ac:dyDescent="0.25">
      <c r="A267" s="83" t="s">
        <v>692</v>
      </c>
      <c r="B267" s="121" t="s">
        <v>1659</v>
      </c>
      <c r="C267" s="121" t="s">
        <v>30</v>
      </c>
      <c r="G267" s="149"/>
      <c r="H267" s="150"/>
      <c r="I267" s="151"/>
    </row>
    <row r="268" spans="1:9" hidden="1" x14ac:dyDescent="0.25">
      <c r="A268" s="82" t="s">
        <v>1875</v>
      </c>
      <c r="B268" s="120" t="s">
        <v>1659</v>
      </c>
      <c r="C268" s="120" t="s">
        <v>30</v>
      </c>
      <c r="G268" s="149"/>
      <c r="H268" s="150"/>
      <c r="I268" s="151"/>
    </row>
    <row r="269" spans="1:9" hidden="1" x14ac:dyDescent="0.25">
      <c r="A269" s="83" t="s">
        <v>1876</v>
      </c>
      <c r="B269" s="121" t="s">
        <v>1659</v>
      </c>
      <c r="C269" s="121" t="s">
        <v>30</v>
      </c>
      <c r="G269" s="149"/>
      <c r="H269" s="150"/>
      <c r="I269" s="151"/>
    </row>
    <row r="270" spans="1:9" hidden="1" x14ac:dyDescent="0.25">
      <c r="A270" s="82" t="s">
        <v>1877</v>
      </c>
      <c r="B270" s="120" t="s">
        <v>1659</v>
      </c>
      <c r="C270" s="120" t="s">
        <v>30</v>
      </c>
      <c r="G270" s="149"/>
      <c r="H270" s="150"/>
      <c r="I270" s="151"/>
    </row>
    <row r="271" spans="1:9" hidden="1" x14ac:dyDescent="0.25">
      <c r="A271" s="83" t="s">
        <v>1878</v>
      </c>
      <c r="B271" s="121" t="s">
        <v>1659</v>
      </c>
      <c r="C271" s="121" t="s">
        <v>30</v>
      </c>
      <c r="G271" s="149"/>
      <c r="H271" s="150"/>
      <c r="I271" s="151"/>
    </row>
    <row r="272" spans="1:9" hidden="1" x14ac:dyDescent="0.25">
      <c r="A272" s="82" t="s">
        <v>1879</v>
      </c>
      <c r="B272" s="120" t="s">
        <v>1659</v>
      </c>
      <c r="C272" s="120" t="s">
        <v>30</v>
      </c>
      <c r="G272" s="149"/>
      <c r="H272" s="150"/>
      <c r="I272" s="151"/>
    </row>
    <row r="273" spans="1:9" hidden="1" x14ac:dyDescent="0.25">
      <c r="A273" s="83" t="s">
        <v>694</v>
      </c>
      <c r="B273" s="121" t="s">
        <v>1659</v>
      </c>
      <c r="C273" s="121" t="s">
        <v>30</v>
      </c>
      <c r="G273" s="149"/>
      <c r="H273" s="150"/>
      <c r="I273" s="151"/>
    </row>
    <row r="274" spans="1:9" hidden="1" x14ac:dyDescent="0.25">
      <c r="A274" s="82" t="s">
        <v>1880</v>
      </c>
      <c r="B274" s="120" t="s">
        <v>1659</v>
      </c>
      <c r="C274" s="120" t="s">
        <v>30</v>
      </c>
      <c r="G274" s="149"/>
      <c r="H274" s="150"/>
      <c r="I274" s="151"/>
    </row>
    <row r="275" spans="1:9" hidden="1" x14ac:dyDescent="0.25">
      <c r="A275" s="83" t="s">
        <v>693</v>
      </c>
      <c r="B275" s="121" t="s">
        <v>1659</v>
      </c>
      <c r="C275" s="121" t="s">
        <v>30</v>
      </c>
      <c r="G275" s="152"/>
      <c r="H275" s="153"/>
      <c r="I275" s="154"/>
    </row>
    <row r="276" spans="1:9" hidden="1" x14ac:dyDescent="0.25">
      <c r="A276" s="82" t="s">
        <v>695</v>
      </c>
      <c r="B276" s="120" t="s">
        <v>1659</v>
      </c>
      <c r="C276" s="120" t="s">
        <v>30</v>
      </c>
    </row>
    <row r="277" spans="1:9" hidden="1" x14ac:dyDescent="0.25">
      <c r="A277" s="83" t="s">
        <v>1881</v>
      </c>
      <c r="B277" s="121" t="s">
        <v>1659</v>
      </c>
      <c r="C277" s="121" t="s">
        <v>30</v>
      </c>
    </row>
    <row r="278" spans="1:9" hidden="1" x14ac:dyDescent="0.25">
      <c r="A278" s="82" t="s">
        <v>1882</v>
      </c>
      <c r="B278" s="120" t="s">
        <v>1659</v>
      </c>
      <c r="C278" s="120" t="s">
        <v>30</v>
      </c>
    </row>
    <row r="279" spans="1:9" hidden="1" x14ac:dyDescent="0.25">
      <c r="A279" s="83" t="s">
        <v>1883</v>
      </c>
      <c r="B279" s="121" t="s">
        <v>1659</v>
      </c>
      <c r="C279" s="121" t="s">
        <v>30</v>
      </c>
    </row>
    <row r="280" spans="1:9" hidden="1" x14ac:dyDescent="0.25">
      <c r="A280" s="82" t="s">
        <v>318</v>
      </c>
      <c r="B280" s="120" t="s">
        <v>1659</v>
      </c>
      <c r="C280" s="120" t="s">
        <v>30</v>
      </c>
    </row>
    <row r="281" spans="1:9" hidden="1" x14ac:dyDescent="0.25">
      <c r="A281" s="83" t="s">
        <v>685</v>
      </c>
      <c r="B281" s="121" t="s">
        <v>1659</v>
      </c>
      <c r="C281" s="121" t="s">
        <v>30</v>
      </c>
    </row>
    <row r="282" spans="1:9" hidden="1" x14ac:dyDescent="0.25">
      <c r="A282" s="82" t="s">
        <v>1884</v>
      </c>
      <c r="B282" s="120" t="s">
        <v>1659</v>
      </c>
      <c r="C282" s="120" t="s">
        <v>30</v>
      </c>
    </row>
    <row r="283" spans="1:9" hidden="1" x14ac:dyDescent="0.25">
      <c r="A283" s="83" t="s">
        <v>691</v>
      </c>
      <c r="B283" s="121" t="s">
        <v>1659</v>
      </c>
      <c r="C283" s="121" t="s">
        <v>30</v>
      </c>
    </row>
    <row r="284" spans="1:9" hidden="1" x14ac:dyDescent="0.25">
      <c r="A284" s="82" t="s">
        <v>1885</v>
      </c>
      <c r="B284" s="120" t="s">
        <v>1659</v>
      </c>
      <c r="C284" s="120" t="s">
        <v>30</v>
      </c>
    </row>
    <row r="285" spans="1:9" hidden="1" x14ac:dyDescent="0.25">
      <c r="A285" s="83" t="s">
        <v>1886</v>
      </c>
      <c r="B285" s="121" t="s">
        <v>1659</v>
      </c>
      <c r="C285" s="121" t="s">
        <v>30</v>
      </c>
    </row>
    <row r="286" spans="1:9" hidden="1" x14ac:dyDescent="0.25">
      <c r="A286" s="82" t="s">
        <v>1887</v>
      </c>
      <c r="B286" s="120" t="s">
        <v>1659</v>
      </c>
      <c r="C286" s="120" t="s">
        <v>30</v>
      </c>
    </row>
    <row r="287" spans="1:9" hidden="1" x14ac:dyDescent="0.25">
      <c r="A287" s="83" t="s">
        <v>1888</v>
      </c>
      <c r="B287" s="121" t="s">
        <v>1659</v>
      </c>
      <c r="C287" s="121" t="s">
        <v>30</v>
      </c>
    </row>
    <row r="288" spans="1:9" hidden="1" x14ac:dyDescent="0.25">
      <c r="A288" s="82" t="s">
        <v>1889</v>
      </c>
      <c r="B288" s="120" t="s">
        <v>1659</v>
      </c>
      <c r="C288" s="120" t="s">
        <v>30</v>
      </c>
    </row>
    <row r="289" spans="1:3" hidden="1" x14ac:dyDescent="0.25">
      <c r="A289" s="83" t="s">
        <v>1890</v>
      </c>
      <c r="B289" s="121" t="s">
        <v>1659</v>
      </c>
      <c r="C289" s="121" t="s">
        <v>30</v>
      </c>
    </row>
    <row r="290" spans="1:3" hidden="1" x14ac:dyDescent="0.25">
      <c r="A290" s="82" t="s">
        <v>1891</v>
      </c>
      <c r="B290" s="120" t="s">
        <v>1659</v>
      </c>
      <c r="C290" s="120" t="s">
        <v>30</v>
      </c>
    </row>
    <row r="291" spans="1:3" hidden="1" x14ac:dyDescent="0.25">
      <c r="A291" s="83" t="s">
        <v>1892</v>
      </c>
      <c r="B291" s="121" t="s">
        <v>1659</v>
      </c>
      <c r="C291" s="121" t="s">
        <v>30</v>
      </c>
    </row>
    <row r="292" spans="1:3" hidden="1" x14ac:dyDescent="0.25">
      <c r="A292" s="82" t="s">
        <v>1893</v>
      </c>
      <c r="B292" s="120" t="s">
        <v>1659</v>
      </c>
      <c r="C292" s="120" t="s">
        <v>30</v>
      </c>
    </row>
    <row r="293" spans="1:3" hidden="1" x14ac:dyDescent="0.25">
      <c r="A293" s="83" t="s">
        <v>1894</v>
      </c>
      <c r="B293" s="121" t="s">
        <v>1659</v>
      </c>
      <c r="C293" s="121" t="s">
        <v>30</v>
      </c>
    </row>
    <row r="294" spans="1:3" hidden="1" x14ac:dyDescent="0.25">
      <c r="A294" s="82" t="s">
        <v>1895</v>
      </c>
      <c r="B294" s="120" t="s">
        <v>1659</v>
      </c>
      <c r="C294" s="120" t="s">
        <v>30</v>
      </c>
    </row>
    <row r="295" spans="1:3" hidden="1" x14ac:dyDescent="0.25">
      <c r="A295" s="83" t="s">
        <v>1896</v>
      </c>
      <c r="B295" s="121" t="s">
        <v>1659</v>
      </c>
      <c r="C295" s="121" t="s">
        <v>30</v>
      </c>
    </row>
    <row r="296" spans="1:3" hidden="1" x14ac:dyDescent="0.25">
      <c r="A296" s="82" t="s">
        <v>690</v>
      </c>
      <c r="B296" s="120" t="s">
        <v>1659</v>
      </c>
      <c r="C296" s="120" t="s">
        <v>30</v>
      </c>
    </row>
    <row r="297" spans="1:3" hidden="1" x14ac:dyDescent="0.25">
      <c r="A297" s="83" t="s">
        <v>1897</v>
      </c>
      <c r="B297" s="121" t="s">
        <v>1659</v>
      </c>
      <c r="C297" s="121" t="s">
        <v>30</v>
      </c>
    </row>
    <row r="298" spans="1:3" hidden="1" x14ac:dyDescent="0.25">
      <c r="A298" s="82" t="s">
        <v>1898</v>
      </c>
      <c r="B298" s="120" t="s">
        <v>1659</v>
      </c>
      <c r="C298" s="120" t="s">
        <v>30</v>
      </c>
    </row>
    <row r="299" spans="1:3" hidden="1" x14ac:dyDescent="0.25">
      <c r="A299" s="83" t="s">
        <v>1899</v>
      </c>
      <c r="B299" s="121" t="s">
        <v>1659</v>
      </c>
      <c r="C299" s="121" t="s">
        <v>30</v>
      </c>
    </row>
    <row r="300" spans="1:3" hidden="1" x14ac:dyDescent="0.25">
      <c r="A300" s="82" t="s">
        <v>689</v>
      </c>
      <c r="B300" s="120" t="s">
        <v>1659</v>
      </c>
      <c r="C300" s="120" t="s">
        <v>30</v>
      </c>
    </row>
    <row r="301" spans="1:3" hidden="1" x14ac:dyDescent="0.25">
      <c r="A301" s="83" t="s">
        <v>1900</v>
      </c>
      <c r="B301" s="121" t="s">
        <v>1659</v>
      </c>
      <c r="C301" s="121" t="s">
        <v>30</v>
      </c>
    </row>
    <row r="302" spans="1:3" hidden="1" x14ac:dyDescent="0.25">
      <c r="A302" s="82" t="s">
        <v>683</v>
      </c>
      <c r="B302" s="120" t="s">
        <v>1659</v>
      </c>
      <c r="C302" s="120" t="s">
        <v>30</v>
      </c>
    </row>
    <row r="303" spans="1:3" hidden="1" x14ac:dyDescent="0.25">
      <c r="A303" s="83" t="s">
        <v>1901</v>
      </c>
      <c r="B303" s="121" t="s">
        <v>1659</v>
      </c>
      <c r="C303" s="121" t="s">
        <v>30</v>
      </c>
    </row>
    <row r="304" spans="1:3" hidden="1" x14ac:dyDescent="0.25">
      <c r="A304" s="82" t="s">
        <v>1902</v>
      </c>
      <c r="B304" s="120" t="s">
        <v>1659</v>
      </c>
      <c r="C304" s="120" t="s">
        <v>30</v>
      </c>
    </row>
    <row r="305" spans="1:5" x14ac:dyDescent="0.25">
      <c r="A305" s="83" t="s">
        <v>1903</v>
      </c>
      <c r="B305" s="121" t="s">
        <v>1665</v>
      </c>
      <c r="C305" s="121" t="s">
        <v>30</v>
      </c>
      <c r="D305" s="159" t="s">
        <v>55</v>
      </c>
      <c r="E305" t="s">
        <v>56</v>
      </c>
    </row>
    <row r="306" spans="1:5" hidden="1" x14ac:dyDescent="0.25">
      <c r="A306" s="82" t="s">
        <v>1904</v>
      </c>
      <c r="B306" s="120" t="s">
        <v>1659</v>
      </c>
      <c r="C306" s="120" t="s">
        <v>30</v>
      </c>
    </row>
    <row r="307" spans="1:5" hidden="1" x14ac:dyDescent="0.25">
      <c r="A307" s="83" t="s">
        <v>1905</v>
      </c>
      <c r="B307" s="121" t="s">
        <v>1659</v>
      </c>
      <c r="C307" s="121" t="s">
        <v>30</v>
      </c>
    </row>
    <row r="308" spans="1:5" x14ac:dyDescent="0.25">
      <c r="A308" s="82" t="s">
        <v>1906</v>
      </c>
      <c r="B308" s="120" t="s">
        <v>1665</v>
      </c>
      <c r="C308" s="120" t="s">
        <v>30</v>
      </c>
      <c r="D308" s="159" t="s">
        <v>55</v>
      </c>
      <c r="E308" t="s">
        <v>56</v>
      </c>
    </row>
    <row r="309" spans="1:5" hidden="1" x14ac:dyDescent="0.25">
      <c r="A309" s="83" t="s">
        <v>1907</v>
      </c>
      <c r="B309" s="121" t="s">
        <v>1659</v>
      </c>
      <c r="C309" s="121" t="s">
        <v>30</v>
      </c>
    </row>
    <row r="310" spans="1:5" hidden="1" x14ac:dyDescent="0.25">
      <c r="A310" s="82" t="s">
        <v>1908</v>
      </c>
      <c r="B310" s="120" t="s">
        <v>1659</v>
      </c>
      <c r="C310" s="120" t="s">
        <v>30</v>
      </c>
    </row>
    <row r="311" spans="1:5" hidden="1" x14ac:dyDescent="0.25">
      <c r="A311" s="83" t="s">
        <v>1909</v>
      </c>
      <c r="B311" s="121" t="s">
        <v>1659</v>
      </c>
      <c r="C311" s="121" t="s">
        <v>30</v>
      </c>
    </row>
    <row r="312" spans="1:5" hidden="1" x14ac:dyDescent="0.25">
      <c r="A312" s="82" t="s">
        <v>1910</v>
      </c>
      <c r="B312" s="120" t="s">
        <v>1659</v>
      </c>
      <c r="C312" s="120" t="s">
        <v>30</v>
      </c>
    </row>
    <row r="313" spans="1:5" hidden="1" x14ac:dyDescent="0.25">
      <c r="A313" s="83" t="s">
        <v>1911</v>
      </c>
      <c r="B313" s="121" t="s">
        <v>1659</v>
      </c>
      <c r="C313" s="121" t="s">
        <v>30</v>
      </c>
    </row>
    <row r="314" spans="1:5" hidden="1" x14ac:dyDescent="0.25">
      <c r="A314" s="82" t="s">
        <v>1912</v>
      </c>
      <c r="B314" s="120" t="s">
        <v>1659</v>
      </c>
      <c r="C314" s="120" t="s">
        <v>30</v>
      </c>
    </row>
    <row r="315" spans="1:5" hidden="1" x14ac:dyDescent="0.25">
      <c r="A315" s="83" t="s">
        <v>1913</v>
      </c>
      <c r="B315" s="121" t="s">
        <v>1659</v>
      </c>
      <c r="C315" s="121" t="s">
        <v>30</v>
      </c>
    </row>
    <row r="316" spans="1:5" hidden="1" x14ac:dyDescent="0.25">
      <c r="A316" s="82" t="s">
        <v>1914</v>
      </c>
      <c r="B316" s="120" t="s">
        <v>1659</v>
      </c>
      <c r="C316" s="120" t="s">
        <v>30</v>
      </c>
    </row>
    <row r="317" spans="1:5" x14ac:dyDescent="0.25">
      <c r="A317" s="83" t="s">
        <v>1915</v>
      </c>
      <c r="B317" s="121" t="s">
        <v>1665</v>
      </c>
      <c r="C317" s="121" t="s">
        <v>30</v>
      </c>
      <c r="D317" s="159" t="s">
        <v>55</v>
      </c>
      <c r="E317" t="s">
        <v>56</v>
      </c>
    </row>
    <row r="318" spans="1:5" hidden="1" x14ac:dyDescent="0.25">
      <c r="A318" s="82" t="s">
        <v>1916</v>
      </c>
      <c r="B318" s="120" t="s">
        <v>1659</v>
      </c>
      <c r="C318" s="120" t="s">
        <v>30</v>
      </c>
    </row>
    <row r="319" spans="1:5" hidden="1" x14ac:dyDescent="0.25">
      <c r="A319" s="83" t="s">
        <v>1917</v>
      </c>
      <c r="B319" s="121" t="s">
        <v>1659</v>
      </c>
      <c r="C319" s="121" t="s">
        <v>30</v>
      </c>
    </row>
    <row r="320" spans="1:5" hidden="1" x14ac:dyDescent="0.25">
      <c r="A320" s="82" t="s">
        <v>699</v>
      </c>
      <c r="B320" s="120" t="s">
        <v>1659</v>
      </c>
      <c r="C320" s="120" t="s">
        <v>30</v>
      </c>
    </row>
    <row r="321" spans="1:3" hidden="1" x14ac:dyDescent="0.25">
      <c r="A321" s="83" t="s">
        <v>1918</v>
      </c>
      <c r="B321" s="121" t="s">
        <v>1659</v>
      </c>
      <c r="C321" s="121" t="s">
        <v>30</v>
      </c>
    </row>
    <row r="322" spans="1:3" hidden="1" x14ac:dyDescent="0.25">
      <c r="A322" s="82" t="s">
        <v>1919</v>
      </c>
      <c r="B322" s="120" t="s">
        <v>1659</v>
      </c>
      <c r="C322" s="120" t="s">
        <v>30</v>
      </c>
    </row>
    <row r="323" spans="1:3" hidden="1" x14ac:dyDescent="0.25">
      <c r="A323" s="83" t="s">
        <v>1920</v>
      </c>
      <c r="B323" s="121" t="s">
        <v>1659</v>
      </c>
      <c r="C323" s="121" t="s">
        <v>30</v>
      </c>
    </row>
    <row r="324" spans="1:3" hidden="1" x14ac:dyDescent="0.25">
      <c r="A324" s="82" t="s">
        <v>1921</v>
      </c>
      <c r="B324" s="120" t="s">
        <v>1659</v>
      </c>
      <c r="C324" s="120" t="s">
        <v>30</v>
      </c>
    </row>
    <row r="325" spans="1:3" hidden="1" x14ac:dyDescent="0.25">
      <c r="A325" s="83" t="s">
        <v>1922</v>
      </c>
      <c r="B325" s="121" t="s">
        <v>1659</v>
      </c>
      <c r="C325" s="121" t="s">
        <v>30</v>
      </c>
    </row>
    <row r="326" spans="1:3" hidden="1" x14ac:dyDescent="0.25">
      <c r="A326" s="82" t="s">
        <v>1923</v>
      </c>
      <c r="B326" s="120" t="s">
        <v>1659</v>
      </c>
      <c r="C326" s="120" t="s">
        <v>30</v>
      </c>
    </row>
    <row r="327" spans="1:3" hidden="1" x14ac:dyDescent="0.25">
      <c r="A327" s="83" t="s">
        <v>1924</v>
      </c>
      <c r="B327" s="121" t="s">
        <v>1659</v>
      </c>
      <c r="C327" s="121" t="s">
        <v>30</v>
      </c>
    </row>
    <row r="328" spans="1:3" hidden="1" x14ac:dyDescent="0.25">
      <c r="A328" s="82" t="s">
        <v>1925</v>
      </c>
      <c r="B328" s="120" t="s">
        <v>1659</v>
      </c>
      <c r="C328" s="120" t="s">
        <v>30</v>
      </c>
    </row>
    <row r="329" spans="1:3" hidden="1" x14ac:dyDescent="0.25">
      <c r="A329" s="83" t="s">
        <v>1926</v>
      </c>
      <c r="B329" s="121" t="s">
        <v>1659</v>
      </c>
      <c r="C329" s="121" t="s">
        <v>30</v>
      </c>
    </row>
    <row r="330" spans="1:3" hidden="1" x14ac:dyDescent="0.25">
      <c r="A330" s="82" t="s">
        <v>1927</v>
      </c>
      <c r="B330" s="120" t="s">
        <v>1659</v>
      </c>
      <c r="C330" s="120" t="s">
        <v>30</v>
      </c>
    </row>
    <row r="331" spans="1:3" hidden="1" x14ac:dyDescent="0.25">
      <c r="A331" s="83" t="s">
        <v>1928</v>
      </c>
      <c r="B331" s="121" t="s">
        <v>1659</v>
      </c>
      <c r="C331" s="121" t="s">
        <v>30</v>
      </c>
    </row>
    <row r="332" spans="1:3" hidden="1" x14ac:dyDescent="0.25">
      <c r="A332" s="82" t="s">
        <v>1929</v>
      </c>
      <c r="B332" s="120" t="s">
        <v>1659</v>
      </c>
      <c r="C332" s="120" t="s">
        <v>30</v>
      </c>
    </row>
    <row r="333" spans="1:3" hidden="1" x14ac:dyDescent="0.25">
      <c r="A333" s="83" t="s">
        <v>1930</v>
      </c>
      <c r="B333" s="121" t="s">
        <v>1659</v>
      </c>
      <c r="C333" s="121" t="s">
        <v>30</v>
      </c>
    </row>
    <row r="334" spans="1:3" hidden="1" x14ac:dyDescent="0.25">
      <c r="A334" s="82" t="s">
        <v>701</v>
      </c>
      <c r="B334" s="120" t="s">
        <v>1659</v>
      </c>
      <c r="C334" s="120" t="s">
        <v>30</v>
      </c>
    </row>
    <row r="335" spans="1:3" hidden="1" x14ac:dyDescent="0.25">
      <c r="A335" s="83" t="s">
        <v>1931</v>
      </c>
      <c r="B335" s="121" t="s">
        <v>1659</v>
      </c>
      <c r="C335" s="121" t="s">
        <v>30</v>
      </c>
    </row>
    <row r="336" spans="1:3" hidden="1" x14ac:dyDescent="0.25">
      <c r="A336" s="82" t="s">
        <v>1932</v>
      </c>
      <c r="B336" s="120" t="s">
        <v>1659</v>
      </c>
      <c r="C336" s="120" t="s">
        <v>30</v>
      </c>
    </row>
    <row r="337" spans="1:5" hidden="1" x14ac:dyDescent="0.25">
      <c r="A337" s="83" t="s">
        <v>702</v>
      </c>
      <c r="B337" s="121" t="s">
        <v>1659</v>
      </c>
      <c r="C337" s="121" t="s">
        <v>30</v>
      </c>
    </row>
    <row r="338" spans="1:5" hidden="1" x14ac:dyDescent="0.25">
      <c r="A338" s="82" t="s">
        <v>1933</v>
      </c>
      <c r="B338" s="120" t="s">
        <v>1659</v>
      </c>
      <c r="C338" s="120" t="s">
        <v>30</v>
      </c>
    </row>
    <row r="339" spans="1:5" hidden="1" x14ac:dyDescent="0.25">
      <c r="A339" s="83" t="s">
        <v>1934</v>
      </c>
      <c r="B339" s="121" t="s">
        <v>1659</v>
      </c>
      <c r="C339" s="121" t="s">
        <v>30</v>
      </c>
    </row>
    <row r="340" spans="1:5" hidden="1" x14ac:dyDescent="0.25">
      <c r="A340" s="82" t="s">
        <v>698</v>
      </c>
      <c r="B340" s="120" t="s">
        <v>1659</v>
      </c>
      <c r="C340" s="120" t="s">
        <v>30</v>
      </c>
    </row>
    <row r="341" spans="1:5" hidden="1" x14ac:dyDescent="0.25">
      <c r="A341" s="83" t="s">
        <v>1935</v>
      </c>
      <c r="B341" s="121" t="s">
        <v>1659</v>
      </c>
      <c r="C341" s="121" t="s">
        <v>30</v>
      </c>
    </row>
    <row r="342" spans="1:5" hidden="1" x14ac:dyDescent="0.25">
      <c r="A342" s="82" t="s">
        <v>1936</v>
      </c>
      <c r="B342" s="120" t="s">
        <v>1659</v>
      </c>
      <c r="C342" s="120" t="s">
        <v>30</v>
      </c>
    </row>
    <row r="343" spans="1:5" hidden="1" x14ac:dyDescent="0.25">
      <c r="A343" s="83" t="s">
        <v>1937</v>
      </c>
      <c r="B343" s="121" t="s">
        <v>1659</v>
      </c>
      <c r="C343" s="121" t="s">
        <v>30</v>
      </c>
    </row>
    <row r="344" spans="1:5" hidden="1" x14ac:dyDescent="0.25">
      <c r="A344" s="82" t="s">
        <v>1938</v>
      </c>
      <c r="B344" s="120" t="s">
        <v>1659</v>
      </c>
      <c r="C344" s="120" t="s">
        <v>30</v>
      </c>
    </row>
    <row r="345" spans="1:5" hidden="1" x14ac:dyDescent="0.25">
      <c r="A345" s="83" t="s">
        <v>1939</v>
      </c>
      <c r="B345" s="121" t="s">
        <v>1659</v>
      </c>
      <c r="C345" s="121" t="s">
        <v>30</v>
      </c>
    </row>
    <row r="346" spans="1:5" hidden="1" x14ac:dyDescent="0.25">
      <c r="A346" s="82" t="s">
        <v>1940</v>
      </c>
      <c r="B346" s="120" t="s">
        <v>1659</v>
      </c>
      <c r="C346" s="120" t="s">
        <v>30</v>
      </c>
    </row>
    <row r="347" spans="1:5" hidden="1" x14ac:dyDescent="0.25">
      <c r="A347" s="83" t="s">
        <v>1941</v>
      </c>
      <c r="B347" s="121" t="s">
        <v>1659</v>
      </c>
      <c r="C347" s="121" t="s">
        <v>30</v>
      </c>
    </row>
    <row r="348" spans="1:5" hidden="1" x14ac:dyDescent="0.25">
      <c r="A348" s="82" t="s">
        <v>1942</v>
      </c>
      <c r="B348" s="120" t="s">
        <v>1659</v>
      </c>
      <c r="C348" s="120" t="s">
        <v>30</v>
      </c>
    </row>
    <row r="349" spans="1:5" hidden="1" x14ac:dyDescent="0.25">
      <c r="A349" s="83" t="s">
        <v>1943</v>
      </c>
      <c r="B349" s="121" t="s">
        <v>1659</v>
      </c>
      <c r="C349" s="121" t="s">
        <v>30</v>
      </c>
    </row>
    <row r="350" spans="1:5" hidden="1" x14ac:dyDescent="0.25">
      <c r="A350" s="82" t="s">
        <v>1944</v>
      </c>
      <c r="B350" s="120" t="s">
        <v>1659</v>
      </c>
      <c r="C350" s="120" t="s">
        <v>30</v>
      </c>
    </row>
    <row r="351" spans="1:5" x14ac:dyDescent="0.25">
      <c r="A351" s="83" t="s">
        <v>1945</v>
      </c>
      <c r="B351" s="121" t="s">
        <v>1665</v>
      </c>
      <c r="C351" s="121" t="s">
        <v>30</v>
      </c>
      <c r="D351" s="159" t="s">
        <v>55</v>
      </c>
      <c r="E351" t="s">
        <v>56</v>
      </c>
    </row>
    <row r="352" spans="1:5" hidden="1" x14ac:dyDescent="0.25">
      <c r="A352" s="82" t="s">
        <v>1946</v>
      </c>
      <c r="B352" s="120" t="s">
        <v>1659</v>
      </c>
      <c r="C352" s="120" t="s">
        <v>30</v>
      </c>
    </row>
    <row r="353" spans="1:3" hidden="1" x14ac:dyDescent="0.25">
      <c r="A353" s="83" t="s">
        <v>1947</v>
      </c>
      <c r="B353" s="121" t="s">
        <v>1659</v>
      </c>
      <c r="C353" s="121" t="s">
        <v>30</v>
      </c>
    </row>
    <row r="354" spans="1:3" hidden="1" x14ac:dyDescent="0.25">
      <c r="A354" s="82" t="s">
        <v>1948</v>
      </c>
      <c r="B354" s="120" t="s">
        <v>1659</v>
      </c>
      <c r="C354" s="120" t="s">
        <v>30</v>
      </c>
    </row>
    <row r="355" spans="1:3" hidden="1" x14ac:dyDescent="0.25">
      <c r="A355" s="83" t="s">
        <v>1949</v>
      </c>
      <c r="B355" s="121" t="s">
        <v>1659</v>
      </c>
      <c r="C355" s="121" t="s">
        <v>30</v>
      </c>
    </row>
    <row r="356" spans="1:3" hidden="1" x14ac:dyDescent="0.25">
      <c r="A356" s="82" t="s">
        <v>1950</v>
      </c>
      <c r="B356" s="120" t="s">
        <v>1659</v>
      </c>
      <c r="C356" s="120" t="s">
        <v>30</v>
      </c>
    </row>
    <row r="357" spans="1:3" hidden="1" x14ac:dyDescent="0.25">
      <c r="A357" s="83" t="s">
        <v>1951</v>
      </c>
      <c r="B357" s="121" t="s">
        <v>1659</v>
      </c>
      <c r="C357" s="121" t="s">
        <v>30</v>
      </c>
    </row>
    <row r="358" spans="1:3" hidden="1" x14ac:dyDescent="0.25">
      <c r="A358" s="82" t="s">
        <v>1952</v>
      </c>
      <c r="B358" s="120" t="s">
        <v>1659</v>
      </c>
      <c r="C358" s="120" t="s">
        <v>30</v>
      </c>
    </row>
    <row r="359" spans="1:3" hidden="1" x14ac:dyDescent="0.25">
      <c r="A359" s="83" t="s">
        <v>1953</v>
      </c>
      <c r="B359" s="121" t="s">
        <v>1659</v>
      </c>
      <c r="C359" s="121" t="s">
        <v>30</v>
      </c>
    </row>
    <row r="360" spans="1:3" hidden="1" x14ac:dyDescent="0.25">
      <c r="A360" s="82" t="s">
        <v>1954</v>
      </c>
      <c r="B360" s="120" t="s">
        <v>1659</v>
      </c>
      <c r="C360" s="120" t="s">
        <v>30</v>
      </c>
    </row>
    <row r="361" spans="1:3" hidden="1" x14ac:dyDescent="0.25">
      <c r="A361" s="83" t="s">
        <v>1955</v>
      </c>
      <c r="B361" s="121" t="s">
        <v>1659</v>
      </c>
      <c r="C361" s="121" t="s">
        <v>30</v>
      </c>
    </row>
    <row r="362" spans="1:3" hidden="1" x14ac:dyDescent="0.25">
      <c r="A362" s="82" t="s">
        <v>697</v>
      </c>
      <c r="B362" s="120" t="s">
        <v>1659</v>
      </c>
      <c r="C362" s="120" t="s">
        <v>30</v>
      </c>
    </row>
    <row r="363" spans="1:3" hidden="1" x14ac:dyDescent="0.25">
      <c r="A363" s="83" t="s">
        <v>1956</v>
      </c>
      <c r="B363" s="121" t="s">
        <v>1659</v>
      </c>
      <c r="C363" s="121" t="s">
        <v>30</v>
      </c>
    </row>
    <row r="364" spans="1:3" hidden="1" x14ac:dyDescent="0.25">
      <c r="A364" s="82" t="s">
        <v>687</v>
      </c>
      <c r="B364" s="120" t="s">
        <v>1659</v>
      </c>
      <c r="C364" s="120" t="s">
        <v>30</v>
      </c>
    </row>
    <row r="365" spans="1:3" hidden="1" x14ac:dyDescent="0.25">
      <c r="A365" s="83" t="s">
        <v>1957</v>
      </c>
      <c r="B365" s="121" t="s">
        <v>1659</v>
      </c>
      <c r="C365" s="121" t="s">
        <v>30</v>
      </c>
    </row>
    <row r="366" spans="1:3" hidden="1" x14ac:dyDescent="0.25">
      <c r="A366" s="82" t="s">
        <v>686</v>
      </c>
      <c r="B366" s="120" t="s">
        <v>1659</v>
      </c>
      <c r="C366" s="120" t="s">
        <v>30</v>
      </c>
    </row>
    <row r="367" spans="1:3" hidden="1" x14ac:dyDescent="0.25">
      <c r="A367" s="83" t="s">
        <v>684</v>
      </c>
      <c r="B367" s="121" t="s">
        <v>1659</v>
      </c>
      <c r="C367" s="121" t="s">
        <v>30</v>
      </c>
    </row>
    <row r="368" spans="1:3" hidden="1" x14ac:dyDescent="0.25">
      <c r="A368" s="82" t="s">
        <v>688</v>
      </c>
      <c r="B368" s="120" t="s">
        <v>1659</v>
      </c>
      <c r="C368" s="120" t="s">
        <v>30</v>
      </c>
    </row>
    <row r="369" spans="1:10" hidden="1" x14ac:dyDescent="0.25">
      <c r="A369" s="83" t="s">
        <v>696</v>
      </c>
      <c r="B369" s="121" t="s">
        <v>1659</v>
      </c>
      <c r="C369" s="121" t="s">
        <v>30</v>
      </c>
    </row>
    <row r="370" spans="1:10" hidden="1" x14ac:dyDescent="0.25">
      <c r="A370" s="82" t="s">
        <v>1958</v>
      </c>
      <c r="B370" s="120" t="s">
        <v>1659</v>
      </c>
      <c r="C370" s="120" t="s">
        <v>30</v>
      </c>
    </row>
    <row r="371" spans="1:10" ht="15" hidden="1" customHeight="1" x14ac:dyDescent="0.25">
      <c r="A371" s="83" t="s">
        <v>1959</v>
      </c>
      <c r="B371" s="121" t="s">
        <v>1659</v>
      </c>
      <c r="C371" s="121" t="s">
        <v>30</v>
      </c>
    </row>
    <row r="372" spans="1:10" ht="15" hidden="1" customHeight="1" x14ac:dyDescent="0.25">
      <c r="A372" s="82" t="s">
        <v>1960</v>
      </c>
      <c r="B372" s="120" t="s">
        <v>1659</v>
      </c>
      <c r="C372" s="120" t="s">
        <v>30</v>
      </c>
    </row>
    <row r="373" spans="1:10" ht="15" hidden="1" customHeight="1" x14ac:dyDescent="0.25">
      <c r="A373" s="83" t="s">
        <v>1961</v>
      </c>
      <c r="B373" s="121" t="s">
        <v>1659</v>
      </c>
      <c r="C373" s="121" t="s">
        <v>30</v>
      </c>
    </row>
    <row r="374" spans="1:10" ht="15" hidden="1" customHeight="1" x14ac:dyDescent="0.25">
      <c r="A374" s="82" t="s">
        <v>681</v>
      </c>
      <c r="B374" s="120" t="s">
        <v>1659</v>
      </c>
      <c r="C374" s="120" t="s">
        <v>30</v>
      </c>
    </row>
    <row r="375" spans="1:10" ht="15" hidden="1" customHeight="1" x14ac:dyDescent="0.25">
      <c r="A375" s="83" t="s">
        <v>682</v>
      </c>
      <c r="B375" s="121" t="s">
        <v>1659</v>
      </c>
      <c r="C375" s="121" t="s">
        <v>30</v>
      </c>
    </row>
    <row r="376" spans="1:10" ht="15" hidden="1" customHeight="1" x14ac:dyDescent="0.25">
      <c r="A376" s="82" t="s">
        <v>1962</v>
      </c>
      <c r="B376" s="120" t="s">
        <v>1659</v>
      </c>
      <c r="C376" s="120" t="s">
        <v>30</v>
      </c>
    </row>
    <row r="377" spans="1:10" ht="15" customHeight="1" x14ac:dyDescent="0.25">
      <c r="J377" s="161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B59B6"/>
  </sheetPr>
  <dimension ref="A1:I1154"/>
  <sheetViews>
    <sheetView tabSelected="1" zoomScaleNormal="100" workbookViewId="0">
      <pane ySplit="8" topLeftCell="A91" activePane="bottomLeft" state="frozen"/>
      <selection pane="bottomLeft" activeCell="I11" sqref="I11"/>
    </sheetView>
  </sheetViews>
  <sheetFormatPr defaultColWidth="8.7109375" defaultRowHeight="15" customHeight="1" x14ac:dyDescent="0.25"/>
  <cols>
    <col min="1" max="1" width="18" customWidth="1"/>
    <col min="2" max="2" width="15.5703125" customWidth="1"/>
    <col min="3" max="3" width="14" customWidth="1"/>
    <col min="4" max="4" width="27.42578125" customWidth="1"/>
    <col min="5" max="5" width="14" customWidth="1"/>
    <col min="6" max="6" width="22" customWidth="1"/>
    <col min="7" max="7" width="20.5703125" bestFit="1" customWidth="1"/>
    <col min="8" max="8" width="24" customWidth="1"/>
    <col min="9" max="9" width="20.85546875" customWidth="1"/>
    <col min="10" max="10" width="8.7109375" customWidth="1"/>
  </cols>
  <sheetData>
    <row r="1" spans="1:9" ht="31.5" customHeight="1" thickBot="1" x14ac:dyDescent="0.45">
      <c r="A1" s="195" t="s">
        <v>1963</v>
      </c>
      <c r="B1" s="195"/>
      <c r="C1" s="195"/>
      <c r="D1" s="195"/>
      <c r="E1" s="195"/>
      <c r="F1" s="195"/>
      <c r="G1" s="195"/>
      <c r="H1" s="195"/>
      <c r="I1" s="36"/>
    </row>
    <row r="2" spans="1:9" ht="15" customHeight="1" x14ac:dyDescent="0.25">
      <c r="A2" s="18"/>
      <c r="B2" s="18"/>
      <c r="C2" s="18"/>
      <c r="D2" s="18"/>
      <c r="E2" s="18"/>
      <c r="F2" s="18"/>
      <c r="G2" s="18"/>
      <c r="H2" s="18"/>
      <c r="I2" s="36"/>
    </row>
    <row r="3" spans="1:9" ht="15" customHeight="1" x14ac:dyDescent="0.25">
      <c r="A3" s="196" t="s">
        <v>1964</v>
      </c>
      <c r="B3" s="196"/>
      <c r="C3" s="196"/>
      <c r="D3" s="196"/>
      <c r="E3" s="196"/>
      <c r="F3" s="196"/>
      <c r="G3" s="196"/>
      <c r="H3" s="196"/>
      <c r="I3" s="36"/>
    </row>
    <row r="4" spans="1:9" x14ac:dyDescent="0.25">
      <c r="I4" s="36"/>
    </row>
    <row r="5" spans="1:9" ht="15" customHeight="1" x14ac:dyDescent="0.25">
      <c r="A5" s="2" t="s">
        <v>1965</v>
      </c>
      <c r="B5" s="2" t="s">
        <v>1966</v>
      </c>
      <c r="C5" s="2" t="s">
        <v>1967</v>
      </c>
      <c r="D5" s="2" t="s">
        <v>1968</v>
      </c>
      <c r="E5" s="2" t="s">
        <v>1969</v>
      </c>
      <c r="F5" s="2" t="s">
        <v>1970</v>
      </c>
      <c r="I5" s="36"/>
    </row>
    <row r="6" spans="1:9" ht="45" customHeight="1" x14ac:dyDescent="0.4">
      <c r="A6" s="122">
        <f>ROWS(A9:A1112)</f>
        <v>1104</v>
      </c>
      <c r="B6" s="123">
        <f>COUNTIF(E9:E1112,"✓ Found")</f>
        <v>51</v>
      </c>
      <c r="C6" s="124">
        <f>COUNTIF(E9:E1112,"✗ Not Found")</f>
        <v>0</v>
      </c>
      <c r="D6" s="122">
        <f>COUNTA('Asset Detail'!A2:A1095)</f>
        <v>1094</v>
      </c>
      <c r="E6" s="19">
        <f>D6-B6</f>
        <v>1043</v>
      </c>
      <c r="F6" s="20">
        <f>IFERROR(B6/D6,0)</f>
        <v>4.6617915904936018E-2</v>
      </c>
      <c r="I6" s="36"/>
    </row>
    <row r="7" spans="1:9" ht="15" customHeight="1" x14ac:dyDescent="0.25">
      <c r="I7" s="36"/>
    </row>
    <row r="8" spans="1:9" ht="27.75" customHeight="1" x14ac:dyDescent="0.25">
      <c r="A8" s="21" t="s">
        <v>63</v>
      </c>
      <c r="B8" s="22" t="s">
        <v>1971</v>
      </c>
      <c r="C8" s="22" t="s">
        <v>1972</v>
      </c>
      <c r="D8" s="22" t="s">
        <v>1973</v>
      </c>
      <c r="E8" s="22" t="s">
        <v>1974</v>
      </c>
      <c r="F8" s="22" t="s">
        <v>1975</v>
      </c>
      <c r="G8" s="22" t="s">
        <v>1976</v>
      </c>
      <c r="H8" s="22" t="s">
        <v>1977</v>
      </c>
      <c r="I8" s="37" t="s">
        <v>1978</v>
      </c>
    </row>
    <row r="9" spans="1:9" ht="15" customHeight="1" x14ac:dyDescent="0.25">
      <c r="A9" s="23" t="str">
        <f t="shared" ref="A9:A72" si="0">SUBSTITUTE(I9, "S", "")</f>
        <v>21195523600068</v>
      </c>
      <c r="B9" s="38"/>
      <c r="C9" s="34"/>
      <c r="D9" s="180" t="s">
        <v>4</v>
      </c>
      <c r="E9" s="32" t="str">
        <f>IF(A9="","",IF(COUNTIF('Asset Detail'!A:A,A9)&gt;0,"✓ Found","✗ Not Found"))</f>
        <v>✓ Found</v>
      </c>
      <c r="F9" s="31" t="str" cm="1">
        <f t="array" ref="F9">IF(A9="","",IFERROR(INDEX('Asset Detail'!C:C,_xlfn.XMATCH(A9,'Asset Detail'!A:A,3)),"—"))</f>
        <v>L10WA</v>
      </c>
      <c r="G9" s="32" t="str" cm="1">
        <f t="array" ref="G9">IF(A9="","",IFERROR(INDEX('Asset Detail'!E:E,_xlfn.XMATCH(A9,'Asset Detail'!A:A,3)),"—"))</f>
        <v>G</v>
      </c>
      <c r="H9" s="34"/>
      <c r="I9" s="39">
        <v>21195523600068</v>
      </c>
    </row>
    <row r="10" spans="1:9" ht="15" customHeight="1" x14ac:dyDescent="0.25">
      <c r="A10" s="23" t="str">
        <f>SUBSTITUTE(I10, "S", "")</f>
        <v>18339523080026</v>
      </c>
      <c r="B10" s="38"/>
      <c r="C10" s="34"/>
      <c r="D10" s="180" t="s">
        <v>4</v>
      </c>
      <c r="E10" s="32" t="str">
        <f>IF(A10="","",IF(COUNTIF('Asset Detail'!A:A,A10)&gt;0,"✓ Found","✗ Not Found"))</f>
        <v>✓ Found</v>
      </c>
      <c r="F10" s="31" t="str" cm="1">
        <f t="array" ref="F10">IF(A10="","",IFERROR(INDEX('Asset Detail'!C:C,_xlfn.XMATCH(A10,'Asset Detail'!A:A,3)),"—"))</f>
        <v>DS3608</v>
      </c>
      <c r="G10" s="32" t="str" cm="1">
        <f t="array" ref="G10">IF(A10="","",IFERROR(INDEX('Asset Detail'!E:E,_xlfn.XMATCH(A10,'Asset Detail'!A:A,3)),"—"))</f>
        <v>G</v>
      </c>
      <c r="H10" s="34"/>
      <c r="I10" s="39">
        <v>18339523080026</v>
      </c>
    </row>
    <row r="11" spans="1:9" ht="15" customHeight="1" x14ac:dyDescent="0.25">
      <c r="A11" s="23" t="str">
        <f t="shared" si="0"/>
        <v>22167523600602</v>
      </c>
      <c r="B11" s="38"/>
      <c r="C11" s="34"/>
      <c r="D11" s="180" t="s">
        <v>4</v>
      </c>
      <c r="E11" s="32" t="str">
        <f>IF(A11="","",IF(COUNTIF('Asset Detail'!A:A,A11)&gt;0,"✓ Found","✗ Not Found"))</f>
        <v>✓ Found</v>
      </c>
      <c r="F11" s="31" t="str" cm="1">
        <f t="array" ref="F11">IF(A11="","",IFERROR(INDEX('Asset Detail'!C:C,_xlfn.XMATCH(A11,'Asset Detail'!A:A,3)),"—"))</f>
        <v>L10WA</v>
      </c>
      <c r="G11" s="32" t="str" cm="1">
        <f t="array" ref="G11">IF(A11="","",IFERROR(INDEX('Asset Detail'!E:E,_xlfn.XMATCH(A11,'Asset Detail'!A:A,3)),"—"))</f>
        <v>G</v>
      </c>
      <c r="H11" s="34"/>
      <c r="I11" s="39">
        <v>22167523600602</v>
      </c>
    </row>
    <row r="12" spans="1:9" ht="15" customHeight="1" x14ac:dyDescent="0.25">
      <c r="A12" s="23" t="str">
        <f t="shared" si="0"/>
        <v>22139523601892</v>
      </c>
      <c r="B12" s="38"/>
      <c r="C12" s="34"/>
      <c r="D12" s="180" t="s">
        <v>4</v>
      </c>
      <c r="E12" s="32" t="str">
        <f>IF(A12="","",IF(COUNTIF('Asset Detail'!A:A,A12)&gt;0,"✓ Found","✗ Not Found"))</f>
        <v>✓ Found</v>
      </c>
      <c r="F12" s="31" t="str" cm="1">
        <f t="array" ref="F12">IF(A12="","",IFERROR(INDEX('Asset Detail'!C:C,_xlfn.XMATCH(A12,'Asset Detail'!A:A,3)),"—"))</f>
        <v>ET56</v>
      </c>
      <c r="G12" s="32" t="str" cm="1">
        <f t="array" ref="G12">IF(A12="","",IFERROR(INDEX('Asset Detail'!E:E,_xlfn.XMATCH(A12,'Asset Detail'!A:A,3)),"—"))</f>
        <v>G</v>
      </c>
      <c r="H12" s="34"/>
      <c r="I12" s="39" t="s">
        <v>1979</v>
      </c>
    </row>
    <row r="13" spans="1:9" ht="15" customHeight="1" x14ac:dyDescent="0.25">
      <c r="A13" s="23" t="str">
        <f t="shared" si="0"/>
        <v>21103523601019</v>
      </c>
      <c r="B13" s="38"/>
      <c r="C13" s="34"/>
      <c r="D13" s="180" t="s">
        <v>4</v>
      </c>
      <c r="E13" s="32" t="str">
        <f>IF(A13="","",IF(COUNTIF('Asset Detail'!A:A,A13)&gt;0,"✓ Found","✗ Not Found"))</f>
        <v>✓ Found</v>
      </c>
      <c r="F13" s="31" t="str" cm="1">
        <f t="array" ref="F13">IF(A13="","",IFERROR(INDEX('Asset Detail'!C:C,_xlfn.XMATCH(A13,'Asset Detail'!A:A,3)),"—"))</f>
        <v>ET56</v>
      </c>
      <c r="G13" s="32" t="str" cm="1">
        <f t="array" ref="G13">IF(A13="","",IFERROR(INDEX('Asset Detail'!E:E,_xlfn.XMATCH(A13,'Asset Detail'!A:A,3)),"—"))</f>
        <v>G</v>
      </c>
      <c r="H13" s="34"/>
      <c r="I13" s="39" t="s">
        <v>1980</v>
      </c>
    </row>
    <row r="14" spans="1:9" ht="15" customHeight="1" x14ac:dyDescent="0.25">
      <c r="A14" s="23" t="str">
        <f t="shared" si="0"/>
        <v>19353523600635</v>
      </c>
      <c r="B14" s="38"/>
      <c r="C14" s="34"/>
      <c r="D14" s="180" t="s">
        <v>4</v>
      </c>
      <c r="E14" s="32" t="str">
        <f>IF(A14="","",IF(COUNTIF('Asset Detail'!A:A,A14)&gt;0,"✓ Found","✗ Not Found"))</f>
        <v>✓ Found</v>
      </c>
      <c r="F14" s="31" t="str" cm="1">
        <f t="array" ref="F14">IF(A14="","",IFERROR(INDEX('Asset Detail'!C:C,_xlfn.XMATCH(A14,'Asset Detail'!A:A,3)),"—"))</f>
        <v>L10WA</v>
      </c>
      <c r="G14" s="32" t="str" cm="1">
        <f t="array" ref="G14">IF(A14="","",IFERROR(INDEX('Asset Detail'!E:E,_xlfn.XMATCH(A14,'Asset Detail'!A:A,3)),"—"))</f>
        <v>G</v>
      </c>
      <c r="H14" s="34"/>
      <c r="I14" s="39">
        <v>19353523600635</v>
      </c>
    </row>
    <row r="15" spans="1:9" ht="15" customHeight="1" x14ac:dyDescent="0.25">
      <c r="A15" s="23" t="str">
        <f t="shared" si="0"/>
        <v>21218520180895</v>
      </c>
      <c r="B15" s="38"/>
      <c r="C15" s="34"/>
      <c r="D15" s="180" t="s">
        <v>4</v>
      </c>
      <c r="E15" s="32" t="str">
        <f>IF(A15="","",IF(COUNTIF('Asset Detail'!A:A,A15)&gt;0,"✓ Found","✗ Not Found"))</f>
        <v>✓ Found</v>
      </c>
      <c r="F15" s="31" t="str" cm="1">
        <f t="array" ref="F15">IF(A15="","",IFERROR(INDEX('Asset Detail'!C:C,_xlfn.XMATCH(A15,'Asset Detail'!A:A,3)),"—"))</f>
        <v>DS3608</v>
      </c>
      <c r="G15" s="32" t="str" cm="1">
        <f t="array" ref="G15">IF(A15="","",IFERROR(INDEX('Asset Detail'!E:E,_xlfn.XMATCH(A15,'Asset Detail'!A:A,3)),"—"))</f>
        <v>G</v>
      </c>
      <c r="H15" s="34"/>
      <c r="I15" s="39">
        <v>21218520180895</v>
      </c>
    </row>
    <row r="16" spans="1:9" ht="15" customHeight="1" x14ac:dyDescent="0.25">
      <c r="A16" s="23" t="str">
        <f t="shared" si="0"/>
        <v>21218520180904</v>
      </c>
      <c r="B16" s="38"/>
      <c r="C16" s="34"/>
      <c r="D16" s="180" t="s">
        <v>4</v>
      </c>
      <c r="E16" s="32" t="str">
        <f>IF(A16="","",IF(COUNTIF('Asset Detail'!A:A,A16)&gt;0,"✓ Found","✗ Not Found"))</f>
        <v>✓ Found</v>
      </c>
      <c r="F16" s="31" t="str" cm="1">
        <f t="array" ref="F16">IF(A16="","",IFERROR(INDEX('Asset Detail'!C:C,_xlfn.XMATCH(A16,'Asset Detail'!A:A,3)),"—"))</f>
        <v>DS3608</v>
      </c>
      <c r="G16" s="32" t="str" cm="1">
        <f t="array" ref="G16">IF(A16="","",IFERROR(INDEX('Asset Detail'!E:E,_xlfn.XMATCH(A16,'Asset Detail'!A:A,3)),"—"))</f>
        <v>G</v>
      </c>
      <c r="H16" s="34"/>
      <c r="I16" s="39">
        <v>21218520180904</v>
      </c>
    </row>
    <row r="17" spans="1:9" ht="15" customHeight="1" x14ac:dyDescent="0.25">
      <c r="A17" s="23" t="str">
        <f t="shared" si="0"/>
        <v>21200523601003</v>
      </c>
      <c r="B17" s="38"/>
      <c r="C17" s="34"/>
      <c r="D17" s="180" t="s">
        <v>4</v>
      </c>
      <c r="E17" s="32" t="str">
        <f>IF(A17="","",IF(COUNTIF('Asset Detail'!A:A,A17)&gt;0,"✓ Found","✗ Not Found"))</f>
        <v>✓ Found</v>
      </c>
      <c r="F17" s="31" t="str" cm="1">
        <f t="array" ref="F17">IF(A17="","",IFERROR(INDEX('Asset Detail'!C:C,_xlfn.XMATCH(A17,'Asset Detail'!A:A,3)),"—"))</f>
        <v>L10WA</v>
      </c>
      <c r="G17" s="32" t="str" cm="1">
        <f t="array" ref="G17">IF(A17="","",IFERROR(INDEX('Asset Detail'!E:E,_xlfn.XMATCH(A17,'Asset Detail'!A:A,3)),"—"))</f>
        <v>G</v>
      </c>
      <c r="H17" s="34"/>
      <c r="I17" s="39">
        <v>21200523601003</v>
      </c>
    </row>
    <row r="18" spans="1:9" ht="15" customHeight="1" x14ac:dyDescent="0.25">
      <c r="A18" s="23" t="str">
        <f t="shared" si="0"/>
        <v>21218520180908</v>
      </c>
      <c r="B18" s="38"/>
      <c r="C18" s="34"/>
      <c r="D18" s="180" t="s">
        <v>4</v>
      </c>
      <c r="E18" s="32" t="str">
        <f>IF(A18="","",IF(COUNTIF('Asset Detail'!A:A,A18)&gt;0,"✓ Found","✗ Not Found"))</f>
        <v>✓ Found</v>
      </c>
      <c r="F18" s="31" t="str" cm="1">
        <f t="array" ref="F18">IF(A18="","",IFERROR(INDEX('Asset Detail'!C:C,_xlfn.XMATCH(A18,'Asset Detail'!A:A,3)),"—"))</f>
        <v>DS3608</v>
      </c>
      <c r="G18" s="32" t="str" cm="1">
        <f t="array" ref="G18">IF(A18="","",IFERROR(INDEX('Asset Detail'!E:E,_xlfn.XMATCH(A18,'Asset Detail'!A:A,3)),"—"))</f>
        <v>G</v>
      </c>
      <c r="H18" s="34"/>
      <c r="I18" s="39">
        <v>21218520180908</v>
      </c>
    </row>
    <row r="19" spans="1:9" ht="15" customHeight="1" x14ac:dyDescent="0.25">
      <c r="A19" s="23" t="str">
        <f t="shared" si="0"/>
        <v>21195523600092</v>
      </c>
      <c r="B19" s="38"/>
      <c r="C19" s="34"/>
      <c r="D19" s="180" t="s">
        <v>4</v>
      </c>
      <c r="E19" s="32" t="str">
        <f>IF(A19="","",IF(COUNTIF('Asset Detail'!A:A,A19)&gt;0,"✓ Found","✗ Not Found"))</f>
        <v>✓ Found</v>
      </c>
      <c r="F19" s="31" t="str" cm="1">
        <f t="array" ref="F19">IF(A19="","",IFERROR(INDEX('Asset Detail'!C:C,_xlfn.XMATCH(A19,'Asset Detail'!A:A,3)),"—"))</f>
        <v>L10WA</v>
      </c>
      <c r="G19" s="32" t="str" cm="1">
        <f t="array" ref="G19">IF(A19="","",IFERROR(INDEX('Asset Detail'!E:E,_xlfn.XMATCH(A19,'Asset Detail'!A:A,3)),"—"))</f>
        <v>G</v>
      </c>
      <c r="H19" s="34"/>
      <c r="I19" s="39">
        <v>21195523600092</v>
      </c>
    </row>
    <row r="20" spans="1:9" ht="15" customHeight="1" x14ac:dyDescent="0.25">
      <c r="A20" s="23" t="str">
        <f t="shared" si="0"/>
        <v>21224520180495</v>
      </c>
      <c r="B20" s="38"/>
      <c r="C20" s="34"/>
      <c r="D20" s="180" t="s">
        <v>4</v>
      </c>
      <c r="E20" s="32" t="str">
        <f>IF(A20="","",IF(COUNTIF('Asset Detail'!A:A,A20)&gt;0,"✓ Found","✗ Not Found"))</f>
        <v>✓ Found</v>
      </c>
      <c r="F20" s="31" t="str" cm="1">
        <f t="array" ref="F20">IF(A20="","",IFERROR(INDEX('Asset Detail'!C:C,_xlfn.XMATCH(A20,'Asset Detail'!A:A,3)),"—"))</f>
        <v>DS3608</v>
      </c>
      <c r="G20" s="32" t="str" cm="1">
        <f t="array" ref="G20">IF(A20="","",IFERROR(INDEX('Asset Detail'!E:E,_xlfn.XMATCH(A20,'Asset Detail'!A:A,3)),"—"))</f>
        <v>G</v>
      </c>
      <c r="H20" s="34"/>
      <c r="I20" s="39">
        <v>21224520180495</v>
      </c>
    </row>
    <row r="21" spans="1:9" ht="15" customHeight="1" x14ac:dyDescent="0.25">
      <c r="A21" s="23" t="str">
        <f t="shared" si="0"/>
        <v>19353523600592</v>
      </c>
      <c r="B21" s="38"/>
      <c r="C21" s="34"/>
      <c r="D21" s="180" t="s">
        <v>4</v>
      </c>
      <c r="E21" s="32" t="str">
        <f>IF(A21="","",IF(COUNTIF('Asset Detail'!A:A,A21)&gt;0,"✓ Found","✗ Not Found"))</f>
        <v>✓ Found</v>
      </c>
      <c r="F21" s="31" t="str" cm="1">
        <f t="array" ref="F21">IF(A21="","",IFERROR(INDEX('Asset Detail'!C:C,_xlfn.XMATCH(A21,'Asset Detail'!A:A,3)),"—"))</f>
        <v>L10WA</v>
      </c>
      <c r="G21" s="32" t="str" cm="1">
        <f t="array" ref="G21">IF(A21="","",IFERROR(INDEX('Asset Detail'!E:E,_xlfn.XMATCH(A21,'Asset Detail'!A:A,3)),"—"))</f>
        <v>G</v>
      </c>
      <c r="H21" s="34"/>
      <c r="I21" s="39">
        <v>19353523600592</v>
      </c>
    </row>
    <row r="22" spans="1:9" ht="15" customHeight="1" x14ac:dyDescent="0.25">
      <c r="A22" s="23" t="str">
        <f t="shared" si="0"/>
        <v>19353523600633</v>
      </c>
      <c r="B22" s="38"/>
      <c r="C22" s="34"/>
      <c r="D22" s="180" t="s">
        <v>4</v>
      </c>
      <c r="E22" s="32" t="str">
        <f>IF(A22="","",IF(COUNTIF('Asset Detail'!A:A,A22)&gt;0,"✓ Found","✗ Not Found"))</f>
        <v>✓ Found</v>
      </c>
      <c r="F22" s="31" t="str" cm="1">
        <f t="array" ref="F22">IF(A22="","",IFERROR(INDEX('Asset Detail'!C:C,_xlfn.XMATCH(A22,'Asset Detail'!A:A,3)),"—"))</f>
        <v>L10WA</v>
      </c>
      <c r="G22" s="32" t="str" cm="1">
        <f t="array" ref="G22">IF(A22="","",IFERROR(INDEX('Asset Detail'!E:E,_xlfn.XMATCH(A22,'Asset Detail'!A:A,3)),"—"))</f>
        <v>G</v>
      </c>
      <c r="H22" s="34"/>
      <c r="I22" s="39">
        <v>19353523600633</v>
      </c>
    </row>
    <row r="23" spans="1:9" ht="15" customHeight="1" x14ac:dyDescent="0.25">
      <c r="A23" s="23" t="str">
        <f t="shared" si="0"/>
        <v>18338523081888</v>
      </c>
      <c r="B23" s="38"/>
      <c r="C23" s="34"/>
      <c r="D23" s="180" t="s">
        <v>4</v>
      </c>
      <c r="E23" s="32" t="str">
        <f>IF(A23="","",IF(COUNTIF('Asset Detail'!A:A,A23)&gt;0,"✓ Found","✗ Not Found"))</f>
        <v>✓ Found</v>
      </c>
      <c r="F23" s="31" t="str" cm="1">
        <f t="array" ref="F23">IF(A23="","",IFERROR(INDEX('Asset Detail'!C:C,_xlfn.XMATCH(A23,'Asset Detail'!A:A,3)),"—"))</f>
        <v>DS3608</v>
      </c>
      <c r="G23" s="32" t="str" cm="1">
        <f t="array" ref="G23">IF(A23="","",IFERROR(INDEX('Asset Detail'!E:E,_xlfn.XMATCH(A23,'Asset Detail'!A:A,3)),"—"))</f>
        <v>G</v>
      </c>
      <c r="H23" s="34"/>
      <c r="I23" s="39" t="s">
        <v>1981</v>
      </c>
    </row>
    <row r="24" spans="1:9" ht="15" customHeight="1" x14ac:dyDescent="0.25">
      <c r="A24" s="23" t="str">
        <f t="shared" si="0"/>
        <v>21195523600030</v>
      </c>
      <c r="B24" s="38"/>
      <c r="C24" s="34"/>
      <c r="D24" s="180" t="s">
        <v>4</v>
      </c>
      <c r="E24" s="32" t="str">
        <f>IF(A24="","",IF(COUNTIF('Asset Detail'!A:A,A24)&gt;0,"✓ Found","✗ Not Found"))</f>
        <v>✓ Found</v>
      </c>
      <c r="F24" s="31" t="str" cm="1">
        <f t="array" ref="F24">IF(A24="","",IFERROR(INDEX('Asset Detail'!C:C,_xlfn.XMATCH(A24,'Asset Detail'!A:A,3)),"—"))</f>
        <v>L10WA</v>
      </c>
      <c r="G24" s="32" t="str" cm="1">
        <f t="array" ref="G24">IF(A24="","",IFERROR(INDEX('Asset Detail'!E:E,_xlfn.XMATCH(A24,'Asset Detail'!A:A,3)),"—"))</f>
        <v>G</v>
      </c>
      <c r="H24" s="34"/>
      <c r="I24" s="39">
        <v>21195523600030</v>
      </c>
    </row>
    <row r="25" spans="1:9" ht="15" customHeight="1" x14ac:dyDescent="0.25">
      <c r="A25" s="23" t="str">
        <f t="shared" si="0"/>
        <v>19353523600589</v>
      </c>
      <c r="B25" s="38"/>
      <c r="C25" s="34"/>
      <c r="D25" s="180" t="s">
        <v>4</v>
      </c>
      <c r="E25" s="32" t="str">
        <f>IF(A25="","",IF(COUNTIF('Asset Detail'!A:A,A25)&gt;0,"✓ Found","✗ Not Found"))</f>
        <v>✓ Found</v>
      </c>
      <c r="F25" s="31" t="str" cm="1">
        <f t="array" ref="F25">IF(A25="","",IFERROR(INDEX('Asset Detail'!C:C,_xlfn.XMATCH(A25,'Asset Detail'!A:A,3)),"—"))</f>
        <v>L10WA</v>
      </c>
      <c r="G25" s="32" t="str" cm="1">
        <f t="array" ref="G25">IF(A25="","",IFERROR(INDEX('Asset Detail'!E:E,_xlfn.XMATCH(A25,'Asset Detail'!A:A,3)),"—"))</f>
        <v>G</v>
      </c>
      <c r="H25" s="34"/>
      <c r="I25" s="39">
        <v>19353523600589</v>
      </c>
    </row>
    <row r="26" spans="1:9" ht="15" customHeight="1" x14ac:dyDescent="0.25">
      <c r="A26" s="23" t="str">
        <f t="shared" si="0"/>
        <v>21200523600621</v>
      </c>
      <c r="B26" s="38"/>
      <c r="C26" s="34"/>
      <c r="D26" s="180" t="s">
        <v>4</v>
      </c>
      <c r="E26" s="32" t="str">
        <f>IF(A26="","",IF(COUNTIF('Asset Detail'!A:A,A26)&gt;0,"✓ Found","✗ Not Found"))</f>
        <v>✓ Found</v>
      </c>
      <c r="F26" s="31" t="str" cm="1">
        <f t="array" ref="F26">IF(A26="","",IFERROR(INDEX('Asset Detail'!C:C,_xlfn.XMATCH(A26,'Asset Detail'!A:A,3)),"—"))</f>
        <v>L10WA</v>
      </c>
      <c r="G26" s="32" t="str" cm="1">
        <f t="array" ref="G26">IF(A26="","",IFERROR(INDEX('Asset Detail'!E:E,_xlfn.XMATCH(A26,'Asset Detail'!A:A,3)),"—"))</f>
        <v>G</v>
      </c>
      <c r="H26" s="34"/>
      <c r="I26" s="39">
        <v>21200523600621</v>
      </c>
    </row>
    <row r="27" spans="1:9" ht="15" customHeight="1" x14ac:dyDescent="0.25">
      <c r="A27" s="23" t="str">
        <f t="shared" si="0"/>
        <v>21195523600007</v>
      </c>
      <c r="B27" s="38"/>
      <c r="C27" s="34"/>
      <c r="D27" s="180" t="s">
        <v>4</v>
      </c>
      <c r="E27" s="32" t="str">
        <f>IF(A27="","",IF(COUNTIF('Asset Detail'!A:A,A27)&gt;0,"✓ Found","✗ Not Found"))</f>
        <v>✓ Found</v>
      </c>
      <c r="F27" s="31" t="str" cm="1">
        <f t="array" ref="F27">IF(A27="","",IFERROR(INDEX('Asset Detail'!C:C,_xlfn.XMATCH(A27,'Asset Detail'!A:A,3)),"—"))</f>
        <v>L10WA</v>
      </c>
      <c r="G27" s="32" t="str" cm="1">
        <f t="array" ref="G27">IF(A27="","",IFERROR(INDEX('Asset Detail'!E:E,_xlfn.XMATCH(A27,'Asset Detail'!A:A,3)),"—"))</f>
        <v>G</v>
      </c>
      <c r="H27" s="34"/>
      <c r="I27" s="39">
        <v>21195523600007</v>
      </c>
    </row>
    <row r="28" spans="1:9" ht="15" customHeight="1" x14ac:dyDescent="0.25">
      <c r="A28" s="23" t="str">
        <f t="shared" si="0"/>
        <v>21195523600081</v>
      </c>
      <c r="B28" s="38"/>
      <c r="C28" s="34"/>
      <c r="D28" s="180" t="s">
        <v>4</v>
      </c>
      <c r="E28" s="32" t="str">
        <f>IF(A28="","",IF(COUNTIF('Asset Detail'!A:A,A28)&gt;0,"✓ Found","✗ Not Found"))</f>
        <v>✓ Found</v>
      </c>
      <c r="F28" s="31" t="str" cm="1">
        <f t="array" ref="F28">IF(A28="","",IFERROR(INDEX('Asset Detail'!C:C,_xlfn.XMATCH(A28,'Asset Detail'!A:A,3)),"—"))</f>
        <v>L10WA</v>
      </c>
      <c r="G28" s="32" t="str" cm="1">
        <f t="array" ref="G28">IF(A28="","",IFERROR(INDEX('Asset Detail'!E:E,_xlfn.XMATCH(A28,'Asset Detail'!A:A,3)),"—"))</f>
        <v>G</v>
      </c>
      <c r="H28" s="34"/>
      <c r="I28" s="39">
        <v>21195523600081</v>
      </c>
    </row>
    <row r="29" spans="1:9" ht="15" customHeight="1" x14ac:dyDescent="0.25">
      <c r="A29" s="23" t="str">
        <f t="shared" si="0"/>
        <v>22167523600739</v>
      </c>
      <c r="B29" s="38"/>
      <c r="C29" s="34"/>
      <c r="D29" s="180" t="s">
        <v>4</v>
      </c>
      <c r="E29" s="32" t="str">
        <f>IF(A29="","",IF(COUNTIF('Asset Detail'!A:A,A29)&gt;0,"✓ Found","✗ Not Found"))</f>
        <v>✓ Found</v>
      </c>
      <c r="F29" s="31" t="str" cm="1">
        <f t="array" ref="F29">IF(A29="","",IFERROR(INDEX('Asset Detail'!C:C,_xlfn.XMATCH(A29,'Asset Detail'!A:A,3)),"—"))</f>
        <v>L10WA</v>
      </c>
      <c r="G29" s="32" t="str" cm="1">
        <f t="array" ref="G29">IF(A29="","",IFERROR(INDEX('Asset Detail'!E:E,_xlfn.XMATCH(A29,'Asset Detail'!A:A,3)),"—"))</f>
        <v>G</v>
      </c>
      <c r="H29" s="34"/>
      <c r="I29" s="39">
        <v>22167523600739</v>
      </c>
    </row>
    <row r="30" spans="1:9" ht="15" customHeight="1" x14ac:dyDescent="0.25">
      <c r="A30" s="23" t="str">
        <f>SUBSTITUTE(I30, "S", "")</f>
        <v>22161523600084</v>
      </c>
      <c r="B30" s="38"/>
      <c r="C30" s="34"/>
      <c r="D30" s="180" t="s">
        <v>4</v>
      </c>
      <c r="E30" s="32" t="str">
        <f>IF(A30="","",IF(COUNTIF('Asset Detail'!A:A,A30)&gt;0,"✓ Found","✗ Not Found"))</f>
        <v>✓ Found</v>
      </c>
      <c r="F30" s="31" t="str" cm="1">
        <f t="array" ref="F30">IF(A30="","",IFERROR(INDEX('Asset Detail'!C:C,_xlfn.XMATCH(A30,'Asset Detail'!A:A,3)),"—"))</f>
        <v>L10WA</v>
      </c>
      <c r="G30" s="32" t="str" cm="1">
        <f t="array" ref="G30">IF(A30="","",IFERROR(INDEX('Asset Detail'!E:E,_xlfn.XMATCH(A30,'Asset Detail'!A:A,3)),"—"))</f>
        <v>G</v>
      </c>
      <c r="H30" s="34"/>
      <c r="I30" s="39">
        <v>22161523600084</v>
      </c>
    </row>
    <row r="31" spans="1:9" ht="15" customHeight="1" x14ac:dyDescent="0.25">
      <c r="A31" s="23" t="str">
        <f t="shared" si="0"/>
        <v>19353523600611</v>
      </c>
      <c r="B31" s="38"/>
      <c r="C31" s="34"/>
      <c r="D31" s="180" t="s">
        <v>4</v>
      </c>
      <c r="E31" s="32" t="str">
        <f>IF(A31="","",IF(COUNTIF('Asset Detail'!A:A,A31)&gt;0,"✓ Found","✗ Not Found"))</f>
        <v>✓ Found</v>
      </c>
      <c r="F31" s="31" t="str" cm="1">
        <f t="array" ref="F31">IF(A31="","",IFERROR(INDEX('Asset Detail'!C:C,_xlfn.XMATCH(A31,'Asset Detail'!A:A,3)),"—"))</f>
        <v>L10WA</v>
      </c>
      <c r="G31" s="32" t="str" cm="1">
        <f t="array" ref="G31">IF(A31="","",IFERROR(INDEX('Asset Detail'!E:E,_xlfn.XMATCH(A31,'Asset Detail'!A:A,3)),"—"))</f>
        <v>G</v>
      </c>
      <c r="H31" s="34"/>
      <c r="I31" s="39">
        <v>19353523600611</v>
      </c>
    </row>
    <row r="32" spans="1:9" ht="15" customHeight="1" x14ac:dyDescent="0.25">
      <c r="A32" s="23" t="str">
        <f t="shared" si="0"/>
        <v>19353523600641</v>
      </c>
      <c r="B32" s="38"/>
      <c r="C32" s="34"/>
      <c r="D32" s="180" t="s">
        <v>4</v>
      </c>
      <c r="E32" s="32" t="str">
        <f>IF(A32="","",IF(COUNTIF('Asset Detail'!A:A,A32)&gt;0,"✓ Found","✗ Not Found"))</f>
        <v>✓ Found</v>
      </c>
      <c r="F32" s="31" t="str" cm="1">
        <f t="array" ref="F32">IF(A32="","",IFERROR(INDEX('Asset Detail'!C:C,_xlfn.XMATCH(A32,'Asset Detail'!A:A,3)),"—"))</f>
        <v>L10WA</v>
      </c>
      <c r="G32" s="32" t="str" cm="1">
        <f t="array" ref="G32">IF(A32="","",IFERROR(INDEX('Asset Detail'!E:E,_xlfn.XMATCH(A32,'Asset Detail'!A:A,3)),"—"))</f>
        <v>G</v>
      </c>
      <c r="H32" s="34"/>
      <c r="I32" s="39">
        <v>19353523600641</v>
      </c>
    </row>
    <row r="33" spans="1:9" ht="15" customHeight="1" x14ac:dyDescent="0.25">
      <c r="A33" s="23" t="str">
        <f t="shared" si="0"/>
        <v>20132523600135</v>
      </c>
      <c r="B33" s="38"/>
      <c r="C33" s="34"/>
      <c r="D33" s="180" t="s">
        <v>4</v>
      </c>
      <c r="E33" s="32" t="str">
        <f>IF(A33="","",IF(COUNTIF('Asset Detail'!A:A,A33)&gt;0,"✓ Found","✗ Not Found"))</f>
        <v>✓ Found</v>
      </c>
      <c r="F33" s="31" t="str" cm="1">
        <f t="array" ref="F33">IF(A33="","",IFERROR(INDEX('Asset Detail'!C:C,_xlfn.XMATCH(A33,'Asset Detail'!A:A,3)),"—"))</f>
        <v>L10WA</v>
      </c>
      <c r="G33" s="32" t="str" cm="1">
        <f t="array" ref="G33">IF(A33="","",IFERROR(INDEX('Asset Detail'!E:E,_xlfn.XMATCH(A33,'Asset Detail'!A:A,3)),"—"))</f>
        <v>G</v>
      </c>
      <c r="H33" s="34"/>
      <c r="I33" s="39">
        <v>20132523600135</v>
      </c>
    </row>
    <row r="34" spans="1:9" ht="15" customHeight="1" x14ac:dyDescent="0.25">
      <c r="A34" s="23" t="str">
        <f t="shared" si="0"/>
        <v>21195523600019</v>
      </c>
      <c r="B34" s="38"/>
      <c r="C34" s="34"/>
      <c r="D34" s="180" t="s">
        <v>4</v>
      </c>
      <c r="E34" s="32" t="str">
        <f>IF(A34="","",IF(COUNTIF('Asset Detail'!A:A,A34)&gt;0,"✓ Found","✗ Not Found"))</f>
        <v>✓ Found</v>
      </c>
      <c r="F34" s="31" t="str" cm="1">
        <f t="array" ref="F34">IF(A34="","",IFERROR(INDEX('Asset Detail'!C:C,_xlfn.XMATCH(A34,'Asset Detail'!A:A,3)),"—"))</f>
        <v>L10WA</v>
      </c>
      <c r="G34" s="32" t="str" cm="1">
        <f t="array" ref="G34">IF(A34="","",IFERROR(INDEX('Asset Detail'!E:E,_xlfn.XMATCH(A34,'Asset Detail'!A:A,3)),"—"))</f>
        <v>G</v>
      </c>
      <c r="H34" s="34"/>
      <c r="I34" s="39">
        <v>21195523600019</v>
      </c>
    </row>
    <row r="35" spans="1:9" ht="15" customHeight="1" x14ac:dyDescent="0.25">
      <c r="A35" s="23" t="str">
        <f t="shared" si="0"/>
        <v>19353523600637</v>
      </c>
      <c r="B35" s="38"/>
      <c r="C35" s="34"/>
      <c r="D35" s="180" t="s">
        <v>4</v>
      </c>
      <c r="E35" s="32" t="str">
        <f>IF(A35="","",IF(COUNTIF('Asset Detail'!A:A,A35)&gt;0,"✓ Found","✗ Not Found"))</f>
        <v>✓ Found</v>
      </c>
      <c r="F35" s="31" t="str" cm="1">
        <f t="array" ref="F35">IF(A35="","",IFERROR(INDEX('Asset Detail'!C:C,_xlfn.XMATCH(A35,'Asset Detail'!A:A,3)),"—"))</f>
        <v>L10WA</v>
      </c>
      <c r="G35" s="32" t="str" cm="1">
        <f t="array" ref="G35">IF(A35="","",IFERROR(INDEX('Asset Detail'!E:E,_xlfn.XMATCH(A35,'Asset Detail'!A:A,3)),"—"))</f>
        <v>G</v>
      </c>
      <c r="H35" s="34"/>
      <c r="I35" s="39">
        <v>19353523600637</v>
      </c>
    </row>
    <row r="36" spans="1:9" ht="15" customHeight="1" x14ac:dyDescent="0.25">
      <c r="A36" s="23" t="str">
        <f t="shared" si="0"/>
        <v>20114523600355</v>
      </c>
      <c r="B36" s="38"/>
      <c r="C36" s="34"/>
      <c r="D36" s="180" t="s">
        <v>4</v>
      </c>
      <c r="E36" s="32" t="str">
        <f>IF(A36="","",IF(COUNTIF('Asset Detail'!A:A,A36)&gt;0,"✓ Found","✗ Not Found"))</f>
        <v>✓ Found</v>
      </c>
      <c r="F36" s="31" t="str" cm="1">
        <f t="array" ref="F36">IF(A36="","",IFERROR(INDEX('Asset Detail'!C:C,_xlfn.XMATCH(A36,'Asset Detail'!A:A,3)),"—"))</f>
        <v>L10WA</v>
      </c>
      <c r="G36" s="32" t="str" cm="1">
        <f t="array" ref="G36">IF(A36="","",IFERROR(INDEX('Asset Detail'!E:E,_xlfn.XMATCH(A36,'Asset Detail'!A:A,3)),"—"))</f>
        <v>G</v>
      </c>
      <c r="H36" s="34"/>
      <c r="I36" s="39">
        <v>20114523600355</v>
      </c>
    </row>
    <row r="37" spans="1:9" ht="15" customHeight="1" x14ac:dyDescent="0.25">
      <c r="A37" s="23" t="str">
        <f t="shared" si="0"/>
        <v>19353523600612</v>
      </c>
      <c r="B37" s="38"/>
      <c r="C37" s="34"/>
      <c r="D37" s="180" t="s">
        <v>4</v>
      </c>
      <c r="E37" s="32" t="str">
        <f>IF(A37="","",IF(COUNTIF('Asset Detail'!A:A,A37)&gt;0,"✓ Found","✗ Not Found"))</f>
        <v>✓ Found</v>
      </c>
      <c r="F37" s="31" t="str" cm="1">
        <f t="array" ref="F37">IF(A37="","",IFERROR(INDEX('Asset Detail'!C:C,_xlfn.XMATCH(A37,'Asset Detail'!A:A,3)),"—"))</f>
        <v>L10WA</v>
      </c>
      <c r="G37" s="32" t="str" cm="1">
        <f t="array" ref="G37">IF(A37="","",IFERROR(INDEX('Asset Detail'!E:E,_xlfn.XMATCH(A37,'Asset Detail'!A:A,3)),"—"))</f>
        <v>G</v>
      </c>
      <c r="H37" s="34"/>
      <c r="I37" s="39">
        <v>19353523600612</v>
      </c>
    </row>
    <row r="38" spans="1:9" ht="15" customHeight="1" x14ac:dyDescent="0.25">
      <c r="A38" s="23" t="str">
        <f t="shared" si="0"/>
        <v>19276520180983</v>
      </c>
      <c r="B38" s="38"/>
      <c r="C38" s="34"/>
      <c r="D38" s="180" t="s">
        <v>4</v>
      </c>
      <c r="E38" s="32" t="str">
        <f>IF(A38="","",IF(COUNTIF('Asset Detail'!A:A,A38)&gt;0,"✓ Found","✗ Not Found"))</f>
        <v>✓ Found</v>
      </c>
      <c r="F38" s="31" t="str" cm="1">
        <f t="array" ref="F38">IF(A38="","",IFERROR(INDEX('Asset Detail'!C:C,_xlfn.XMATCH(A38,'Asset Detail'!A:A,3)),"—"))</f>
        <v>DS3608</v>
      </c>
      <c r="G38" s="32" t="str" cm="1">
        <f t="array" ref="G38">IF(A38="","",IFERROR(INDEX('Asset Detail'!E:E,_xlfn.XMATCH(A38,'Asset Detail'!A:A,3)),"—"))</f>
        <v>G</v>
      </c>
      <c r="H38" s="34"/>
      <c r="I38" s="39">
        <v>19276520180983</v>
      </c>
    </row>
    <row r="39" spans="1:9" ht="15" customHeight="1" x14ac:dyDescent="0.25">
      <c r="A39" s="23" t="str">
        <f t="shared" si="0"/>
        <v>22167523600629</v>
      </c>
      <c r="B39" s="38"/>
      <c r="C39" s="34"/>
      <c r="D39" s="180" t="s">
        <v>4</v>
      </c>
      <c r="E39" s="32" t="str">
        <f>IF(A39="","",IF(COUNTIF('Asset Detail'!A:A,A39)&gt;0,"✓ Found","✗ Not Found"))</f>
        <v>✓ Found</v>
      </c>
      <c r="F39" s="31" t="str" cm="1">
        <f t="array" ref="F39">IF(A39="","",IFERROR(INDEX('Asset Detail'!C:C,_xlfn.XMATCH(A39,'Asset Detail'!A:A,3)),"—"))</f>
        <v>L10WA</v>
      </c>
      <c r="G39" s="32" t="str" cm="1">
        <f t="array" ref="G39">IF(A39="","",IFERROR(INDEX('Asset Detail'!E:E,_xlfn.XMATCH(A39,'Asset Detail'!A:A,3)),"—"))</f>
        <v>G</v>
      </c>
      <c r="H39" s="34"/>
      <c r="I39" s="39">
        <v>22167523600629</v>
      </c>
    </row>
    <row r="40" spans="1:9" ht="15" customHeight="1" x14ac:dyDescent="0.25">
      <c r="A40" s="23" t="str">
        <f t="shared" si="0"/>
        <v>21218520180883</v>
      </c>
      <c r="B40" s="38"/>
      <c r="C40" s="34"/>
      <c r="D40" s="180" t="s">
        <v>4</v>
      </c>
      <c r="E40" s="32" t="str">
        <f>IF(A40="","",IF(COUNTIF('Asset Detail'!A:A,A40)&gt;0,"✓ Found","✗ Not Found"))</f>
        <v>✓ Found</v>
      </c>
      <c r="F40" s="31" t="str" cm="1">
        <f t="array" ref="F40">IF(A40="","",IFERROR(INDEX('Asset Detail'!C:C,_xlfn.XMATCH(A40,'Asset Detail'!A:A,3)),"—"))</f>
        <v>DS3608</v>
      </c>
      <c r="G40" s="32" t="str" cm="1">
        <f t="array" ref="G40">IF(A40="","",IFERROR(INDEX('Asset Detail'!E:E,_xlfn.XMATCH(A40,'Asset Detail'!A:A,3)),"—"))</f>
        <v>G</v>
      </c>
      <c r="H40" s="34"/>
      <c r="I40" s="39">
        <v>21218520180883</v>
      </c>
    </row>
    <row r="41" spans="1:9" ht="15" customHeight="1" x14ac:dyDescent="0.25">
      <c r="A41" s="23" t="str">
        <f t="shared" si="0"/>
        <v>21200523600972</v>
      </c>
      <c r="B41" s="38"/>
      <c r="C41" s="34"/>
      <c r="D41" s="180" t="s">
        <v>4</v>
      </c>
      <c r="E41" s="32" t="str">
        <f>IF(A41="","",IF(COUNTIF('Asset Detail'!A:A,A41)&gt;0,"✓ Found","✗ Not Found"))</f>
        <v>✓ Found</v>
      </c>
      <c r="F41" s="31" t="str" cm="1">
        <f t="array" ref="F41">IF(A41="","",IFERROR(INDEX('Asset Detail'!C:C,_xlfn.XMATCH(A41,'Asset Detail'!A:A,3)),"—"))</f>
        <v>L10WA</v>
      </c>
      <c r="G41" s="32" t="str" cm="1">
        <f t="array" ref="G41">IF(A41="","",IFERROR(INDEX('Asset Detail'!E:E,_xlfn.XMATCH(A41,'Asset Detail'!A:A,3)),"—"))</f>
        <v>G</v>
      </c>
      <c r="H41" s="34"/>
      <c r="I41" s="39">
        <v>21200523600972</v>
      </c>
    </row>
    <row r="42" spans="1:9" ht="15" customHeight="1" x14ac:dyDescent="0.25">
      <c r="A42" s="23" t="str">
        <f t="shared" si="0"/>
        <v>19353523600636</v>
      </c>
      <c r="B42" s="38"/>
      <c r="C42" s="34"/>
      <c r="D42" s="180" t="s">
        <v>4</v>
      </c>
      <c r="E42" s="32" t="str">
        <f>IF(A42="","",IF(COUNTIF('Asset Detail'!A:A,A42)&gt;0,"✓ Found","✗ Not Found"))</f>
        <v>✓ Found</v>
      </c>
      <c r="F42" s="31" t="str" cm="1">
        <f t="array" ref="F42">IF(A42="","",IFERROR(INDEX('Asset Detail'!C:C,_xlfn.XMATCH(A42,'Asset Detail'!A:A,3)),"—"))</f>
        <v>L10WA</v>
      </c>
      <c r="G42" s="32" t="str" cm="1">
        <f t="array" ref="G42">IF(A42="","",IFERROR(INDEX('Asset Detail'!E:E,_xlfn.XMATCH(A42,'Asset Detail'!A:A,3)),"—"))</f>
        <v>G</v>
      </c>
      <c r="H42" s="34"/>
      <c r="I42" s="39">
        <v>19353523600636</v>
      </c>
    </row>
    <row r="43" spans="1:9" ht="15" customHeight="1" x14ac:dyDescent="0.25">
      <c r="A43" s="23" t="str">
        <f t="shared" si="0"/>
        <v>19276520180937</v>
      </c>
      <c r="B43" s="38"/>
      <c r="C43" s="34"/>
      <c r="D43" s="180" t="s">
        <v>4</v>
      </c>
      <c r="E43" s="32" t="str">
        <f>IF(A43="","",IF(COUNTIF('Asset Detail'!A:A,A43)&gt;0,"✓ Found","✗ Not Found"))</f>
        <v>✓ Found</v>
      </c>
      <c r="F43" s="31" t="str" cm="1">
        <f t="array" ref="F43">IF(A43="","",IFERROR(INDEX('Asset Detail'!C:C,_xlfn.XMATCH(A43,'Asset Detail'!A:A,3)),"—"))</f>
        <v>DS3608</v>
      </c>
      <c r="G43" s="32" t="str" cm="1">
        <f t="array" ref="G43">IF(A43="","",IFERROR(INDEX('Asset Detail'!E:E,_xlfn.XMATCH(A43,'Asset Detail'!A:A,3)),"—"))</f>
        <v>G</v>
      </c>
      <c r="H43" s="34"/>
      <c r="I43" s="39">
        <v>19276520180937</v>
      </c>
    </row>
    <row r="44" spans="1:9" ht="15" customHeight="1" x14ac:dyDescent="0.25">
      <c r="A44" s="23" t="str">
        <f t="shared" si="0"/>
        <v>22161523600061</v>
      </c>
      <c r="B44" s="38"/>
      <c r="C44" s="34"/>
      <c r="D44" s="180" t="s">
        <v>4</v>
      </c>
      <c r="E44" s="32" t="str">
        <f>IF(A44="","",IF(COUNTIF('Asset Detail'!A:A,A44)&gt;0,"✓ Found","✗ Not Found"))</f>
        <v>✓ Found</v>
      </c>
      <c r="F44" s="31" t="str" cm="1">
        <f t="array" ref="F44">IF(A44="","",IFERROR(INDEX('Asset Detail'!C:C,_xlfn.XMATCH(A44,'Asset Detail'!A:A,3)),"—"))</f>
        <v>L10WA</v>
      </c>
      <c r="G44" s="32" t="str" cm="1">
        <f t="array" ref="G44">IF(A44="","",IFERROR(INDEX('Asset Detail'!E:E,_xlfn.XMATCH(A44,'Asset Detail'!A:A,3)),"—"))</f>
        <v>G</v>
      </c>
      <c r="H44" s="34"/>
      <c r="I44" s="39">
        <v>22161523600061</v>
      </c>
    </row>
    <row r="45" spans="1:9" ht="15" customHeight="1" x14ac:dyDescent="0.25">
      <c r="A45" s="23" t="str">
        <f t="shared" si="0"/>
        <v>21218520180884</v>
      </c>
      <c r="B45" s="38"/>
      <c r="C45" s="34"/>
      <c r="D45" s="180" t="s">
        <v>4</v>
      </c>
      <c r="E45" s="32" t="str">
        <f>IF(A45="","",IF(COUNTIF('Asset Detail'!A:A,A45)&gt;0,"✓ Found","✗ Not Found"))</f>
        <v>✓ Found</v>
      </c>
      <c r="F45" s="31" t="str" cm="1">
        <f t="array" ref="F45">IF(A45="","",IFERROR(INDEX('Asset Detail'!C:C,_xlfn.XMATCH(A45,'Asset Detail'!A:A,3)),"—"))</f>
        <v>DS3608</v>
      </c>
      <c r="G45" s="32" t="str" cm="1">
        <f t="array" ref="G45">IF(A45="","",IFERROR(INDEX('Asset Detail'!E:E,_xlfn.XMATCH(A45,'Asset Detail'!A:A,3)),"—"))</f>
        <v>G</v>
      </c>
      <c r="H45" s="34"/>
      <c r="I45" s="39">
        <v>21218520180884</v>
      </c>
    </row>
    <row r="46" spans="1:9" ht="15" customHeight="1" x14ac:dyDescent="0.25">
      <c r="A46" s="23" t="str">
        <f t="shared" si="0"/>
        <v>21195523600018</v>
      </c>
      <c r="B46" s="38"/>
      <c r="C46" s="34"/>
      <c r="D46" s="180" t="s">
        <v>4</v>
      </c>
      <c r="E46" s="32" t="str">
        <f>IF(A46="","",IF(COUNTIF('Asset Detail'!A:A,A46)&gt;0,"✓ Found","✗ Not Found"))</f>
        <v>✓ Found</v>
      </c>
      <c r="F46" s="31" t="str" cm="1">
        <f t="array" ref="F46">IF(A46="","",IFERROR(INDEX('Asset Detail'!C:C,_xlfn.XMATCH(A46,'Asset Detail'!A:A,3)),"—"))</f>
        <v>L10WA</v>
      </c>
      <c r="G46" s="32" t="str" cm="1">
        <f t="array" ref="G46">IF(A46="","",IFERROR(INDEX('Asset Detail'!E:E,_xlfn.XMATCH(A46,'Asset Detail'!A:A,3)),"—"))</f>
        <v>G</v>
      </c>
      <c r="H46" s="34"/>
      <c r="I46" s="39">
        <v>21195523600018</v>
      </c>
    </row>
    <row r="47" spans="1:9" ht="15" customHeight="1" x14ac:dyDescent="0.25">
      <c r="A47" s="23" t="str">
        <f t="shared" si="0"/>
        <v>19276520180971</v>
      </c>
      <c r="B47" s="38"/>
      <c r="C47" s="34"/>
      <c r="D47" s="180" t="s">
        <v>4</v>
      </c>
      <c r="E47" s="32" t="str">
        <f>IF(A47="","",IF(COUNTIF('Asset Detail'!A:A,A47)&gt;0,"✓ Found","✗ Not Found"))</f>
        <v>✓ Found</v>
      </c>
      <c r="F47" s="31" t="str" cm="1">
        <f t="array" ref="F47">IF(A47="","",IFERROR(INDEX('Asset Detail'!C:C,_xlfn.XMATCH(A47,'Asset Detail'!A:A,3)),"—"))</f>
        <v>DS3608</v>
      </c>
      <c r="G47" s="32" t="str" cm="1">
        <f t="array" ref="G47">IF(A47="","",IFERROR(INDEX('Asset Detail'!E:E,_xlfn.XMATCH(A47,'Asset Detail'!A:A,3)),"—"))</f>
        <v>G</v>
      </c>
      <c r="H47" s="34"/>
      <c r="I47" s="39">
        <v>19276520180971</v>
      </c>
    </row>
    <row r="48" spans="1:9" ht="15" customHeight="1" x14ac:dyDescent="0.25">
      <c r="A48" s="23" t="str">
        <f t="shared" si="0"/>
        <v>22161523600228</v>
      </c>
      <c r="B48" s="38"/>
      <c r="C48" s="34"/>
      <c r="D48" s="180" t="s">
        <v>4</v>
      </c>
      <c r="E48" s="32" t="str">
        <f>IF(A48="","",IF(COUNTIF('Asset Detail'!A:A,A48)&gt;0,"✓ Found","✗ Not Found"))</f>
        <v>✓ Found</v>
      </c>
      <c r="F48" s="31" t="str" cm="1">
        <f t="array" ref="F48">IF(A48="","",IFERROR(INDEX('Asset Detail'!C:C,_xlfn.XMATCH(A48,'Asset Detail'!A:A,3)),"—"))</f>
        <v>L10WA</v>
      </c>
      <c r="G48" s="32" t="str" cm="1">
        <f t="array" ref="G48">IF(A48="","",IFERROR(INDEX('Asset Detail'!E:E,_xlfn.XMATCH(A48,'Asset Detail'!A:A,3)),"—"))</f>
        <v>G</v>
      </c>
      <c r="H48" s="34"/>
      <c r="I48" s="39">
        <v>22161523600228</v>
      </c>
    </row>
    <row r="49" spans="1:9" ht="15" customHeight="1" x14ac:dyDescent="0.25">
      <c r="A49" s="23" t="str">
        <f t="shared" si="0"/>
        <v>21218520180882</v>
      </c>
      <c r="B49" s="38"/>
      <c r="C49" s="34"/>
      <c r="D49" s="180" t="s">
        <v>4</v>
      </c>
      <c r="E49" s="32" t="str">
        <f>IF(A49="","",IF(COUNTIF('Asset Detail'!A:A,A49)&gt;0,"✓ Found","✗ Not Found"))</f>
        <v>✓ Found</v>
      </c>
      <c r="F49" s="31" t="str" cm="1">
        <f t="array" ref="F49">IF(A49="","",IFERROR(INDEX('Asset Detail'!C:C,_xlfn.XMATCH(A49,'Asset Detail'!A:A,3)),"—"))</f>
        <v>DS3608</v>
      </c>
      <c r="G49" s="32" t="str" cm="1">
        <f t="array" ref="G49">IF(A49="","",IFERROR(INDEX('Asset Detail'!E:E,_xlfn.XMATCH(A49,'Asset Detail'!A:A,3)),"—"))</f>
        <v>G</v>
      </c>
      <c r="H49" s="34"/>
      <c r="I49" s="39">
        <v>21218520180882</v>
      </c>
    </row>
    <row r="50" spans="1:9" ht="15" customHeight="1" x14ac:dyDescent="0.25">
      <c r="A50" s="23" t="str">
        <f t="shared" si="0"/>
        <v>22167523600751</v>
      </c>
      <c r="B50" s="38"/>
      <c r="C50" s="34"/>
      <c r="D50" s="180" t="s">
        <v>4</v>
      </c>
      <c r="E50" s="32" t="str">
        <f>IF(A50="","",IF(COUNTIF('Asset Detail'!A:A,A50)&gt;0,"✓ Found","✗ Not Found"))</f>
        <v>✓ Found</v>
      </c>
      <c r="F50" s="31" t="str" cm="1">
        <f t="array" ref="F50">IF(A50="","",IFERROR(INDEX('Asset Detail'!C:C,_xlfn.XMATCH(A50,'Asset Detail'!A:A,3)),"—"))</f>
        <v>L10WA</v>
      </c>
      <c r="G50" s="32" t="str" cm="1">
        <f t="array" ref="G50">IF(A50="","",IFERROR(INDEX('Asset Detail'!E:E,_xlfn.XMATCH(A50,'Asset Detail'!A:A,3)),"—"))</f>
        <v>G</v>
      </c>
      <c r="H50" s="34"/>
      <c r="I50" s="39">
        <v>22167523600751</v>
      </c>
    </row>
    <row r="51" spans="1:9" ht="15" customHeight="1" x14ac:dyDescent="0.25">
      <c r="A51" s="23" t="str">
        <f t="shared" si="0"/>
        <v>19276520180941</v>
      </c>
      <c r="B51" s="38"/>
      <c r="C51" s="34"/>
      <c r="D51" s="180" t="s">
        <v>4</v>
      </c>
      <c r="E51" s="32" t="str">
        <f>IF(A51="","",IF(COUNTIF('Asset Detail'!A:A,A51)&gt;0,"✓ Found","✗ Not Found"))</f>
        <v>✓ Found</v>
      </c>
      <c r="F51" s="31" t="str" cm="1">
        <f t="array" ref="F51">IF(A51="","",IFERROR(INDEX('Asset Detail'!C:C,_xlfn.XMATCH(A51,'Asset Detail'!A:A,3)),"—"))</f>
        <v>DS3608</v>
      </c>
      <c r="G51" s="32" t="str" cm="1">
        <f t="array" ref="G51">IF(A51="","",IFERROR(INDEX('Asset Detail'!E:E,_xlfn.XMATCH(A51,'Asset Detail'!A:A,3)),"—"))</f>
        <v>G</v>
      </c>
      <c r="H51" s="34"/>
      <c r="I51" s="39">
        <v>19276520180941</v>
      </c>
    </row>
    <row r="52" spans="1:9" ht="15" customHeight="1" x14ac:dyDescent="0.25">
      <c r="A52" s="23" t="str">
        <f t="shared" si="0"/>
        <v>19353523600584</v>
      </c>
      <c r="B52" s="38"/>
      <c r="C52" s="34"/>
      <c r="D52" s="180" t="s">
        <v>4</v>
      </c>
      <c r="E52" s="32" t="str">
        <f>IF(A52="","",IF(COUNTIF('Asset Detail'!A:A,A52)&gt;0,"✓ Found","✗ Not Found"))</f>
        <v>✓ Found</v>
      </c>
      <c r="F52" s="31" t="str" cm="1">
        <f t="array" ref="F52">IF(A52="","",IFERROR(INDEX('Asset Detail'!C:C,_xlfn.XMATCH(A52,'Asset Detail'!A:A,3)),"—"))</f>
        <v>L10WA</v>
      </c>
      <c r="G52" s="32" t="str" cm="1">
        <f t="array" ref="G52">IF(A52="","",IFERROR(INDEX('Asset Detail'!E:E,_xlfn.XMATCH(A52,'Asset Detail'!A:A,3)),"—"))</f>
        <v>G</v>
      </c>
      <c r="H52" s="34"/>
      <c r="I52" s="39">
        <v>19353523600584</v>
      </c>
    </row>
    <row r="53" spans="1:9" ht="15" customHeight="1" x14ac:dyDescent="0.25">
      <c r="A53" s="23" t="str">
        <f t="shared" si="0"/>
        <v>21224520180488</v>
      </c>
      <c r="B53" s="38"/>
      <c r="C53" s="34"/>
      <c r="D53" s="180" t="s">
        <v>4</v>
      </c>
      <c r="E53" s="32" t="str">
        <f>IF(A53="","",IF(COUNTIF('Asset Detail'!A:A,A53)&gt;0,"✓ Found","✗ Not Found"))</f>
        <v>✓ Found</v>
      </c>
      <c r="F53" s="31" t="str" cm="1">
        <f t="array" ref="F53">IF(A53="","",IFERROR(INDEX('Asset Detail'!C:C,_xlfn.XMATCH(A53,'Asset Detail'!A:A,3)),"—"))</f>
        <v>DS3608</v>
      </c>
      <c r="G53" s="32" t="str" cm="1">
        <f t="array" ref="G53">IF(A53="","",IFERROR(INDEX('Asset Detail'!E:E,_xlfn.XMATCH(A53,'Asset Detail'!A:A,3)),"—"))</f>
        <v>G</v>
      </c>
      <c r="H53" s="34"/>
      <c r="I53" s="39">
        <v>21224520180488</v>
      </c>
    </row>
    <row r="54" spans="1:9" ht="15" customHeight="1" x14ac:dyDescent="0.25">
      <c r="A54" s="23" t="str">
        <f t="shared" si="0"/>
        <v>22353523601280</v>
      </c>
      <c r="B54" s="38"/>
      <c r="C54" s="34"/>
      <c r="D54" s="180" t="s">
        <v>4</v>
      </c>
      <c r="E54" s="32" t="str">
        <f>IF(A54="","",IF(COUNTIF('Asset Detail'!A:A,A54)&gt;0,"✓ Found","✗ Not Found"))</f>
        <v>✓ Found</v>
      </c>
      <c r="F54" s="31" t="str" cm="1">
        <f t="array" ref="F54">IF(A54="","",IFERROR(INDEX('Asset Detail'!C:C,_xlfn.XMATCH(A54,'Asset Detail'!A:A,3)),"—"))</f>
        <v>ET56</v>
      </c>
      <c r="G54" s="32" t="str" cm="1">
        <f t="array" ref="G54">IF(A54="","",IFERROR(INDEX('Asset Detail'!E:E,_xlfn.XMATCH(A54,'Asset Detail'!A:A,3)),"—"))</f>
        <v>G</v>
      </c>
      <c r="H54" s="34"/>
      <c r="I54" s="39" t="s">
        <v>1982</v>
      </c>
    </row>
    <row r="55" spans="1:9" ht="15" customHeight="1" x14ac:dyDescent="0.25">
      <c r="A55" s="23" t="str">
        <f t="shared" si="0"/>
        <v>21342523600189</v>
      </c>
      <c r="B55" s="38"/>
      <c r="C55" s="34"/>
      <c r="D55" s="180" t="s">
        <v>4</v>
      </c>
      <c r="E55" s="32" t="str">
        <f>IF(A55="","",IF(COUNTIF('Asset Detail'!A:A,A55)&gt;0,"✓ Found","✗ Not Found"))</f>
        <v>✓ Found</v>
      </c>
      <c r="F55" s="31" t="str" cm="1">
        <f t="array" ref="F55">IF(A55="","",IFERROR(INDEX('Asset Detail'!C:C,_xlfn.XMATCH(A55,'Asset Detail'!A:A,3)),"—"))</f>
        <v>ET56</v>
      </c>
      <c r="G55" s="32" t="str" cm="1">
        <f t="array" ref="G55">IF(A55="","",IFERROR(INDEX('Asset Detail'!E:E,_xlfn.XMATCH(A55,'Asset Detail'!A:A,3)),"—"))</f>
        <v>G</v>
      </c>
      <c r="H55" s="34"/>
      <c r="I55" s="39" t="s">
        <v>1983</v>
      </c>
    </row>
    <row r="56" spans="1:9" ht="15" customHeight="1" x14ac:dyDescent="0.25">
      <c r="A56" s="23" t="str">
        <f t="shared" si="0"/>
        <v>21112523600612</v>
      </c>
      <c r="B56" s="38"/>
      <c r="C56" s="34"/>
      <c r="D56" s="180" t="s">
        <v>4</v>
      </c>
      <c r="E56" s="32" t="str">
        <f>IF(A56="","",IF(COUNTIF('Asset Detail'!A:A,A56)&gt;0,"✓ Found","✗ Not Found"))</f>
        <v>✓ Found</v>
      </c>
      <c r="F56" s="31" t="str" cm="1">
        <f t="array" ref="F56">IF(A56="","",IFERROR(INDEX('Asset Detail'!C:C,_xlfn.XMATCH(A56,'Asset Detail'!A:A,3)),"—"))</f>
        <v>ET56</v>
      </c>
      <c r="G56" s="32" t="str" cm="1">
        <f t="array" ref="G56">IF(A56="","",IFERROR(INDEX('Asset Detail'!E:E,_xlfn.XMATCH(A56,'Asset Detail'!A:A,3)),"—"))</f>
        <v>G</v>
      </c>
      <c r="H56" s="34"/>
      <c r="I56" s="39" t="s">
        <v>1984</v>
      </c>
    </row>
    <row r="57" spans="1:9" ht="15" customHeight="1" x14ac:dyDescent="0.25">
      <c r="A57" s="23" t="str">
        <f t="shared" si="0"/>
        <v/>
      </c>
      <c r="B57" s="38"/>
      <c r="C57" s="34"/>
      <c r="D57" s="180" t="s">
        <v>4</v>
      </c>
      <c r="E57" s="32" t="str">
        <f>IF(A57="","",IF(COUNTIF('Asset Detail'!A:A,A57)&gt;0,"✓ Found","✗ Not Found"))</f>
        <v/>
      </c>
      <c r="F57" s="31" t="str" cm="1">
        <f t="array" ref="F57">IF(A57="","",IFERROR(INDEX('Asset Detail'!C:C,_xlfn.XMATCH(A57,'Asset Detail'!A:A,3)),"—"))</f>
        <v/>
      </c>
      <c r="G57" s="32" t="str" cm="1">
        <f t="array" ref="G57">IF(A57="","",IFERROR(INDEX('Asset Detail'!E:E,_xlfn.XMATCH(A57,'Asset Detail'!A:A,3)),"—"))</f>
        <v/>
      </c>
      <c r="H57" s="34"/>
      <c r="I57" s="39"/>
    </row>
    <row r="58" spans="1:9" ht="15" customHeight="1" x14ac:dyDescent="0.25">
      <c r="A58" s="23" t="str">
        <f t="shared" si="0"/>
        <v/>
      </c>
      <c r="B58" s="38"/>
      <c r="C58" s="34"/>
      <c r="D58" s="180" t="s">
        <v>4</v>
      </c>
      <c r="E58" s="32" t="str">
        <f>IF(A58="","",IF(COUNTIF('Asset Detail'!A:A,A58)&gt;0,"✓ Found","✗ Not Found"))</f>
        <v/>
      </c>
      <c r="F58" s="31" t="str" cm="1">
        <f t="array" ref="F58">IF(A58="","",IFERROR(INDEX('Asset Detail'!C:C,_xlfn.XMATCH(A58,'Asset Detail'!A:A,3)),"—"))</f>
        <v/>
      </c>
      <c r="G58" s="32" t="str" cm="1">
        <f t="array" ref="G58">IF(A58="","",IFERROR(INDEX('Asset Detail'!E:E,_xlfn.XMATCH(A58,'Asset Detail'!A:A,3)),"—"))</f>
        <v/>
      </c>
      <c r="H58" s="34"/>
      <c r="I58" s="39"/>
    </row>
    <row r="59" spans="1:9" x14ac:dyDescent="0.25">
      <c r="A59" s="23" t="str">
        <f t="shared" si="0"/>
        <v/>
      </c>
      <c r="B59" s="38"/>
      <c r="C59" s="34"/>
      <c r="D59" s="180" t="s">
        <v>4</v>
      </c>
      <c r="E59" s="32" t="str">
        <f>IF(A59="","",IF(COUNTIF('Asset Detail'!A:A,A59)&gt;0,"✓ Found","✗ Not Found"))</f>
        <v/>
      </c>
      <c r="F59" s="31" t="str" cm="1">
        <f t="array" ref="F59">IF(A59="","",IFERROR(INDEX('Asset Detail'!C:C,_xlfn.XMATCH(A59,'Asset Detail'!A:A,3)),"—"))</f>
        <v/>
      </c>
      <c r="G59" s="32" t="str" cm="1">
        <f t="array" ref="G59">IF(A59="","",IFERROR(INDEX('Asset Detail'!E:E,_xlfn.XMATCH(A59,'Asset Detail'!A:A,3)),"—"))</f>
        <v/>
      </c>
      <c r="H59" s="34"/>
      <c r="I59" s="39"/>
    </row>
    <row r="60" spans="1:9" x14ac:dyDescent="0.25">
      <c r="A60" s="23" t="str">
        <f t="shared" si="0"/>
        <v/>
      </c>
      <c r="B60" s="38"/>
      <c r="C60" s="34"/>
      <c r="D60" s="180" t="s">
        <v>4</v>
      </c>
      <c r="E60" s="32" t="str">
        <f>IF(A60="","",IF(COUNTIF('Asset Detail'!A:A,A60)&gt;0,"✓ Found","✗ Not Found"))</f>
        <v/>
      </c>
      <c r="F60" s="31" t="str" cm="1">
        <f t="array" ref="F60">IF(A60="","",IFERROR(INDEX('Asset Detail'!C:C,_xlfn.XMATCH(A60,'Asset Detail'!A:A,3)),"—"))</f>
        <v/>
      </c>
      <c r="G60" s="32" t="str" cm="1">
        <f t="array" ref="G60">IF(A60="","",IFERROR(INDEX('Asset Detail'!E:E,_xlfn.XMATCH(A60,'Asset Detail'!A:A,3)),"—"))</f>
        <v/>
      </c>
      <c r="H60" s="34"/>
      <c r="I60" s="39"/>
    </row>
    <row r="61" spans="1:9" x14ac:dyDescent="0.25">
      <c r="A61" s="23" t="str">
        <f t="shared" si="0"/>
        <v/>
      </c>
      <c r="B61" s="38"/>
      <c r="C61" s="34"/>
      <c r="D61" s="180" t="s">
        <v>4</v>
      </c>
      <c r="E61" s="32" t="str">
        <f>IF(A61="","",IF(COUNTIF('Asset Detail'!A:A,A61)&gt;0,"✓ Found","✗ Not Found"))</f>
        <v/>
      </c>
      <c r="F61" s="31" t="str" cm="1">
        <f t="array" ref="F61">IF(A61="","",IFERROR(INDEX('Asset Detail'!C:C,_xlfn.XMATCH(A61,'Asset Detail'!A:A,3)),"—"))</f>
        <v/>
      </c>
      <c r="G61" s="32" t="str" cm="1">
        <f t="array" ref="G61">IF(A61="","",IFERROR(INDEX('Asset Detail'!E:E,_xlfn.XMATCH(A61,'Asset Detail'!A:A,3)),"—"))</f>
        <v/>
      </c>
      <c r="H61" s="34"/>
      <c r="I61" s="39"/>
    </row>
    <row r="62" spans="1:9" x14ac:dyDescent="0.25">
      <c r="A62" s="23" t="str">
        <f t="shared" si="0"/>
        <v/>
      </c>
      <c r="B62" s="38"/>
      <c r="C62" s="34"/>
      <c r="D62" s="180" t="s">
        <v>4</v>
      </c>
      <c r="E62" s="32" t="str">
        <f>IF(A62="","",IF(COUNTIF('Asset Detail'!A:A,A62)&gt;0,"✓ Found","✗ Not Found"))</f>
        <v/>
      </c>
      <c r="F62" s="31" t="str" cm="1">
        <f t="array" ref="F62">IF(A62="","",IFERROR(INDEX('Asset Detail'!C:C,_xlfn.XMATCH(A62,'Asset Detail'!A:A,3)),"—"))</f>
        <v/>
      </c>
      <c r="G62" s="32" t="str" cm="1">
        <f t="array" ref="G62">IF(A62="","",IFERROR(INDEX('Asset Detail'!E:E,_xlfn.XMATCH(A62,'Asset Detail'!A:A,3)),"—"))</f>
        <v/>
      </c>
      <c r="H62" s="34"/>
      <c r="I62" s="39"/>
    </row>
    <row r="63" spans="1:9" x14ac:dyDescent="0.25">
      <c r="A63" s="23" t="str">
        <f t="shared" si="0"/>
        <v/>
      </c>
      <c r="B63" s="38"/>
      <c r="C63" s="34"/>
      <c r="D63" s="180" t="s">
        <v>4</v>
      </c>
      <c r="E63" s="32" t="str">
        <f>IF(A63="","",IF(COUNTIF('Asset Detail'!A:A,A63)&gt;0,"✓ Found","✗ Not Found"))</f>
        <v/>
      </c>
      <c r="F63" s="31" t="str" cm="1">
        <f t="array" ref="F63">IF(A63="","",IFERROR(INDEX('Asset Detail'!C:C,_xlfn.XMATCH(A63,'Asset Detail'!A:A,3)),"—"))</f>
        <v/>
      </c>
      <c r="G63" s="32" t="str" cm="1">
        <f t="array" ref="G63">IF(A63="","",IFERROR(INDEX('Asset Detail'!E:E,_xlfn.XMATCH(A63,'Asset Detail'!A:A,3)),"—"))</f>
        <v/>
      </c>
      <c r="H63" s="34"/>
      <c r="I63" s="39"/>
    </row>
    <row r="64" spans="1:9" x14ac:dyDescent="0.25">
      <c r="A64" s="23" t="str">
        <f t="shared" si="0"/>
        <v/>
      </c>
      <c r="B64" s="38"/>
      <c r="C64" s="34"/>
      <c r="D64" s="180" t="s">
        <v>4</v>
      </c>
      <c r="E64" s="32" t="str">
        <f>IF(A64="","",IF(COUNTIF('Asset Detail'!A:A,A64)&gt;0,"✓ Found","✗ Not Found"))</f>
        <v/>
      </c>
      <c r="F64" s="31" t="str" cm="1">
        <f t="array" ref="F64">IF(A64="","",IFERROR(INDEX('Asset Detail'!C:C,_xlfn.XMATCH(A64,'Asset Detail'!A:A,3)),"—"))</f>
        <v/>
      </c>
      <c r="G64" s="32" t="str" cm="1">
        <f t="array" ref="G64">IF(A64="","",IFERROR(INDEX('Asset Detail'!E:E,_xlfn.XMATCH(A64,'Asset Detail'!A:A,3)),"—"))</f>
        <v/>
      </c>
      <c r="H64" s="34"/>
      <c r="I64" s="39"/>
    </row>
    <row r="65" spans="1:9" x14ac:dyDescent="0.25">
      <c r="A65" s="23" t="str">
        <f t="shared" si="0"/>
        <v/>
      </c>
      <c r="B65" s="38"/>
      <c r="C65" s="34"/>
      <c r="D65" s="180" t="s">
        <v>4</v>
      </c>
      <c r="E65" s="32" t="str">
        <f>IF(A65="","",IF(COUNTIF('Asset Detail'!A:A,A65)&gt;0,"✓ Found","✗ Not Found"))</f>
        <v/>
      </c>
      <c r="F65" s="31" t="str" cm="1">
        <f t="array" ref="F65">IF(A65="","",IFERROR(INDEX('Asset Detail'!C:C,_xlfn.XMATCH(A65,'Asset Detail'!A:A,3)),"—"))</f>
        <v/>
      </c>
      <c r="G65" s="32" t="str" cm="1">
        <f t="array" ref="G65">IF(A65="","",IFERROR(INDEX('Asset Detail'!E:E,_xlfn.XMATCH(A65,'Asset Detail'!A:A,3)),"—"))</f>
        <v/>
      </c>
      <c r="H65" s="34"/>
      <c r="I65" s="39"/>
    </row>
    <row r="66" spans="1:9" x14ac:dyDescent="0.25">
      <c r="A66" s="23" t="str">
        <f t="shared" si="0"/>
        <v/>
      </c>
      <c r="B66" s="38"/>
      <c r="C66" s="34"/>
      <c r="D66" s="180" t="s">
        <v>4</v>
      </c>
      <c r="E66" s="32" t="str">
        <f>IF(A66="","",IF(COUNTIF('Asset Detail'!A:A,A66)&gt;0,"✓ Found","✗ Not Found"))</f>
        <v/>
      </c>
      <c r="F66" s="31" t="str" cm="1">
        <f t="array" ref="F66">IF(A66="","",IFERROR(INDEX('Asset Detail'!C:C,_xlfn.XMATCH(A66,'Asset Detail'!A:A,3)),"—"))</f>
        <v/>
      </c>
      <c r="G66" s="32" t="str" cm="1">
        <f t="array" ref="G66">IF(A66="","",IFERROR(INDEX('Asset Detail'!E:E,_xlfn.XMATCH(A66,'Asset Detail'!A:A,3)),"—"))</f>
        <v/>
      </c>
      <c r="H66" s="34"/>
      <c r="I66" s="39"/>
    </row>
    <row r="67" spans="1:9" x14ac:dyDescent="0.25">
      <c r="A67" s="23" t="str">
        <f t="shared" si="0"/>
        <v/>
      </c>
      <c r="B67" s="38"/>
      <c r="C67" s="34"/>
      <c r="D67" s="180" t="s">
        <v>4</v>
      </c>
      <c r="E67" s="32" t="str">
        <f>IF(A67="","",IF(COUNTIF('Asset Detail'!A:A,A67)&gt;0,"✓ Found","✗ Not Found"))</f>
        <v/>
      </c>
      <c r="F67" s="31" t="str" cm="1">
        <f t="array" ref="F67">IF(A67="","",IFERROR(INDEX('Asset Detail'!C:C,_xlfn.XMATCH(A67,'Asset Detail'!A:A,3)),"—"))</f>
        <v/>
      </c>
      <c r="G67" s="32" t="str" cm="1">
        <f t="array" ref="G67">IF(A67="","",IFERROR(INDEX('Asset Detail'!E:E,_xlfn.XMATCH(A67,'Asset Detail'!A:A,3)),"—"))</f>
        <v/>
      </c>
      <c r="H67" s="34"/>
      <c r="I67" s="39"/>
    </row>
    <row r="68" spans="1:9" x14ac:dyDescent="0.25">
      <c r="A68" s="23" t="str">
        <f t="shared" si="0"/>
        <v/>
      </c>
      <c r="B68" s="38"/>
      <c r="C68" s="34"/>
      <c r="D68" s="180" t="s">
        <v>4</v>
      </c>
      <c r="E68" s="32" t="str">
        <f>IF(A68="","",IF(COUNTIF('Asset Detail'!A:A,A68)&gt;0,"✓ Found","✗ Not Found"))</f>
        <v/>
      </c>
      <c r="F68" s="31" t="str" cm="1">
        <f t="array" ref="F68">IF(A68="","",IFERROR(INDEX('Asset Detail'!C:C,_xlfn.XMATCH(A68,'Asset Detail'!A:A,3)),"—"))</f>
        <v/>
      </c>
      <c r="G68" s="32" t="str" cm="1">
        <f t="array" ref="G68">IF(A68="","",IFERROR(INDEX('Asset Detail'!E:E,_xlfn.XMATCH(A68,'Asset Detail'!A:A,3)),"—"))</f>
        <v/>
      </c>
      <c r="H68" s="34"/>
      <c r="I68" s="39"/>
    </row>
    <row r="69" spans="1:9" x14ac:dyDescent="0.25">
      <c r="A69" s="23" t="str">
        <f t="shared" si="0"/>
        <v/>
      </c>
      <c r="B69" s="38"/>
      <c r="C69" s="34"/>
      <c r="D69" s="180" t="s">
        <v>4</v>
      </c>
      <c r="E69" s="32" t="str">
        <f>IF(A69="","",IF(COUNTIF('Asset Detail'!A:A,A69)&gt;0,"✓ Found","✗ Not Found"))</f>
        <v/>
      </c>
      <c r="F69" s="31" t="str" cm="1">
        <f t="array" ref="F69">IF(A69="","",IFERROR(INDEX('Asset Detail'!C:C,_xlfn.XMATCH(A69,'Asset Detail'!A:A,3)),"—"))</f>
        <v/>
      </c>
      <c r="G69" s="32" t="str" cm="1">
        <f t="array" ref="G69">IF(A69="","",IFERROR(INDEX('Asset Detail'!E:E,_xlfn.XMATCH(A69,'Asset Detail'!A:A,3)),"—"))</f>
        <v/>
      </c>
      <c r="H69" s="34"/>
      <c r="I69" s="39"/>
    </row>
    <row r="70" spans="1:9" x14ac:dyDescent="0.25">
      <c r="A70" s="23" t="str">
        <f t="shared" si="0"/>
        <v/>
      </c>
      <c r="B70" s="38"/>
      <c r="C70" s="34"/>
      <c r="D70" s="180" t="s">
        <v>4</v>
      </c>
      <c r="E70" s="32" t="str">
        <f>IF(A70="","",IF(COUNTIF('Asset Detail'!A:A,A70)&gt;0,"✓ Found","✗ Not Found"))</f>
        <v/>
      </c>
      <c r="F70" s="31" t="str" cm="1">
        <f t="array" ref="F70">IF(A70="","",IFERROR(INDEX('Asset Detail'!C:C,_xlfn.XMATCH(A70,'Asset Detail'!A:A,3)),"—"))</f>
        <v/>
      </c>
      <c r="G70" s="32" t="str" cm="1">
        <f t="array" ref="G70">IF(A70="","",IFERROR(INDEX('Asset Detail'!E:E,_xlfn.XMATCH(A70,'Asset Detail'!A:A,3)),"—"))</f>
        <v/>
      </c>
      <c r="H70" s="34"/>
      <c r="I70" s="39"/>
    </row>
    <row r="71" spans="1:9" x14ac:dyDescent="0.25">
      <c r="A71" s="23" t="str">
        <f t="shared" si="0"/>
        <v/>
      </c>
      <c r="B71" s="38"/>
      <c r="C71" s="34"/>
      <c r="D71" s="180" t="s">
        <v>4</v>
      </c>
      <c r="E71" s="32" t="str">
        <f>IF(A71="","",IF(COUNTIF('Asset Detail'!A:A,A71)&gt;0,"✓ Found","✗ Not Found"))</f>
        <v/>
      </c>
      <c r="F71" s="31" t="str" cm="1">
        <f t="array" ref="F71">IF(A71="","",IFERROR(INDEX('Asset Detail'!C:C,_xlfn.XMATCH(A71,'Asset Detail'!A:A,3)),"—"))</f>
        <v/>
      </c>
      <c r="G71" s="32" t="str" cm="1">
        <f t="array" ref="G71">IF(A71="","",IFERROR(INDEX('Asset Detail'!E:E,_xlfn.XMATCH(A71,'Asset Detail'!A:A,3)),"—"))</f>
        <v/>
      </c>
      <c r="H71" s="34"/>
      <c r="I71" s="39"/>
    </row>
    <row r="72" spans="1:9" x14ac:dyDescent="0.25">
      <c r="A72" s="23" t="str">
        <f t="shared" si="0"/>
        <v/>
      </c>
      <c r="B72" s="38"/>
      <c r="C72" s="34"/>
      <c r="D72" s="180" t="s">
        <v>4</v>
      </c>
      <c r="E72" s="32" t="str">
        <f>IF(A72="","",IF(COUNTIF('Asset Detail'!A:A,A72)&gt;0,"✓ Found","✗ Not Found"))</f>
        <v/>
      </c>
      <c r="F72" s="31" t="str" cm="1">
        <f t="array" ref="F72">IF(A72="","",IFERROR(INDEX('Asset Detail'!C:C,_xlfn.XMATCH(A72,'Asset Detail'!A:A,3)),"—"))</f>
        <v/>
      </c>
      <c r="G72" s="32" t="str" cm="1">
        <f t="array" ref="G72">IF(A72="","",IFERROR(INDEX('Asset Detail'!E:E,_xlfn.XMATCH(A72,'Asset Detail'!A:A,3)),"—"))</f>
        <v/>
      </c>
      <c r="H72" s="34"/>
      <c r="I72" s="39"/>
    </row>
    <row r="73" spans="1:9" x14ac:dyDescent="0.25">
      <c r="A73" s="23" t="str">
        <f t="shared" ref="A73:A136" si="1">SUBSTITUTE(I73, "S", "")</f>
        <v/>
      </c>
      <c r="B73" s="38"/>
      <c r="C73" s="34"/>
      <c r="D73" s="180" t="s">
        <v>4</v>
      </c>
      <c r="E73" s="32" t="str">
        <f>IF(A73="","",IF(COUNTIF('Asset Detail'!A:A,A73)&gt;0,"✓ Found","✗ Not Found"))</f>
        <v/>
      </c>
      <c r="F73" s="31" t="str" cm="1">
        <f t="array" ref="F73">IF(A73="","",IFERROR(INDEX('Asset Detail'!C:C,_xlfn.XMATCH(A73,'Asset Detail'!A:A,3)),"—"))</f>
        <v/>
      </c>
      <c r="G73" s="32" t="str" cm="1">
        <f t="array" ref="G73">IF(A73="","",IFERROR(INDEX('Asset Detail'!E:E,_xlfn.XMATCH(A73,'Asset Detail'!A:A,3)),"—"))</f>
        <v/>
      </c>
      <c r="H73" s="34"/>
      <c r="I73" s="39"/>
    </row>
    <row r="74" spans="1:9" x14ac:dyDescent="0.25">
      <c r="A74" s="23" t="str">
        <f t="shared" si="1"/>
        <v/>
      </c>
      <c r="B74" s="38"/>
      <c r="C74" s="34"/>
      <c r="D74" s="180" t="s">
        <v>4</v>
      </c>
      <c r="E74" s="32" t="str">
        <f>IF(A74="","",IF(COUNTIF('Asset Detail'!A:A,A74)&gt;0,"✓ Found","✗ Not Found"))</f>
        <v/>
      </c>
      <c r="F74" s="31" t="str" cm="1">
        <f t="array" ref="F74">IF(A74="","",IFERROR(INDEX('Asset Detail'!C:C,_xlfn.XMATCH(A74,'Asset Detail'!A:A,3)),"—"))</f>
        <v/>
      </c>
      <c r="G74" s="32" t="str" cm="1">
        <f t="array" ref="G74">IF(A74="","",IFERROR(INDEX('Asset Detail'!E:E,_xlfn.XMATCH(A74,'Asset Detail'!A:A,3)),"—"))</f>
        <v/>
      </c>
      <c r="H74" s="34"/>
      <c r="I74" s="39"/>
    </row>
    <row r="75" spans="1:9" x14ac:dyDescent="0.25">
      <c r="A75" s="23" t="str">
        <f t="shared" si="1"/>
        <v/>
      </c>
      <c r="B75" s="38"/>
      <c r="C75" s="34"/>
      <c r="D75" s="180" t="s">
        <v>4</v>
      </c>
      <c r="E75" s="32" t="str">
        <f>IF(A75="","",IF(COUNTIF('Asset Detail'!A:A,A75)&gt;0,"✓ Found","✗ Not Found"))</f>
        <v/>
      </c>
      <c r="F75" s="31" t="str" cm="1">
        <f t="array" ref="F75">IF(A75="","",IFERROR(INDEX('Asset Detail'!C:C,_xlfn.XMATCH(A75,'Asset Detail'!A:A,3)),"—"))</f>
        <v/>
      </c>
      <c r="G75" s="32" t="str" cm="1">
        <f t="array" ref="G75">IF(A75="","",IFERROR(INDEX('Asset Detail'!E:E,_xlfn.XMATCH(A75,'Asset Detail'!A:A,3)),"—"))</f>
        <v/>
      </c>
      <c r="H75" s="34"/>
      <c r="I75" s="39"/>
    </row>
    <row r="76" spans="1:9" x14ac:dyDescent="0.25">
      <c r="A76" s="23" t="str">
        <f t="shared" si="1"/>
        <v/>
      </c>
      <c r="B76" s="38"/>
      <c r="C76" s="34"/>
      <c r="D76" s="180" t="s">
        <v>4</v>
      </c>
      <c r="E76" s="32" t="str">
        <f>IF(A76="","",IF(COUNTIF('Asset Detail'!A:A,A76)&gt;0,"✓ Found","✗ Not Found"))</f>
        <v/>
      </c>
      <c r="F76" s="31" t="str" cm="1">
        <f t="array" ref="F76">IF(A76="","",IFERROR(INDEX('Asset Detail'!C:C,_xlfn.XMATCH(A76,'Asset Detail'!A:A,3)),"—"))</f>
        <v/>
      </c>
      <c r="G76" s="32" t="str" cm="1">
        <f t="array" ref="G76">IF(A76="","",IFERROR(INDEX('Asset Detail'!E:E,_xlfn.XMATCH(A76,'Asset Detail'!A:A,3)),"—"))</f>
        <v/>
      </c>
      <c r="H76" s="34"/>
      <c r="I76" s="39"/>
    </row>
    <row r="77" spans="1:9" x14ac:dyDescent="0.25">
      <c r="A77" s="23" t="str">
        <f t="shared" si="1"/>
        <v/>
      </c>
      <c r="B77" s="38"/>
      <c r="C77" s="34"/>
      <c r="D77" s="180" t="s">
        <v>4</v>
      </c>
      <c r="E77" s="32" t="str">
        <f>IF(A77="","",IF(COUNTIF('Asset Detail'!A:A,A77)&gt;0,"✓ Found","✗ Not Found"))</f>
        <v/>
      </c>
      <c r="F77" s="31" t="str" cm="1">
        <f t="array" ref="F77">IF(A77="","",IFERROR(INDEX('Asset Detail'!C:C,_xlfn.XMATCH(A77,'Asset Detail'!A:A,3)),"—"))</f>
        <v/>
      </c>
      <c r="G77" s="32" t="str" cm="1">
        <f t="array" ref="G77">IF(A77="","",IFERROR(INDEX('Asset Detail'!E:E,_xlfn.XMATCH(A77,'Asset Detail'!A:A,3)),"—"))</f>
        <v/>
      </c>
      <c r="H77" s="34"/>
      <c r="I77" s="39"/>
    </row>
    <row r="78" spans="1:9" x14ac:dyDescent="0.25">
      <c r="A78" s="23" t="str">
        <f t="shared" si="1"/>
        <v/>
      </c>
      <c r="B78" s="38"/>
      <c r="C78" s="34"/>
      <c r="D78" s="180" t="s">
        <v>4</v>
      </c>
      <c r="E78" s="32" t="str">
        <f>IF(A78="","",IF(COUNTIF('Asset Detail'!A:A,A78)&gt;0,"✓ Found","✗ Not Found"))</f>
        <v/>
      </c>
      <c r="F78" s="31" t="str" cm="1">
        <f t="array" ref="F78">IF(A78="","",IFERROR(INDEX('Asset Detail'!C:C,_xlfn.XMATCH(A78,'Asset Detail'!A:A,3)),"—"))</f>
        <v/>
      </c>
      <c r="G78" s="32" t="str" cm="1">
        <f t="array" ref="G78">IF(A78="","",IFERROR(INDEX('Asset Detail'!E:E,_xlfn.XMATCH(A78,'Asset Detail'!A:A,3)),"—"))</f>
        <v/>
      </c>
      <c r="H78" s="34"/>
      <c r="I78" s="39"/>
    </row>
    <row r="79" spans="1:9" x14ac:dyDescent="0.25">
      <c r="A79" s="23" t="str">
        <f t="shared" si="1"/>
        <v/>
      </c>
      <c r="B79" s="38"/>
      <c r="C79" s="34"/>
      <c r="D79" s="180" t="s">
        <v>4</v>
      </c>
      <c r="E79" s="32" t="str">
        <f>IF(A79="","",IF(COUNTIF('Asset Detail'!A:A,A79)&gt;0,"✓ Found","✗ Not Found"))</f>
        <v/>
      </c>
      <c r="F79" s="31" t="str" cm="1">
        <f t="array" ref="F79">IF(A79="","",IFERROR(INDEX('Asset Detail'!C:C,_xlfn.XMATCH(A79,'Asset Detail'!A:A,3)),"—"))</f>
        <v/>
      </c>
      <c r="G79" s="32" t="str" cm="1">
        <f t="array" ref="G79">IF(A79="","",IFERROR(INDEX('Asset Detail'!E:E,_xlfn.XMATCH(A79,'Asset Detail'!A:A,3)),"—"))</f>
        <v/>
      </c>
      <c r="H79" s="34"/>
      <c r="I79" s="39"/>
    </row>
    <row r="80" spans="1:9" x14ac:dyDescent="0.25">
      <c r="A80" s="23" t="str">
        <f t="shared" si="1"/>
        <v/>
      </c>
      <c r="B80" s="38"/>
      <c r="C80" s="34"/>
      <c r="D80" s="180" t="s">
        <v>4</v>
      </c>
      <c r="E80" s="32" t="str">
        <f>IF(A80="","",IF(COUNTIF('Asset Detail'!A:A,A80)&gt;0,"✓ Found","✗ Not Found"))</f>
        <v/>
      </c>
      <c r="F80" s="31" t="str" cm="1">
        <f t="array" ref="F80">IF(A80="","",IFERROR(INDEX('Asset Detail'!C:C,_xlfn.XMATCH(A80,'Asset Detail'!A:A,3)),"—"))</f>
        <v/>
      </c>
      <c r="G80" s="32" t="str" cm="1">
        <f t="array" ref="G80">IF(A80="","",IFERROR(INDEX('Asset Detail'!E:E,_xlfn.XMATCH(A80,'Asset Detail'!A:A,3)),"—"))</f>
        <v/>
      </c>
      <c r="H80" s="34"/>
      <c r="I80" s="39"/>
    </row>
    <row r="81" spans="1:9" x14ac:dyDescent="0.25">
      <c r="A81" s="23" t="str">
        <f t="shared" si="1"/>
        <v/>
      </c>
      <c r="B81" s="38"/>
      <c r="C81" s="34"/>
      <c r="D81" s="180" t="s">
        <v>4</v>
      </c>
      <c r="E81" s="32" t="str">
        <f>IF(A81="","",IF(COUNTIF('Asset Detail'!A:A,A81)&gt;0,"✓ Found","✗ Not Found"))</f>
        <v/>
      </c>
      <c r="F81" s="31" t="str" cm="1">
        <f t="array" ref="F81">IF(A81="","",IFERROR(INDEX('Asset Detail'!C:C,_xlfn.XMATCH(A81,'Asset Detail'!A:A,3)),"—"))</f>
        <v/>
      </c>
      <c r="G81" s="32" t="str" cm="1">
        <f t="array" ref="G81">IF(A81="","",IFERROR(INDEX('Asset Detail'!E:E,_xlfn.XMATCH(A81,'Asset Detail'!A:A,3)),"—"))</f>
        <v/>
      </c>
      <c r="H81" s="34"/>
      <c r="I81" s="39"/>
    </row>
    <row r="82" spans="1:9" x14ac:dyDescent="0.25">
      <c r="A82" s="23" t="str">
        <f t="shared" si="1"/>
        <v/>
      </c>
      <c r="B82" s="38"/>
      <c r="C82" s="34"/>
      <c r="D82" s="180" t="s">
        <v>4</v>
      </c>
      <c r="E82" s="32" t="str">
        <f>IF(A82="","",IF(COUNTIF('Asset Detail'!A:A,A82)&gt;0,"✓ Found","✗ Not Found"))</f>
        <v/>
      </c>
      <c r="F82" s="31" t="str" cm="1">
        <f t="array" ref="F82">IF(A82="","",IFERROR(INDEX('Asset Detail'!C:C,_xlfn.XMATCH(A82,'Asset Detail'!A:A,3)),"—"))</f>
        <v/>
      </c>
      <c r="G82" s="32" t="str" cm="1">
        <f t="array" ref="G82">IF(A82="","",IFERROR(INDEX('Asset Detail'!E:E,_xlfn.XMATCH(A82,'Asset Detail'!A:A,3)),"—"))</f>
        <v/>
      </c>
      <c r="H82" s="34"/>
      <c r="I82" s="39"/>
    </row>
    <row r="83" spans="1:9" x14ac:dyDescent="0.25">
      <c r="A83" s="23" t="str">
        <f t="shared" si="1"/>
        <v/>
      </c>
      <c r="B83" s="38"/>
      <c r="C83" s="34"/>
      <c r="D83" s="180" t="s">
        <v>4</v>
      </c>
      <c r="E83" s="32" t="str">
        <f>IF(A83="","",IF(COUNTIF('Asset Detail'!A:A,A83)&gt;0,"✓ Found","✗ Not Found"))</f>
        <v/>
      </c>
      <c r="F83" s="31" t="str" cm="1">
        <f t="array" ref="F83">IF(A83="","",IFERROR(INDEX('Asset Detail'!C:C,_xlfn.XMATCH(A83,'Asset Detail'!A:A,3)),"—"))</f>
        <v/>
      </c>
      <c r="G83" s="32" t="str" cm="1">
        <f t="array" ref="G83">IF(A83="","",IFERROR(INDEX('Asset Detail'!E:E,_xlfn.XMATCH(A83,'Asset Detail'!A:A,3)),"—"))</f>
        <v/>
      </c>
      <c r="H83" s="34"/>
      <c r="I83" s="39"/>
    </row>
    <row r="84" spans="1:9" x14ac:dyDescent="0.25">
      <c r="A84" s="23" t="str">
        <f t="shared" si="1"/>
        <v/>
      </c>
      <c r="B84" s="38"/>
      <c r="C84" s="34"/>
      <c r="D84" s="180" t="s">
        <v>4</v>
      </c>
      <c r="E84" s="32" t="str">
        <f>IF(A84="","",IF(COUNTIF('Asset Detail'!A:A,A84)&gt;0,"✓ Found","✗ Not Found"))</f>
        <v/>
      </c>
      <c r="F84" s="31" t="str" cm="1">
        <f t="array" ref="F84">IF(A84="","",IFERROR(INDEX('Asset Detail'!C:C,_xlfn.XMATCH(A84,'Asset Detail'!A:A,3)),"—"))</f>
        <v/>
      </c>
      <c r="G84" s="32" t="str" cm="1">
        <f t="array" ref="G84">IF(A84="","",IFERROR(INDEX('Asset Detail'!E:E,_xlfn.XMATCH(A84,'Asset Detail'!A:A,3)),"—"))</f>
        <v/>
      </c>
      <c r="H84" s="34"/>
      <c r="I84" s="39"/>
    </row>
    <row r="85" spans="1:9" x14ac:dyDescent="0.25">
      <c r="A85" s="23" t="str">
        <f t="shared" si="1"/>
        <v/>
      </c>
      <c r="B85" s="38"/>
      <c r="C85" s="34"/>
      <c r="D85" s="180" t="s">
        <v>4</v>
      </c>
      <c r="E85" s="32" t="str">
        <f>IF(A85="","",IF(COUNTIF('Asset Detail'!A:A,A85)&gt;0,"✓ Found","✗ Not Found"))</f>
        <v/>
      </c>
      <c r="F85" s="31" t="str" cm="1">
        <f t="array" ref="F85">IF(A85="","",IFERROR(INDEX('Asset Detail'!C:C,_xlfn.XMATCH(A85,'Asset Detail'!A:A,3)),"—"))</f>
        <v/>
      </c>
      <c r="G85" s="32" t="str" cm="1">
        <f t="array" ref="G85">IF(A85="","",IFERROR(INDEX('Asset Detail'!E:E,_xlfn.XMATCH(A85,'Asset Detail'!A:A,3)),"—"))</f>
        <v/>
      </c>
      <c r="H85" s="34"/>
      <c r="I85" s="39"/>
    </row>
    <row r="86" spans="1:9" x14ac:dyDescent="0.25">
      <c r="A86" s="23" t="str">
        <f t="shared" si="1"/>
        <v/>
      </c>
      <c r="B86" s="38"/>
      <c r="C86" s="34"/>
      <c r="D86" s="180" t="s">
        <v>4</v>
      </c>
      <c r="E86" s="32" t="str">
        <f>IF(A86="","",IF(COUNTIF('Asset Detail'!A:A,A86)&gt;0,"✓ Found","✗ Not Found"))</f>
        <v/>
      </c>
      <c r="F86" s="31" t="str" cm="1">
        <f t="array" ref="F86">IF(A86="","",IFERROR(INDEX('Asset Detail'!C:C,_xlfn.XMATCH(A86,'Asset Detail'!A:A,3)),"—"))</f>
        <v/>
      </c>
      <c r="G86" s="32" t="str" cm="1">
        <f t="array" ref="G86">IF(A86="","",IFERROR(INDEX('Asset Detail'!E:E,_xlfn.XMATCH(A86,'Asset Detail'!A:A,3)),"—"))</f>
        <v/>
      </c>
      <c r="H86" s="34"/>
      <c r="I86" s="39"/>
    </row>
    <row r="87" spans="1:9" x14ac:dyDescent="0.25">
      <c r="A87" s="23" t="str">
        <f t="shared" si="1"/>
        <v/>
      </c>
      <c r="B87" s="38"/>
      <c r="C87" s="34"/>
      <c r="D87" s="180" t="s">
        <v>4</v>
      </c>
      <c r="E87" s="32" t="str">
        <f>IF(A87="","",IF(COUNTIF('Asset Detail'!A:A,A87)&gt;0,"✓ Found","✗ Not Found"))</f>
        <v/>
      </c>
      <c r="F87" s="31" t="str" cm="1">
        <f t="array" ref="F87">IF(A87="","",IFERROR(INDEX('Asset Detail'!C:C,_xlfn.XMATCH(A87,'Asset Detail'!A:A,3)),"—"))</f>
        <v/>
      </c>
      <c r="G87" s="32" t="str" cm="1">
        <f t="array" ref="G87">IF(A87="","",IFERROR(INDEX('Asset Detail'!E:E,_xlfn.XMATCH(A87,'Asset Detail'!A:A,3)),"—"))</f>
        <v/>
      </c>
      <c r="H87" s="34"/>
      <c r="I87" s="39"/>
    </row>
    <row r="88" spans="1:9" x14ac:dyDescent="0.25">
      <c r="A88" s="23" t="str">
        <f t="shared" si="1"/>
        <v/>
      </c>
      <c r="B88" s="38"/>
      <c r="C88" s="34"/>
      <c r="D88" s="180" t="s">
        <v>4</v>
      </c>
      <c r="E88" s="32" t="str">
        <f>IF(A88="","",IF(COUNTIF('Asset Detail'!A:A,A88)&gt;0,"✓ Found","✗ Not Found"))</f>
        <v/>
      </c>
      <c r="F88" s="31" t="str" cm="1">
        <f t="array" ref="F88">IF(A88="","",IFERROR(INDEX('Asset Detail'!C:C,_xlfn.XMATCH(A88,'Asset Detail'!A:A,3)),"—"))</f>
        <v/>
      </c>
      <c r="G88" s="32" t="str" cm="1">
        <f t="array" ref="G88">IF(A88="","",IFERROR(INDEX('Asset Detail'!E:E,_xlfn.XMATCH(A88,'Asset Detail'!A:A,3)),"—"))</f>
        <v/>
      </c>
      <c r="H88" s="34"/>
      <c r="I88" s="39"/>
    </row>
    <row r="89" spans="1:9" x14ac:dyDescent="0.25">
      <c r="A89" s="23" t="str">
        <f t="shared" si="1"/>
        <v/>
      </c>
      <c r="B89" s="38"/>
      <c r="C89" s="34"/>
      <c r="D89" s="180" t="s">
        <v>4</v>
      </c>
      <c r="E89" s="32" t="str">
        <f>IF(A89="","",IF(COUNTIF('Asset Detail'!A:A,A89)&gt;0,"✓ Found","✗ Not Found"))</f>
        <v/>
      </c>
      <c r="F89" s="31" t="str" cm="1">
        <f t="array" ref="F89">IF(A89="","",IFERROR(INDEX('Asset Detail'!C:C,_xlfn.XMATCH(A89,'Asset Detail'!A:A,3)),"—"))</f>
        <v/>
      </c>
      <c r="G89" s="32" t="str" cm="1">
        <f t="array" ref="G89">IF(A89="","",IFERROR(INDEX('Asset Detail'!E:E,_xlfn.XMATCH(A89,'Asset Detail'!A:A,3)),"—"))</f>
        <v/>
      </c>
      <c r="H89" s="34"/>
      <c r="I89" s="39"/>
    </row>
    <row r="90" spans="1:9" x14ac:dyDescent="0.25">
      <c r="A90" s="23" t="str">
        <f t="shared" si="1"/>
        <v/>
      </c>
      <c r="B90" s="38"/>
      <c r="C90" s="34"/>
      <c r="D90" s="180" t="s">
        <v>4</v>
      </c>
      <c r="E90" s="32" t="str">
        <f>IF(A90="","",IF(COUNTIF('Asset Detail'!A:A,A90)&gt;0,"✓ Found","✗ Not Found"))</f>
        <v/>
      </c>
      <c r="F90" s="31" t="str" cm="1">
        <f t="array" ref="F90">IF(A90="","",IFERROR(INDEX('Asset Detail'!C:C,_xlfn.XMATCH(A90,'Asset Detail'!A:A,3)),"—"))</f>
        <v/>
      </c>
      <c r="G90" s="32" t="str" cm="1">
        <f t="array" ref="G90">IF(A90="","",IFERROR(INDEX('Asset Detail'!E:E,_xlfn.XMATCH(A90,'Asset Detail'!A:A,3)),"—"))</f>
        <v/>
      </c>
      <c r="H90" s="34"/>
      <c r="I90" s="39"/>
    </row>
    <row r="91" spans="1:9" x14ac:dyDescent="0.25">
      <c r="A91" s="23" t="str">
        <f t="shared" si="1"/>
        <v/>
      </c>
      <c r="B91" s="38"/>
      <c r="C91" s="34"/>
      <c r="D91" s="180" t="s">
        <v>4</v>
      </c>
      <c r="E91" s="32" t="str">
        <f>IF(A91="","",IF(COUNTIF('Asset Detail'!A:A,A91)&gt;0,"✓ Found","✗ Not Found"))</f>
        <v/>
      </c>
      <c r="F91" s="31" t="str" cm="1">
        <f t="array" ref="F91">IF(A91="","",IFERROR(INDEX('Asset Detail'!C:C,_xlfn.XMATCH(A91,'Asset Detail'!A:A,3)),"—"))</f>
        <v/>
      </c>
      <c r="G91" s="32" t="str" cm="1">
        <f t="array" ref="G91">IF(A91="","",IFERROR(INDEX('Asset Detail'!E:E,_xlfn.XMATCH(A91,'Asset Detail'!A:A,3)),"—"))</f>
        <v/>
      </c>
      <c r="H91" s="34"/>
      <c r="I91" s="39"/>
    </row>
    <row r="92" spans="1:9" x14ac:dyDescent="0.25">
      <c r="A92" s="23" t="str">
        <f t="shared" si="1"/>
        <v/>
      </c>
      <c r="B92" s="38"/>
      <c r="C92" s="34"/>
      <c r="D92" s="180" t="s">
        <v>4</v>
      </c>
      <c r="E92" s="32" t="str">
        <f>IF(A92="","",IF(COUNTIF('Asset Detail'!A:A,A92)&gt;0,"✓ Found","✗ Not Found"))</f>
        <v/>
      </c>
      <c r="F92" s="31" t="str" cm="1">
        <f t="array" ref="F92">IF(A92="","",IFERROR(INDEX('Asset Detail'!C:C,_xlfn.XMATCH(A92,'Asset Detail'!A:A,3)),"—"))</f>
        <v/>
      </c>
      <c r="G92" s="32" t="str" cm="1">
        <f t="array" ref="G92">IF(A92="","",IFERROR(INDEX('Asset Detail'!E:E,_xlfn.XMATCH(A92,'Asset Detail'!A:A,3)),"—"))</f>
        <v/>
      </c>
      <c r="H92" s="34"/>
      <c r="I92" s="39"/>
    </row>
    <row r="93" spans="1:9" x14ac:dyDescent="0.25">
      <c r="A93" s="23" t="str">
        <f t="shared" si="1"/>
        <v/>
      </c>
      <c r="B93" s="38"/>
      <c r="C93" s="34"/>
      <c r="D93" s="180" t="s">
        <v>4</v>
      </c>
      <c r="E93" s="32" t="str">
        <f>IF(A93="","",IF(COUNTIF('Asset Detail'!A:A,A93)&gt;0,"✓ Found","✗ Not Found"))</f>
        <v/>
      </c>
      <c r="F93" s="31" t="str" cm="1">
        <f t="array" ref="F93">IF(A93="","",IFERROR(INDEX('Asset Detail'!C:C,_xlfn.XMATCH(A93,'Asset Detail'!A:A,3)),"—"))</f>
        <v/>
      </c>
      <c r="G93" s="32" t="str" cm="1">
        <f t="array" ref="G93">IF(A93="","",IFERROR(INDEX('Asset Detail'!E:E,_xlfn.XMATCH(A93,'Asset Detail'!A:A,3)),"—"))</f>
        <v/>
      </c>
      <c r="H93" s="34"/>
      <c r="I93" s="39"/>
    </row>
    <row r="94" spans="1:9" x14ac:dyDescent="0.25">
      <c r="A94" s="23" t="str">
        <f t="shared" si="1"/>
        <v/>
      </c>
      <c r="B94" s="38"/>
      <c r="C94" s="34"/>
      <c r="D94" s="180" t="s">
        <v>4</v>
      </c>
      <c r="E94" s="32" t="str">
        <f>IF(A94="","",IF(COUNTIF('Asset Detail'!A:A,A94)&gt;0,"✓ Found","✗ Not Found"))</f>
        <v/>
      </c>
      <c r="F94" s="31" t="str" cm="1">
        <f t="array" ref="F94">IF(A94="","",IFERROR(INDEX('Asset Detail'!C:C,_xlfn.XMATCH(A94,'Asset Detail'!A:A,3)),"—"))</f>
        <v/>
      </c>
      <c r="G94" s="32" t="str" cm="1">
        <f t="array" ref="G94">IF(A94="","",IFERROR(INDEX('Asset Detail'!E:E,_xlfn.XMATCH(A94,'Asset Detail'!A:A,3)),"—"))</f>
        <v/>
      </c>
      <c r="H94" s="34"/>
      <c r="I94" s="39"/>
    </row>
    <row r="95" spans="1:9" x14ac:dyDescent="0.25">
      <c r="A95" s="23" t="str">
        <f t="shared" si="1"/>
        <v/>
      </c>
      <c r="B95" s="38"/>
      <c r="C95" s="34"/>
      <c r="D95" s="180" t="s">
        <v>4</v>
      </c>
      <c r="E95" s="32" t="str">
        <f>IF(A95="","",IF(COUNTIF('Asset Detail'!A:A,A95)&gt;0,"✓ Found","✗ Not Found"))</f>
        <v/>
      </c>
      <c r="F95" s="31" t="str" cm="1">
        <f t="array" ref="F95">IF(A95="","",IFERROR(INDEX('Asset Detail'!C:C,_xlfn.XMATCH(A95,'Asset Detail'!A:A,3)),"—"))</f>
        <v/>
      </c>
      <c r="G95" s="32" t="str" cm="1">
        <f t="array" ref="G95">IF(A95="","",IFERROR(INDEX('Asset Detail'!E:E,_xlfn.XMATCH(A95,'Asset Detail'!A:A,3)),"—"))</f>
        <v/>
      </c>
      <c r="H95" s="34"/>
      <c r="I95" s="39"/>
    </row>
    <row r="96" spans="1:9" x14ac:dyDescent="0.25">
      <c r="A96" s="23" t="str">
        <f t="shared" si="1"/>
        <v/>
      </c>
      <c r="B96" s="38"/>
      <c r="C96" s="34"/>
      <c r="D96" s="180" t="s">
        <v>4</v>
      </c>
      <c r="E96" s="32" t="str">
        <f>IF(A96="","",IF(COUNTIF('Asset Detail'!A:A,A96)&gt;0,"✓ Found","✗ Not Found"))</f>
        <v/>
      </c>
      <c r="F96" s="31" t="str" cm="1">
        <f t="array" ref="F96">IF(A96="","",IFERROR(INDEX('Asset Detail'!C:C,_xlfn.XMATCH(A96,'Asset Detail'!A:A,3)),"—"))</f>
        <v/>
      </c>
      <c r="G96" s="32" t="str" cm="1">
        <f t="array" ref="G96">IF(A96="","",IFERROR(INDEX('Asset Detail'!E:E,_xlfn.XMATCH(A96,'Asset Detail'!A:A,3)),"—"))</f>
        <v/>
      </c>
      <c r="H96" s="34"/>
      <c r="I96" s="39"/>
    </row>
    <row r="97" spans="1:9" x14ac:dyDescent="0.25">
      <c r="A97" s="23" t="str">
        <f t="shared" si="1"/>
        <v/>
      </c>
      <c r="B97" s="38"/>
      <c r="C97" s="34"/>
      <c r="D97" s="180" t="s">
        <v>4</v>
      </c>
      <c r="E97" s="32" t="str">
        <f>IF(A97="","",IF(COUNTIF('Asset Detail'!A:A,A97)&gt;0,"✓ Found","✗ Not Found"))</f>
        <v/>
      </c>
      <c r="F97" s="31" t="str" cm="1">
        <f t="array" ref="F97">IF(A97="","",IFERROR(INDEX('Asset Detail'!C:C,_xlfn.XMATCH(A97,'Asset Detail'!A:A,3)),"—"))</f>
        <v/>
      </c>
      <c r="G97" s="32" t="str" cm="1">
        <f t="array" ref="G97">IF(A97="","",IFERROR(INDEX('Asset Detail'!E:E,_xlfn.XMATCH(A97,'Asset Detail'!A:A,3)),"—"))</f>
        <v/>
      </c>
      <c r="H97" s="34"/>
      <c r="I97" s="39"/>
    </row>
    <row r="98" spans="1:9" x14ac:dyDescent="0.25">
      <c r="A98" s="23" t="str">
        <f t="shared" si="1"/>
        <v/>
      </c>
      <c r="B98" s="38"/>
      <c r="C98" s="34"/>
      <c r="D98" s="180" t="s">
        <v>4</v>
      </c>
      <c r="E98" s="32" t="str">
        <f>IF(A98="","",IF(COUNTIF('Asset Detail'!A:A,A98)&gt;0,"✓ Found","✗ Not Found"))</f>
        <v/>
      </c>
      <c r="F98" s="31" t="str" cm="1">
        <f t="array" ref="F98">IF(A98="","",IFERROR(INDEX('Asset Detail'!C:C,_xlfn.XMATCH(A98,'Asset Detail'!A:A,3)),"—"))</f>
        <v/>
      </c>
      <c r="G98" s="32" t="str" cm="1">
        <f t="array" ref="G98">IF(A98="","",IFERROR(INDEX('Asset Detail'!E:E,_xlfn.XMATCH(A98,'Asset Detail'!A:A,3)),"—"))</f>
        <v/>
      </c>
      <c r="H98" s="34"/>
      <c r="I98" s="39"/>
    </row>
    <row r="99" spans="1:9" x14ac:dyDescent="0.25">
      <c r="A99" s="23" t="str">
        <f t="shared" si="1"/>
        <v/>
      </c>
      <c r="B99" s="38"/>
      <c r="C99" s="34"/>
      <c r="D99" s="180" t="s">
        <v>4</v>
      </c>
      <c r="E99" s="32" t="str">
        <f>IF(A99="","",IF(COUNTIF('Asset Detail'!A:A,A99)&gt;0,"✓ Found","✗ Not Found"))</f>
        <v/>
      </c>
      <c r="F99" s="31" t="str" cm="1">
        <f t="array" ref="F99">IF(A99="","",IFERROR(INDEX('Asset Detail'!C:C,_xlfn.XMATCH(A99,'Asset Detail'!A:A,3)),"—"))</f>
        <v/>
      </c>
      <c r="G99" s="32" t="str" cm="1">
        <f t="array" ref="G99">IF(A99="","",IFERROR(INDEX('Asset Detail'!E:E,_xlfn.XMATCH(A99,'Asset Detail'!A:A,3)),"—"))</f>
        <v/>
      </c>
      <c r="H99" s="34"/>
      <c r="I99" s="39"/>
    </row>
    <row r="100" spans="1:9" x14ac:dyDescent="0.25">
      <c r="A100" s="23" t="str">
        <f t="shared" si="1"/>
        <v/>
      </c>
      <c r="B100" s="38"/>
      <c r="C100" s="34"/>
      <c r="D100" s="180" t="s">
        <v>4</v>
      </c>
      <c r="E100" s="32" t="str">
        <f>IF(A100="","",IF(COUNTIF('Asset Detail'!A:A,A100)&gt;0,"✓ Found","✗ Not Found"))</f>
        <v/>
      </c>
      <c r="F100" s="31" t="str" cm="1">
        <f t="array" ref="F100">IF(A100="","",IFERROR(INDEX('Asset Detail'!C:C,_xlfn.XMATCH(A100,'Asset Detail'!A:A,3)),"—"))</f>
        <v/>
      </c>
      <c r="G100" s="32" t="str" cm="1">
        <f t="array" ref="G100">IF(A100="","",IFERROR(INDEX('Asset Detail'!E:E,_xlfn.XMATCH(A100,'Asset Detail'!A:A,3)),"—"))</f>
        <v/>
      </c>
      <c r="H100" s="34"/>
      <c r="I100" s="39"/>
    </row>
    <row r="101" spans="1:9" x14ac:dyDescent="0.25">
      <c r="A101" s="23" t="str">
        <f t="shared" si="1"/>
        <v>19353523600590</v>
      </c>
      <c r="B101" s="38"/>
      <c r="C101" s="34"/>
      <c r="D101" s="180" t="s">
        <v>4</v>
      </c>
      <c r="E101" s="32" t="str">
        <f>IF(A101="","",IF(COUNTIF('Asset Detail'!A:A,A101)&gt;0,"✓ Found","✗ Not Found"))</f>
        <v>✓ Found</v>
      </c>
      <c r="F101" s="31" t="str" cm="1">
        <f t="array" ref="F101">IF(A101="","",IFERROR(INDEX('Asset Detail'!C:C,_xlfn.XMATCH(A101,'Asset Detail'!A:A,3)),"—"))</f>
        <v>L10WA</v>
      </c>
      <c r="G101" s="32" t="str" cm="1">
        <f t="array" ref="G101">IF(A101="","",IFERROR(INDEX('Asset Detail'!E:E,_xlfn.XMATCH(A101,'Asset Detail'!A:A,3)),"—"))</f>
        <v>G</v>
      </c>
      <c r="H101" s="34"/>
      <c r="I101" s="39">
        <v>19353523600590</v>
      </c>
    </row>
    <row r="102" spans="1:9" x14ac:dyDescent="0.25">
      <c r="A102" s="23" t="str">
        <f t="shared" si="1"/>
        <v>20114523600384</v>
      </c>
      <c r="B102" s="38"/>
      <c r="C102" s="34"/>
      <c r="D102" s="180" t="s">
        <v>4</v>
      </c>
      <c r="E102" s="32" t="str">
        <f>IF(A102="","",IF(COUNTIF('Asset Detail'!A:A,A102)&gt;0,"✓ Found","✗ Not Found"))</f>
        <v>✓ Found</v>
      </c>
      <c r="F102" s="31" t="str" cm="1">
        <f t="array" ref="F102">IF(A102="","",IFERROR(INDEX('Asset Detail'!C:C,_xlfn.XMATCH(A102,'Asset Detail'!A:A,3)),"—"))</f>
        <v>L10WA</v>
      </c>
      <c r="G102" s="32" t="str" cm="1">
        <f t="array" ref="G102">IF(A102="","",IFERROR(INDEX('Asset Detail'!E:E,_xlfn.XMATCH(A102,'Asset Detail'!A:A,3)),"—"))</f>
        <v>G</v>
      </c>
      <c r="H102" s="34"/>
      <c r="I102" s="39">
        <v>20114523600384</v>
      </c>
    </row>
    <row r="103" spans="1:9" x14ac:dyDescent="0.25">
      <c r="A103" s="23" t="str">
        <f t="shared" si="1"/>
        <v>21195523600067</v>
      </c>
      <c r="B103" s="38"/>
      <c r="C103" s="34"/>
      <c r="D103" s="180" t="s">
        <v>4</v>
      </c>
      <c r="E103" s="32" t="str">
        <f>IF(A103="","",IF(COUNTIF('Asset Detail'!A:A,A103)&gt;0,"✓ Found","✗ Not Found"))</f>
        <v>✓ Found</v>
      </c>
      <c r="F103" s="31" t="str" cm="1">
        <f t="array" ref="F103">IF(A103="","",IFERROR(INDEX('Asset Detail'!C:C,_xlfn.XMATCH(A103,'Asset Detail'!A:A,3)),"—"))</f>
        <v>L10WA</v>
      </c>
      <c r="G103" s="32" t="str" cm="1">
        <f t="array" ref="G103">IF(A103="","",IFERROR(INDEX('Asset Detail'!E:E,_xlfn.XMATCH(A103,'Asset Detail'!A:A,3)),"—"))</f>
        <v>G</v>
      </c>
      <c r="H103" s="34"/>
      <c r="I103" s="39">
        <v>21195523600067</v>
      </c>
    </row>
    <row r="104" spans="1:9" x14ac:dyDescent="0.25">
      <c r="A104" s="23" t="str">
        <f t="shared" si="1"/>
        <v/>
      </c>
      <c r="B104" s="38"/>
      <c r="C104" s="34"/>
      <c r="D104" s="180" t="s">
        <v>4</v>
      </c>
      <c r="E104" s="32" t="str">
        <f>IF(A104="","",IF(COUNTIF('Asset Detail'!A:A,A104)&gt;0,"✓ Found","✗ Not Found"))</f>
        <v/>
      </c>
      <c r="F104" s="31" t="str" cm="1">
        <f t="array" ref="F104">IF(A104="","",IFERROR(INDEX('Asset Detail'!C:C,_xlfn.XMATCH(A104,'Asset Detail'!A:A,3)),"—"))</f>
        <v/>
      </c>
      <c r="G104" s="32" t="str" cm="1">
        <f t="array" ref="G104">IF(A104="","",IFERROR(INDEX('Asset Detail'!E:E,_xlfn.XMATCH(A104,'Asset Detail'!A:A,3)),"—"))</f>
        <v/>
      </c>
      <c r="H104" s="34"/>
      <c r="I104" s="39"/>
    </row>
    <row r="105" spans="1:9" x14ac:dyDescent="0.25">
      <c r="A105" s="23" t="str">
        <f t="shared" si="1"/>
        <v/>
      </c>
      <c r="B105" s="38"/>
      <c r="C105" s="34"/>
      <c r="D105" s="180" t="s">
        <v>4</v>
      </c>
      <c r="E105" s="32" t="str">
        <f>IF(A105="","",IF(COUNTIF('Asset Detail'!A:A,A105)&gt;0,"✓ Found","✗ Not Found"))</f>
        <v/>
      </c>
      <c r="F105" s="31" t="str" cm="1">
        <f t="array" ref="F105">IF(A105="","",IFERROR(INDEX('Asset Detail'!C:C,_xlfn.XMATCH(A105,'Asset Detail'!A:A,3)),"—"))</f>
        <v/>
      </c>
      <c r="G105" s="32" t="str" cm="1">
        <f t="array" ref="G105">IF(A105="","",IFERROR(INDEX('Asset Detail'!E:E,_xlfn.XMATCH(A105,'Asset Detail'!A:A,3)),"—"))</f>
        <v/>
      </c>
      <c r="H105" s="34"/>
      <c r="I105" s="39"/>
    </row>
    <row r="106" spans="1:9" x14ac:dyDescent="0.25">
      <c r="A106" s="23" t="str">
        <f t="shared" si="1"/>
        <v/>
      </c>
      <c r="B106" s="38"/>
      <c r="C106" s="34"/>
      <c r="D106" s="180" t="s">
        <v>4</v>
      </c>
      <c r="E106" s="32" t="str">
        <f>IF(A106="","",IF(COUNTIF('Asset Detail'!A:A,A106)&gt;0,"✓ Found","✗ Not Found"))</f>
        <v/>
      </c>
      <c r="F106" s="31" t="str" cm="1">
        <f t="array" ref="F106">IF(A106="","",IFERROR(INDEX('Asset Detail'!C:C,_xlfn.XMATCH(A106,'Asset Detail'!A:A,3)),"—"))</f>
        <v/>
      </c>
      <c r="G106" s="32" t="str" cm="1">
        <f t="array" ref="G106">IF(A106="","",IFERROR(INDEX('Asset Detail'!E:E,_xlfn.XMATCH(A106,'Asset Detail'!A:A,3)),"—"))</f>
        <v/>
      </c>
      <c r="H106" s="34"/>
      <c r="I106" s="39"/>
    </row>
    <row r="107" spans="1:9" x14ac:dyDescent="0.25">
      <c r="A107" s="23" t="str">
        <f t="shared" si="1"/>
        <v/>
      </c>
      <c r="B107" s="38"/>
      <c r="C107" s="34"/>
      <c r="D107" s="180" t="s">
        <v>4</v>
      </c>
      <c r="E107" s="32" t="str">
        <f>IF(A107="","",IF(COUNTIF('Asset Detail'!A:A,A107)&gt;0,"✓ Found","✗ Not Found"))</f>
        <v/>
      </c>
      <c r="F107" s="31" t="str" cm="1">
        <f t="array" ref="F107">IF(A107="","",IFERROR(INDEX('Asset Detail'!C:C,_xlfn.XMATCH(A107,'Asset Detail'!A:A,3)),"—"))</f>
        <v/>
      </c>
      <c r="G107" s="32" t="str" cm="1">
        <f t="array" ref="G107">IF(A107="","",IFERROR(INDEX('Asset Detail'!E:E,_xlfn.XMATCH(A107,'Asset Detail'!A:A,3)),"—"))</f>
        <v/>
      </c>
      <c r="H107" s="34"/>
      <c r="I107" s="39"/>
    </row>
    <row r="108" spans="1:9" x14ac:dyDescent="0.25">
      <c r="A108" s="23" t="str">
        <f t="shared" si="1"/>
        <v/>
      </c>
      <c r="B108" s="38"/>
      <c r="C108" s="34"/>
      <c r="D108" s="180" t="s">
        <v>4</v>
      </c>
      <c r="E108" s="32" t="str">
        <f>IF(A108="","",IF(COUNTIF('Asset Detail'!A:A,A108)&gt;0,"✓ Found","✗ Not Found"))</f>
        <v/>
      </c>
      <c r="F108" s="31" t="str" cm="1">
        <f t="array" ref="F108">IF(A108="","",IFERROR(INDEX('Asset Detail'!C:C,_xlfn.XMATCH(A108,'Asset Detail'!A:A,3)),"—"))</f>
        <v/>
      </c>
      <c r="G108" s="32" t="str" cm="1">
        <f t="array" ref="G108">IF(A108="","",IFERROR(INDEX('Asset Detail'!E:E,_xlfn.XMATCH(A108,'Asset Detail'!A:A,3)),"—"))</f>
        <v/>
      </c>
      <c r="H108" s="34"/>
      <c r="I108" s="39"/>
    </row>
    <row r="109" spans="1:9" x14ac:dyDescent="0.25">
      <c r="A109" s="23" t="str">
        <f t="shared" si="1"/>
        <v/>
      </c>
      <c r="B109" s="38"/>
      <c r="C109" s="34"/>
      <c r="D109" s="180" t="s">
        <v>4</v>
      </c>
      <c r="E109" s="32" t="str">
        <f>IF(A109="","",IF(COUNTIF('Asset Detail'!A:A,A109)&gt;0,"✓ Found","✗ Not Found"))</f>
        <v/>
      </c>
      <c r="F109" s="31" t="str" cm="1">
        <f t="array" ref="F109">IF(A109="","",IFERROR(INDEX('Asset Detail'!C:C,_xlfn.XMATCH(A109,'Asset Detail'!A:A,3)),"—"))</f>
        <v/>
      </c>
      <c r="G109" s="32" t="str" cm="1">
        <f t="array" ref="G109">IF(A109="","",IFERROR(INDEX('Asset Detail'!E:E,_xlfn.XMATCH(A109,'Asset Detail'!A:A,3)),"—"))</f>
        <v/>
      </c>
      <c r="H109" s="34"/>
      <c r="I109" s="39"/>
    </row>
    <row r="110" spans="1:9" x14ac:dyDescent="0.25">
      <c r="A110" s="23" t="str">
        <f t="shared" si="1"/>
        <v/>
      </c>
      <c r="B110" s="38"/>
      <c r="C110" s="34"/>
      <c r="D110" s="180" t="s">
        <v>4</v>
      </c>
      <c r="E110" s="32" t="str">
        <f>IF(A110="","",IF(COUNTIF('Asset Detail'!A:A,A110)&gt;0,"✓ Found","✗ Not Found"))</f>
        <v/>
      </c>
      <c r="F110" s="31" t="str" cm="1">
        <f t="array" ref="F110">IF(A110="","",IFERROR(INDEX('Asset Detail'!C:C,_xlfn.XMATCH(A110,'Asset Detail'!A:A,3)),"—"))</f>
        <v/>
      </c>
      <c r="G110" s="32" t="str" cm="1">
        <f t="array" ref="G110">IF(A110="","",IFERROR(INDEX('Asset Detail'!E:E,_xlfn.XMATCH(A110,'Asset Detail'!A:A,3)),"—"))</f>
        <v/>
      </c>
      <c r="H110" s="34"/>
      <c r="I110" s="39"/>
    </row>
    <row r="111" spans="1:9" x14ac:dyDescent="0.25">
      <c r="A111" s="23" t="str">
        <f t="shared" si="1"/>
        <v/>
      </c>
      <c r="B111" s="38"/>
      <c r="C111" s="34"/>
      <c r="D111" s="180" t="s">
        <v>4</v>
      </c>
      <c r="E111" s="32" t="str">
        <f>IF(A111="","",IF(COUNTIF('Asset Detail'!A:A,A111)&gt;0,"✓ Found","✗ Not Found"))</f>
        <v/>
      </c>
      <c r="F111" s="31" t="str" cm="1">
        <f t="array" ref="F111">IF(A111="","",IFERROR(INDEX('Asset Detail'!C:C,_xlfn.XMATCH(A111,'Asset Detail'!A:A,3)),"—"))</f>
        <v/>
      </c>
      <c r="G111" s="32" t="str" cm="1">
        <f t="array" ref="G111">IF(A111="","",IFERROR(INDEX('Asset Detail'!E:E,_xlfn.XMATCH(A111,'Asset Detail'!A:A,3)),"—"))</f>
        <v/>
      </c>
      <c r="H111" s="34"/>
      <c r="I111" s="39"/>
    </row>
    <row r="112" spans="1:9" x14ac:dyDescent="0.25">
      <c r="A112" s="23" t="str">
        <f t="shared" si="1"/>
        <v/>
      </c>
      <c r="B112" s="38"/>
      <c r="C112" s="34"/>
      <c r="D112" s="180" t="s">
        <v>4</v>
      </c>
      <c r="E112" s="32" t="str">
        <f>IF(A112="","",IF(COUNTIF('Asset Detail'!A:A,A112)&gt;0,"✓ Found","✗ Not Found"))</f>
        <v/>
      </c>
      <c r="F112" s="31" t="str" cm="1">
        <f t="array" ref="F112">IF(A112="","",IFERROR(INDEX('Asset Detail'!C:C,_xlfn.XMATCH(A112,'Asset Detail'!A:A,3)),"—"))</f>
        <v/>
      </c>
      <c r="G112" s="32" t="str" cm="1">
        <f t="array" ref="G112">IF(A112="","",IFERROR(INDEX('Asset Detail'!E:E,_xlfn.XMATCH(A112,'Asset Detail'!A:A,3)),"—"))</f>
        <v/>
      </c>
      <c r="H112" s="34"/>
      <c r="I112" s="39"/>
    </row>
    <row r="113" spans="1:9" x14ac:dyDescent="0.25">
      <c r="A113" s="23" t="str">
        <f t="shared" si="1"/>
        <v/>
      </c>
      <c r="B113" s="38"/>
      <c r="C113" s="34"/>
      <c r="D113" s="180" t="s">
        <v>4</v>
      </c>
      <c r="E113" s="32" t="str">
        <f>IF(A113="","",IF(COUNTIF('Asset Detail'!A:A,A11)&gt;0,"✓ Found","✗ Not Found"))</f>
        <v/>
      </c>
      <c r="F113" s="31" t="str" cm="1">
        <f t="array" ref="F113">IF(A113="","",IFERROR(INDEX('Asset Detail'!C:C,_xlfn.XMATCH(A113,'Asset Detail'!A:A,3)),"—"))</f>
        <v/>
      </c>
      <c r="G113" s="32" t="str" cm="1">
        <f t="array" ref="G113">IF(A113="","",IFERROR(INDEX('Asset Detail'!E:E,_xlfn.XMATCH(A113,'Asset Detail'!A:A,3)),"—"))</f>
        <v/>
      </c>
      <c r="H113" s="34"/>
      <c r="I113" s="39"/>
    </row>
    <row r="114" spans="1:9" x14ac:dyDescent="0.25">
      <c r="A114" s="23" t="str">
        <f t="shared" si="1"/>
        <v/>
      </c>
      <c r="B114" s="38"/>
      <c r="C114" s="34"/>
      <c r="D114" s="180" t="s">
        <v>4</v>
      </c>
      <c r="E114" s="32" t="str">
        <f>IF(A114="","",IF(COUNTIF('Asset Detail'!A:A,A114)&gt;0,"✓ Found","✗ Not Found"))</f>
        <v/>
      </c>
      <c r="F114" s="31" t="str" cm="1">
        <f t="array" ref="F114">IF(A114="","",IFERROR(INDEX('Asset Detail'!C:C,_xlfn.XMATCH(A114,'Asset Detail'!A:A,3)),"—"))</f>
        <v/>
      </c>
      <c r="G114" s="32" t="str" cm="1">
        <f t="array" ref="G114">IF(A114="","",IFERROR(INDEX('Asset Detail'!E:E,_xlfn.XMATCH(A114,'Asset Detail'!A:A,3)),"—"))</f>
        <v/>
      </c>
      <c r="H114" s="34"/>
      <c r="I114" s="39"/>
    </row>
    <row r="115" spans="1:9" x14ac:dyDescent="0.25">
      <c r="A115" s="23" t="str">
        <f t="shared" si="1"/>
        <v/>
      </c>
      <c r="B115" s="38"/>
      <c r="C115" s="34"/>
      <c r="D115" s="180" t="s">
        <v>4</v>
      </c>
      <c r="E115" s="32" t="str">
        <f>IF(A115="","",IF(COUNTIF('Asset Detail'!A:A,A115)&gt;0,"✓ Found","✗ Not Found"))</f>
        <v/>
      </c>
      <c r="F115" s="31" t="str" cm="1">
        <f t="array" ref="F115">IF(A115="","",IFERROR(INDEX('Asset Detail'!C:C,_xlfn.XMATCH(A115,'Asset Detail'!A:A,3)),"—"))</f>
        <v/>
      </c>
      <c r="G115" s="32" t="str" cm="1">
        <f t="array" ref="G115">IF(A115="","",IFERROR(INDEX('Asset Detail'!E:E,_xlfn.XMATCH(A115,'Asset Detail'!A:A,3)),"—"))</f>
        <v/>
      </c>
      <c r="H115" s="34"/>
      <c r="I115" s="39"/>
    </row>
    <row r="116" spans="1:9" x14ac:dyDescent="0.25">
      <c r="A116" s="23" t="str">
        <f t="shared" si="1"/>
        <v/>
      </c>
      <c r="B116" s="38"/>
      <c r="C116" s="34"/>
      <c r="D116" s="180" t="s">
        <v>4</v>
      </c>
      <c r="E116" s="32" t="str">
        <f>IF(A116="","",IF(COUNTIF('Asset Detail'!A:A,A116)&gt;0,"✓ Found","✗ Not Found"))</f>
        <v/>
      </c>
      <c r="F116" s="31" t="str" cm="1">
        <f t="array" ref="F116">IF(A116="","",IFERROR(INDEX('Asset Detail'!C:C,_xlfn.XMATCH(A116,'Asset Detail'!A:A,3)),"—"))</f>
        <v/>
      </c>
      <c r="G116" s="32" t="str" cm="1">
        <f t="array" ref="G116">IF(A116="","",IFERROR(INDEX('Asset Detail'!E:E,_xlfn.XMATCH(A116,'Asset Detail'!A:A,3)),"—"))</f>
        <v/>
      </c>
      <c r="H116" s="34"/>
      <c r="I116" s="39"/>
    </row>
    <row r="117" spans="1:9" x14ac:dyDescent="0.25">
      <c r="A117" s="23" t="str">
        <f t="shared" si="1"/>
        <v/>
      </c>
      <c r="B117" s="38"/>
      <c r="C117" s="34"/>
      <c r="D117" s="180" t="s">
        <v>4</v>
      </c>
      <c r="E117" s="32" t="str">
        <f>IF(A117="","",IF(COUNTIF('Asset Detail'!A:A,A117)&gt;0,"✓ Found","✗ Not Found"))</f>
        <v/>
      </c>
      <c r="F117" s="31" t="str" cm="1">
        <f t="array" ref="F117">IF(A117="","",IFERROR(INDEX('Asset Detail'!C:C,_xlfn.XMATCH(A117,'Asset Detail'!A:A,3)),"—"))</f>
        <v/>
      </c>
      <c r="G117" s="32" t="str" cm="1">
        <f t="array" ref="G117">IF(A117="","",IFERROR(INDEX('Asset Detail'!E:E,_xlfn.XMATCH(A117,'Asset Detail'!A:A,3)),"—"))</f>
        <v/>
      </c>
      <c r="H117" s="34"/>
      <c r="I117" s="39"/>
    </row>
    <row r="118" spans="1:9" x14ac:dyDescent="0.25">
      <c r="A118" s="23" t="str">
        <f t="shared" si="1"/>
        <v/>
      </c>
      <c r="B118" s="38"/>
      <c r="C118" s="34"/>
      <c r="D118" s="180" t="s">
        <v>4</v>
      </c>
      <c r="E118" s="32" t="str">
        <f>IF(A118="","",IF(COUNTIF('Asset Detail'!A:A,A118)&gt;0,"✓ Found","✗ Not Found"))</f>
        <v/>
      </c>
      <c r="F118" s="31" t="str" cm="1">
        <f t="array" ref="F118">IF(A118="","",IFERROR(INDEX('Asset Detail'!C:C,_xlfn.XMATCH(A118,'Asset Detail'!A:A,3)),"—"))</f>
        <v/>
      </c>
      <c r="G118" s="32" t="str" cm="1">
        <f t="array" ref="G118">IF(A118="","",IFERROR(INDEX('Asset Detail'!E:E,_xlfn.XMATCH(A118,'Asset Detail'!A:A,3)),"—"))</f>
        <v/>
      </c>
      <c r="H118" s="34"/>
      <c r="I118" s="39"/>
    </row>
    <row r="119" spans="1:9" x14ac:dyDescent="0.25">
      <c r="A119" s="23" t="str">
        <f t="shared" si="1"/>
        <v/>
      </c>
      <c r="B119" s="38"/>
      <c r="C119" s="34"/>
      <c r="D119" s="180" t="s">
        <v>4</v>
      </c>
      <c r="E119" s="32" t="str">
        <f>IF(A119="","",IF(COUNTIF('Asset Detail'!A:A,A119)&gt;0,"✓ Found","✗ Not Found"))</f>
        <v/>
      </c>
      <c r="F119" s="31" t="str" cm="1">
        <f t="array" ref="F119">IF(A119="","",IFERROR(INDEX('Asset Detail'!C:C,_xlfn.XMATCH(A119,'Asset Detail'!A:A,3)),"—"))</f>
        <v/>
      </c>
      <c r="G119" s="32" t="str" cm="1">
        <f t="array" ref="G119">IF(A119="","",IFERROR(INDEX('Asset Detail'!E:E,_xlfn.XMATCH(A119,'Asset Detail'!A:A,3)),"—"))</f>
        <v/>
      </c>
      <c r="H119" s="34"/>
      <c r="I119" s="39"/>
    </row>
    <row r="120" spans="1:9" x14ac:dyDescent="0.25">
      <c r="A120" s="23" t="str">
        <f t="shared" si="1"/>
        <v/>
      </c>
      <c r="B120" s="38"/>
      <c r="C120" s="34"/>
      <c r="D120" s="180" t="s">
        <v>4</v>
      </c>
      <c r="E120" s="32" t="str">
        <f>IF(A120="","",IF(COUNTIF('Asset Detail'!A:A,A120)&gt;0,"✓ Found","✗ Not Found"))</f>
        <v/>
      </c>
      <c r="F120" s="31" t="str" cm="1">
        <f t="array" ref="F120">IF(A120="","",IFERROR(INDEX('Asset Detail'!C:C,_xlfn.XMATCH(A120,'Asset Detail'!A:A,3)),"—"))</f>
        <v/>
      </c>
      <c r="G120" s="32" t="str" cm="1">
        <f t="array" ref="G120">IF(A120="","",IFERROR(INDEX('Asset Detail'!E:E,_xlfn.XMATCH(A120,'Asset Detail'!A:A,3)),"—"))</f>
        <v/>
      </c>
      <c r="H120" s="34"/>
      <c r="I120" s="39"/>
    </row>
    <row r="121" spans="1:9" x14ac:dyDescent="0.25">
      <c r="A121" s="23" t="str">
        <f t="shared" si="1"/>
        <v/>
      </c>
      <c r="B121" s="38"/>
      <c r="C121" s="34"/>
      <c r="D121" s="180" t="s">
        <v>4</v>
      </c>
      <c r="E121" s="32" t="str">
        <f>IF(A121="","",IF(COUNTIF('Asset Detail'!A:A,A121)&gt;0,"✓ Found","✗ Not Found"))</f>
        <v/>
      </c>
      <c r="F121" s="31" t="str" cm="1">
        <f t="array" ref="F121">IF(A121="","",IFERROR(INDEX('Asset Detail'!C:C,_xlfn.XMATCH(A121,'Asset Detail'!A:A,3)),"—"))</f>
        <v/>
      </c>
      <c r="G121" s="32" t="str" cm="1">
        <f t="array" ref="G121">IF(A121="","",IFERROR(INDEX('Asset Detail'!E:E,_xlfn.XMATCH(A121,'Asset Detail'!A:A,3)),"—"))</f>
        <v/>
      </c>
      <c r="H121" s="34"/>
      <c r="I121" s="39"/>
    </row>
    <row r="122" spans="1:9" x14ac:dyDescent="0.25">
      <c r="A122" s="23" t="str">
        <f t="shared" si="1"/>
        <v/>
      </c>
      <c r="B122" s="38"/>
      <c r="C122" s="34"/>
      <c r="D122" s="180" t="s">
        <v>4</v>
      </c>
      <c r="E122" s="32" t="str">
        <f>IF(A122="","",IF(COUNTIF('Asset Detail'!A:A,A122)&gt;0,"✓ Found","✗ Not Found"))</f>
        <v/>
      </c>
      <c r="F122" s="31" t="str" cm="1">
        <f t="array" ref="F122">IF(A122="","",IFERROR(INDEX('Asset Detail'!C:C,_xlfn.XMATCH(A122,'Asset Detail'!A:A,3)),"—"))</f>
        <v/>
      </c>
      <c r="G122" s="32" t="str" cm="1">
        <f t="array" ref="G122">IF(A122="","",IFERROR(INDEX('Asset Detail'!E:E,_xlfn.XMATCH(A122,'Asset Detail'!A:A,3)),"—"))</f>
        <v/>
      </c>
      <c r="H122" s="34"/>
      <c r="I122" s="39"/>
    </row>
    <row r="123" spans="1:9" x14ac:dyDescent="0.25">
      <c r="A123" s="23" t="str">
        <f t="shared" si="1"/>
        <v/>
      </c>
      <c r="B123" s="38"/>
      <c r="C123" s="34"/>
      <c r="D123" s="180" t="s">
        <v>4</v>
      </c>
      <c r="E123" s="32" t="str">
        <f>IF(A123="","",IF(COUNTIF('Asset Detail'!A:A,A123)&gt;0,"✓ Found","✗ Not Found"))</f>
        <v/>
      </c>
      <c r="F123" s="31" t="str" cm="1">
        <f t="array" ref="F123">IF(A123="","",IFERROR(INDEX('Asset Detail'!C:C,_xlfn.XMATCH(A123,'Asset Detail'!A:A,3)),"—"))</f>
        <v/>
      </c>
      <c r="G123" s="32" t="str" cm="1">
        <f t="array" ref="G123">IF(A123="","",IFERROR(INDEX('Asset Detail'!E:E,_xlfn.XMATCH(A123,'Asset Detail'!A:A,3)),"—"))</f>
        <v/>
      </c>
      <c r="H123" s="34"/>
      <c r="I123" s="39"/>
    </row>
    <row r="124" spans="1:9" x14ac:dyDescent="0.25">
      <c r="A124" s="23" t="str">
        <f t="shared" si="1"/>
        <v/>
      </c>
      <c r="B124" s="38"/>
      <c r="C124" s="34"/>
      <c r="D124" s="180" t="s">
        <v>4</v>
      </c>
      <c r="E124" s="32" t="str">
        <f>IF(A124="","",IF(COUNTIF('Asset Detail'!A:A,A124)&gt;0,"✓ Found","✗ Not Found"))</f>
        <v/>
      </c>
      <c r="F124" s="31" t="str" cm="1">
        <f t="array" ref="F124">IF(A124="","",IFERROR(INDEX('Asset Detail'!C:C,_xlfn.XMATCH(A124,'Asset Detail'!A:A,3)),"—"))</f>
        <v/>
      </c>
      <c r="G124" s="32" t="str" cm="1">
        <f t="array" ref="G124">IF(A124="","",IFERROR(INDEX('Asset Detail'!E:E,_xlfn.XMATCH(A124,'Asset Detail'!A:A,3)),"—"))</f>
        <v/>
      </c>
      <c r="H124" s="34"/>
      <c r="I124" s="39"/>
    </row>
    <row r="125" spans="1:9" x14ac:dyDescent="0.25">
      <c r="A125" s="23" t="str">
        <f t="shared" si="1"/>
        <v/>
      </c>
      <c r="B125" s="38"/>
      <c r="C125" s="34"/>
      <c r="D125" s="180" t="s">
        <v>4</v>
      </c>
      <c r="E125" s="32" t="str">
        <f>IF(A125="","",IF(COUNTIF('Asset Detail'!A:A,A125)&gt;0,"✓ Found","✗ Not Found"))</f>
        <v/>
      </c>
      <c r="F125" s="31" t="str" cm="1">
        <f t="array" ref="F125">IF(A125="","",IFERROR(INDEX('Asset Detail'!C:C,_xlfn.XMATCH(A125,'Asset Detail'!A:A,3)),"—"))</f>
        <v/>
      </c>
      <c r="G125" s="32" t="str" cm="1">
        <f t="array" ref="G125">IF(A125="","",IFERROR(INDEX('Asset Detail'!E:E,_xlfn.XMATCH(A125,'Asset Detail'!A:A,3)),"—"))</f>
        <v/>
      </c>
      <c r="H125" s="34"/>
      <c r="I125" s="39"/>
    </row>
    <row r="126" spans="1:9" x14ac:dyDescent="0.25">
      <c r="A126" s="23" t="str">
        <f t="shared" si="1"/>
        <v/>
      </c>
      <c r="B126" s="38"/>
      <c r="C126" s="34"/>
      <c r="D126" s="180" t="s">
        <v>4</v>
      </c>
      <c r="E126" s="32" t="str">
        <f>IF(A126="","",IF(COUNTIF('Asset Detail'!A:A,A126)&gt;0,"✓ Found","✗ Not Found"))</f>
        <v/>
      </c>
      <c r="F126" s="31" t="str" cm="1">
        <f t="array" ref="F126">IF(A126="","",IFERROR(INDEX('Asset Detail'!C:C,_xlfn.XMATCH(A126,'Asset Detail'!A:A,3)),"—"))</f>
        <v/>
      </c>
      <c r="G126" s="32" t="str" cm="1">
        <f t="array" ref="G126">IF(A126="","",IFERROR(INDEX('Asset Detail'!E:E,_xlfn.XMATCH(A126,'Asset Detail'!A:A,3)),"—"))</f>
        <v/>
      </c>
      <c r="H126" s="34"/>
      <c r="I126" s="39"/>
    </row>
    <row r="127" spans="1:9" x14ac:dyDescent="0.25">
      <c r="A127" s="23" t="str">
        <f t="shared" si="1"/>
        <v/>
      </c>
      <c r="B127" s="38"/>
      <c r="C127" s="34"/>
      <c r="D127" s="180" t="s">
        <v>4</v>
      </c>
      <c r="E127" s="32" t="str">
        <f>IF(A127="","",IF(COUNTIF('Asset Detail'!A:A,A127)&gt;0,"✓ Found","✗ Not Found"))</f>
        <v/>
      </c>
      <c r="F127" s="31" t="str" cm="1">
        <f t="array" ref="F127">IF(A127="","",IFERROR(INDEX('Asset Detail'!C:C,_xlfn.XMATCH(A127,'Asset Detail'!A:A,3)),"—"))</f>
        <v/>
      </c>
      <c r="G127" s="32" t="str" cm="1">
        <f t="array" ref="G127">IF(A127="","",IFERROR(INDEX('Asset Detail'!E:E,_xlfn.XMATCH(A127,'Asset Detail'!A:A,3)),"—"))</f>
        <v/>
      </c>
      <c r="H127" s="34"/>
      <c r="I127" s="39"/>
    </row>
    <row r="128" spans="1:9" x14ac:dyDescent="0.25">
      <c r="A128" s="23" t="str">
        <f t="shared" si="1"/>
        <v/>
      </c>
      <c r="B128" s="38"/>
      <c r="C128" s="34"/>
      <c r="D128" s="180" t="s">
        <v>4</v>
      </c>
      <c r="E128" s="32" t="str">
        <f>IF(A128="","",IF(COUNTIF('Asset Detail'!A:A,A128)&gt;0,"✓ Found","✗ Not Found"))</f>
        <v/>
      </c>
      <c r="F128" s="31" t="str" cm="1">
        <f t="array" ref="F128">IF(A128="","",IFERROR(INDEX('Asset Detail'!C:C,_xlfn.XMATCH(A128,'Asset Detail'!A:A,3)),"—"))</f>
        <v/>
      </c>
      <c r="G128" s="32" t="str" cm="1">
        <f t="array" ref="G128">IF(A128="","",IFERROR(INDEX('Asset Detail'!E:E,_xlfn.XMATCH(A128,'Asset Detail'!A:A,3)),"—"))</f>
        <v/>
      </c>
      <c r="H128" s="34"/>
      <c r="I128" s="39"/>
    </row>
    <row r="129" spans="1:9" x14ac:dyDescent="0.25">
      <c r="A129" s="23" t="str">
        <f t="shared" si="1"/>
        <v/>
      </c>
      <c r="B129" s="38"/>
      <c r="C129" s="34"/>
      <c r="D129" s="180" t="s">
        <v>4</v>
      </c>
      <c r="E129" s="32" t="str">
        <f>IF(A129="","",IF(COUNTIF('Asset Detail'!A:A,A129)&gt;0,"✓ Found","✗ Not Found"))</f>
        <v/>
      </c>
      <c r="F129" s="31" t="str" cm="1">
        <f t="array" ref="F129">IF(A129="","",IFERROR(INDEX('Asset Detail'!C:C,_xlfn.XMATCH(A129,'Asset Detail'!A:A,3)),"—"))</f>
        <v/>
      </c>
      <c r="G129" s="32" t="str" cm="1">
        <f t="array" ref="G129">IF(A129="","",IFERROR(INDEX('Asset Detail'!E:E,_xlfn.XMATCH(A129,'Asset Detail'!A:A,3)),"—"))</f>
        <v/>
      </c>
      <c r="H129" s="34"/>
      <c r="I129" s="39"/>
    </row>
    <row r="130" spans="1:9" x14ac:dyDescent="0.25">
      <c r="A130" s="23" t="str">
        <f t="shared" si="1"/>
        <v/>
      </c>
      <c r="B130" s="38"/>
      <c r="C130" s="34"/>
      <c r="D130" s="180" t="s">
        <v>4</v>
      </c>
      <c r="E130" s="32" t="str">
        <f>IF(A130="","",IF(COUNTIF('Asset Detail'!A:A,A130)&gt;0,"✓ Found","✗ Not Found"))</f>
        <v/>
      </c>
      <c r="F130" s="31" t="str" cm="1">
        <f t="array" ref="F130">IF(A130="","",IFERROR(INDEX('Asset Detail'!C:C,_xlfn.XMATCH(A130,'Asset Detail'!A:A,3)),"—"))</f>
        <v/>
      </c>
      <c r="G130" s="32" t="str" cm="1">
        <f t="array" ref="G130">IF(A130="","",IFERROR(INDEX('Asset Detail'!E:E,_xlfn.XMATCH(A130,'Asset Detail'!A:A,3)),"—"))</f>
        <v/>
      </c>
      <c r="H130" s="34"/>
      <c r="I130" s="39"/>
    </row>
    <row r="131" spans="1:9" x14ac:dyDescent="0.25">
      <c r="A131" s="23" t="str">
        <f t="shared" si="1"/>
        <v/>
      </c>
      <c r="B131" s="38"/>
      <c r="C131" s="34"/>
      <c r="D131" s="180" t="s">
        <v>4</v>
      </c>
      <c r="E131" s="32" t="str">
        <f>IF(A131="","",IF(COUNTIF('Asset Detail'!A:A,A131)&gt;0,"✓ Found","✗ Not Found"))</f>
        <v/>
      </c>
      <c r="F131" s="31" t="str" cm="1">
        <f t="array" ref="F131">IF(A131="","",IFERROR(INDEX('Asset Detail'!C:C,_xlfn.XMATCH(A131,'Asset Detail'!A:A,3)),"—"))</f>
        <v/>
      </c>
      <c r="G131" s="32" t="str" cm="1">
        <f t="array" ref="G131">IF(A131="","",IFERROR(INDEX('Asset Detail'!E:E,_xlfn.XMATCH(A131,'Asset Detail'!A:A,3)),"—"))</f>
        <v/>
      </c>
      <c r="H131" s="34"/>
      <c r="I131" s="39"/>
    </row>
    <row r="132" spans="1:9" x14ac:dyDescent="0.25">
      <c r="A132" s="23" t="str">
        <f t="shared" si="1"/>
        <v/>
      </c>
      <c r="B132" s="38"/>
      <c r="C132" s="34"/>
      <c r="D132" s="180" t="s">
        <v>4</v>
      </c>
      <c r="E132" s="32" t="str">
        <f>IF(A132="","",IF(COUNTIF('Asset Detail'!A:A,A132)&gt;0,"✓ Found","✗ Not Found"))</f>
        <v/>
      </c>
      <c r="F132" s="31" t="str" cm="1">
        <f t="array" ref="F132">IF(A132="","",IFERROR(INDEX('Asset Detail'!C:C,_xlfn.XMATCH(A132,'Asset Detail'!A:A,3)),"—"))</f>
        <v/>
      </c>
      <c r="G132" s="32" t="str" cm="1">
        <f t="array" ref="G132">IF(A132="","",IFERROR(INDEX('Asset Detail'!E:E,_xlfn.XMATCH(A132,'Asset Detail'!A:A,3)),"—"))</f>
        <v/>
      </c>
      <c r="H132" s="34"/>
      <c r="I132" s="39"/>
    </row>
    <row r="133" spans="1:9" x14ac:dyDescent="0.25">
      <c r="A133" s="23" t="str">
        <f t="shared" si="1"/>
        <v/>
      </c>
      <c r="B133" s="38"/>
      <c r="C133" s="34"/>
      <c r="D133" s="180" t="s">
        <v>4</v>
      </c>
      <c r="E133" s="32" t="str">
        <f>IF(A133="","",IF(COUNTIF('Asset Detail'!A:A,A133)&gt;0,"✓ Found","✗ Not Found"))</f>
        <v/>
      </c>
      <c r="F133" s="31" t="str" cm="1">
        <f t="array" ref="F133">IF(A133="","",IFERROR(INDEX('Asset Detail'!C:C,_xlfn.XMATCH(A133,'Asset Detail'!A:A,3)),"—"))</f>
        <v/>
      </c>
      <c r="G133" s="32" t="str" cm="1">
        <f t="array" ref="G133">IF(A133="","",IFERROR(INDEX('Asset Detail'!E:E,_xlfn.XMATCH(A133,'Asset Detail'!A:A,3)),"—"))</f>
        <v/>
      </c>
      <c r="H133" s="34"/>
      <c r="I133" s="39"/>
    </row>
    <row r="134" spans="1:9" x14ac:dyDescent="0.25">
      <c r="A134" s="23" t="str">
        <f t="shared" si="1"/>
        <v/>
      </c>
      <c r="B134" s="38"/>
      <c r="C134" s="34"/>
      <c r="D134" s="180" t="s">
        <v>4</v>
      </c>
      <c r="E134" s="32" t="str">
        <f>IF(A134="","",IF(COUNTIF('Asset Detail'!A:A,A134)&gt;0,"✓ Found","✗ Not Found"))</f>
        <v/>
      </c>
      <c r="F134" s="31" t="str" cm="1">
        <f t="array" ref="F134">IF(A134="","",IFERROR(INDEX('Asset Detail'!C:C,_xlfn.XMATCH(A134,'Asset Detail'!A:A,3)),"—"))</f>
        <v/>
      </c>
      <c r="G134" s="32" t="str" cm="1">
        <f t="array" ref="G134">IF(A134="","",IFERROR(INDEX('Asset Detail'!E:E,_xlfn.XMATCH(A134,'Asset Detail'!A:A,3)),"—"))</f>
        <v/>
      </c>
      <c r="H134" s="34"/>
      <c r="I134" s="39"/>
    </row>
    <row r="135" spans="1:9" x14ac:dyDescent="0.25">
      <c r="A135" s="23" t="str">
        <f t="shared" si="1"/>
        <v/>
      </c>
      <c r="B135" s="38"/>
      <c r="C135" s="34"/>
      <c r="D135" s="180" t="s">
        <v>4</v>
      </c>
      <c r="E135" s="32" t="str">
        <f>IF(A135="","",IF(COUNTIF('Asset Detail'!A:A,A135)&gt;0,"✓ Found","✗ Not Found"))</f>
        <v/>
      </c>
      <c r="F135" s="31" t="str" cm="1">
        <f t="array" ref="F135">IF(A135="","",IFERROR(INDEX('Asset Detail'!C:C,_xlfn.XMATCH(A135,'Asset Detail'!A:A,3)),"—"))</f>
        <v/>
      </c>
      <c r="G135" s="32" t="str" cm="1">
        <f t="array" ref="G135">IF(A135="","",IFERROR(INDEX('Asset Detail'!E:E,_xlfn.XMATCH(A135,'Asset Detail'!A:A,3)),"—"))</f>
        <v/>
      </c>
      <c r="H135" s="34"/>
      <c r="I135" s="39"/>
    </row>
    <row r="136" spans="1:9" x14ac:dyDescent="0.25">
      <c r="A136" s="23" t="str">
        <f t="shared" si="1"/>
        <v/>
      </c>
      <c r="B136" s="38"/>
      <c r="C136" s="34"/>
      <c r="D136" s="180" t="s">
        <v>4</v>
      </c>
      <c r="E136" s="32" t="str">
        <f>IF(A136="","",IF(COUNTIF('Asset Detail'!A:A,A136)&gt;0,"✓ Found","✗ Not Found"))</f>
        <v/>
      </c>
      <c r="F136" s="31" t="str" cm="1">
        <f t="array" ref="F136">IF(A136="","",IFERROR(INDEX('Asset Detail'!C:C,_xlfn.XMATCH(A136,'Asset Detail'!A:A,3)),"—"))</f>
        <v/>
      </c>
      <c r="G136" s="32" t="str" cm="1">
        <f t="array" ref="G136">IF(A136="","",IFERROR(INDEX('Asset Detail'!E:E,_xlfn.XMATCH(A136,'Asset Detail'!A:A,3)),"—"))</f>
        <v/>
      </c>
      <c r="H136" s="34"/>
      <c r="I136" s="39"/>
    </row>
    <row r="137" spans="1:9" x14ac:dyDescent="0.25">
      <c r="A137" s="23" t="str">
        <f t="shared" ref="A137:A200" si="2">SUBSTITUTE(I137, "S", "")</f>
        <v/>
      </c>
      <c r="B137" s="38"/>
      <c r="C137" s="34"/>
      <c r="D137" s="180" t="s">
        <v>4</v>
      </c>
      <c r="E137" s="32" t="str">
        <f>IF(A137="","",IF(COUNTIF('Asset Detail'!A:A,A137)&gt;0,"✓ Found","✗ Not Found"))</f>
        <v/>
      </c>
      <c r="F137" s="31" t="str" cm="1">
        <f t="array" ref="F137">IF(A137="","",IFERROR(INDEX('Asset Detail'!C:C,_xlfn.XMATCH(A137,'Asset Detail'!A:A,3)),"—"))</f>
        <v/>
      </c>
      <c r="G137" s="32" t="str" cm="1">
        <f t="array" ref="G137">IF(A137="","",IFERROR(INDEX('Asset Detail'!E:E,_xlfn.XMATCH(A137,'Asset Detail'!A:A,3)),"—"))</f>
        <v/>
      </c>
      <c r="H137" s="34"/>
      <c r="I137" s="39"/>
    </row>
    <row r="138" spans="1:9" x14ac:dyDescent="0.25">
      <c r="A138" s="23" t="str">
        <f t="shared" si="2"/>
        <v/>
      </c>
      <c r="B138" s="38"/>
      <c r="C138" s="34"/>
      <c r="D138" s="180" t="s">
        <v>4</v>
      </c>
      <c r="E138" s="32" t="str">
        <f>IF(A138="","",IF(COUNTIF('Asset Detail'!A:A,A138)&gt;0,"✓ Found","✗ Not Found"))</f>
        <v/>
      </c>
      <c r="F138" s="31" t="str" cm="1">
        <f t="array" ref="F138">IF(A138="","",IFERROR(INDEX('Asset Detail'!C:C,_xlfn.XMATCH(A138,'Asset Detail'!A:A,3)),"—"))</f>
        <v/>
      </c>
      <c r="G138" s="32" t="str" cm="1">
        <f t="array" ref="G138">IF(A138="","",IFERROR(INDEX('Asset Detail'!E:E,_xlfn.XMATCH(A138,'Asset Detail'!A:A,3)),"—"))</f>
        <v/>
      </c>
      <c r="H138" s="34"/>
      <c r="I138" s="39"/>
    </row>
    <row r="139" spans="1:9" x14ac:dyDescent="0.25">
      <c r="A139" s="23" t="str">
        <f t="shared" si="2"/>
        <v/>
      </c>
      <c r="B139" s="38"/>
      <c r="C139" s="34"/>
      <c r="D139" s="180" t="s">
        <v>4</v>
      </c>
      <c r="E139" s="32" t="str">
        <f>IF(A139="","",IF(COUNTIF('Asset Detail'!A:A,A139)&gt;0,"✓ Found","✗ Not Found"))</f>
        <v/>
      </c>
      <c r="F139" s="31" t="str" cm="1">
        <f t="array" ref="F139">IF(A139="","",IFERROR(INDEX('Asset Detail'!C:C,_xlfn.XMATCH(A139,'Asset Detail'!A:A,3)),"—"))</f>
        <v/>
      </c>
      <c r="G139" s="32" t="str" cm="1">
        <f t="array" ref="G139">IF(A139="","",IFERROR(INDEX('Asset Detail'!E:E,_xlfn.XMATCH(A139,'Asset Detail'!A:A,3)),"—"))</f>
        <v/>
      </c>
      <c r="H139" s="34"/>
      <c r="I139" s="39"/>
    </row>
    <row r="140" spans="1:9" x14ac:dyDescent="0.25">
      <c r="A140" s="23" t="str">
        <f t="shared" si="2"/>
        <v/>
      </c>
      <c r="B140" s="38"/>
      <c r="C140" s="34"/>
      <c r="D140" s="180" t="s">
        <v>4</v>
      </c>
      <c r="E140" s="32" t="str">
        <f>IF(A140="","",IF(COUNTIF('Asset Detail'!A:A,A140)&gt;0,"✓ Found","✗ Not Found"))</f>
        <v/>
      </c>
      <c r="F140" s="31" t="str" cm="1">
        <f t="array" ref="F140">IF(A140="","",IFERROR(INDEX('Asset Detail'!C:C,_xlfn.XMATCH(A140,'Asset Detail'!A:A,3)),"—"))</f>
        <v/>
      </c>
      <c r="G140" s="32" t="str" cm="1">
        <f t="array" ref="G140">IF(A140="","",IFERROR(INDEX('Asset Detail'!E:E,_xlfn.XMATCH(A140,'Asset Detail'!A:A,3)),"—"))</f>
        <v/>
      </c>
      <c r="H140" s="34"/>
      <c r="I140" s="39"/>
    </row>
    <row r="141" spans="1:9" x14ac:dyDescent="0.25">
      <c r="A141" s="23" t="str">
        <f t="shared" si="2"/>
        <v/>
      </c>
      <c r="B141" s="38"/>
      <c r="C141" s="34"/>
      <c r="D141" s="180" t="s">
        <v>4</v>
      </c>
      <c r="E141" s="32" t="str">
        <f>IF(A141="","",IF(COUNTIF('Asset Detail'!A:A,A141)&gt;0,"✓ Found","✗ Not Found"))</f>
        <v/>
      </c>
      <c r="F141" s="31" t="str" cm="1">
        <f t="array" ref="F141">IF(A141="","",IFERROR(INDEX('Asset Detail'!C:C,_xlfn.XMATCH(A141,'Asset Detail'!A:A,3)),"—"))</f>
        <v/>
      </c>
      <c r="G141" s="32" t="str" cm="1">
        <f t="array" ref="G141">IF(A141="","",IFERROR(INDEX('Asset Detail'!E:E,_xlfn.XMATCH(A141,'Asset Detail'!A:A,3)),"—"))</f>
        <v/>
      </c>
      <c r="H141" s="34"/>
      <c r="I141" s="39"/>
    </row>
    <row r="142" spans="1:9" x14ac:dyDescent="0.25">
      <c r="A142" s="23" t="str">
        <f t="shared" si="2"/>
        <v/>
      </c>
      <c r="B142" s="38"/>
      <c r="C142" s="34"/>
      <c r="D142" s="180" t="s">
        <v>4</v>
      </c>
      <c r="E142" s="32" t="str">
        <f>IF(A142="","",IF(COUNTIF('Asset Detail'!A:A,A142)&gt;0,"✓ Found","✗ Not Found"))</f>
        <v/>
      </c>
      <c r="F142" s="31" t="str" cm="1">
        <f t="array" ref="F142">IF(A142="","",IFERROR(INDEX('Asset Detail'!C:C,_xlfn.XMATCH(A142,'Asset Detail'!A:A,3)),"—"))</f>
        <v/>
      </c>
      <c r="G142" s="32" t="str" cm="1">
        <f t="array" ref="G142">IF(A142="","",IFERROR(INDEX('Asset Detail'!E:E,_xlfn.XMATCH(A142,'Asset Detail'!A:A,3)),"—"))</f>
        <v/>
      </c>
      <c r="H142" s="34"/>
      <c r="I142" s="39"/>
    </row>
    <row r="143" spans="1:9" x14ac:dyDescent="0.25">
      <c r="A143" s="23" t="str">
        <f t="shared" si="2"/>
        <v/>
      </c>
      <c r="B143" s="38"/>
      <c r="C143" s="34"/>
      <c r="D143" s="180" t="s">
        <v>4</v>
      </c>
      <c r="E143" s="32" t="str">
        <f>IF(A143="","",IF(COUNTIF('Asset Detail'!A:A,A143)&gt;0,"✓ Found","✗ Not Found"))</f>
        <v/>
      </c>
      <c r="F143" s="31" t="str" cm="1">
        <f t="array" ref="F143">IF(A143="","",IFERROR(INDEX('Asset Detail'!C:C,_xlfn.XMATCH(A143,'Asset Detail'!A:A,3)),"—"))</f>
        <v/>
      </c>
      <c r="G143" s="32" t="str" cm="1">
        <f t="array" ref="G143">IF(A143="","",IFERROR(INDEX('Asset Detail'!E:E,_xlfn.XMATCH(A143,'Asset Detail'!A:A,3)),"—"))</f>
        <v/>
      </c>
      <c r="H143" s="34"/>
      <c r="I143" s="39"/>
    </row>
    <row r="144" spans="1:9" x14ac:dyDescent="0.25">
      <c r="A144" s="23" t="str">
        <f t="shared" si="2"/>
        <v/>
      </c>
      <c r="B144" s="38"/>
      <c r="C144" s="34"/>
      <c r="D144" s="180" t="s">
        <v>4</v>
      </c>
      <c r="E144" s="32" t="str">
        <f>IF(A144="","",IF(COUNTIF('Asset Detail'!A:A,A144)&gt;0,"✓ Found","✗ Not Found"))</f>
        <v/>
      </c>
      <c r="F144" s="31" t="str" cm="1">
        <f t="array" ref="F144">IF(A144="","",IFERROR(INDEX('Asset Detail'!C:C,_xlfn.XMATCH(A144,'Asset Detail'!A:A,3)),"—"))</f>
        <v/>
      </c>
      <c r="G144" s="32" t="str" cm="1">
        <f t="array" ref="G144">IF(A144="","",IFERROR(INDEX('Asset Detail'!E:E,_xlfn.XMATCH(A144,'Asset Detail'!A:A,3)),"—"))</f>
        <v/>
      </c>
      <c r="H144" s="34"/>
      <c r="I144" s="39"/>
    </row>
    <row r="145" spans="1:9" x14ac:dyDescent="0.25">
      <c r="A145" s="23" t="str">
        <f t="shared" si="2"/>
        <v/>
      </c>
      <c r="B145" s="38"/>
      <c r="C145" s="34"/>
      <c r="D145" s="180" t="s">
        <v>4</v>
      </c>
      <c r="E145" s="32" t="str">
        <f>IF(A145="","",IF(COUNTIF('Asset Detail'!A:A,A145)&gt;0,"✓ Found","✗ Not Found"))</f>
        <v/>
      </c>
      <c r="F145" s="31" t="str" cm="1">
        <f t="array" ref="F145">IF(A145="","",IFERROR(INDEX('Asset Detail'!C:C,_xlfn.XMATCH(A145,'Asset Detail'!A:A,3)),"—"))</f>
        <v/>
      </c>
      <c r="G145" s="32" t="str" cm="1">
        <f t="array" ref="G145">IF(A145="","",IFERROR(INDEX('Asset Detail'!E:E,_xlfn.XMATCH(A145,'Asset Detail'!A:A,3)),"—"))</f>
        <v/>
      </c>
      <c r="H145" s="34"/>
      <c r="I145" s="39"/>
    </row>
    <row r="146" spans="1:9" x14ac:dyDescent="0.25">
      <c r="A146" s="23" t="str">
        <f t="shared" si="2"/>
        <v/>
      </c>
      <c r="B146" s="38"/>
      <c r="C146" s="34"/>
      <c r="D146" s="180" t="s">
        <v>4</v>
      </c>
      <c r="E146" s="32" t="str">
        <f>IF(A146="","",IF(COUNTIF('Asset Detail'!A:A,A146)&gt;0,"✓ Found","✗ Not Found"))</f>
        <v/>
      </c>
      <c r="F146" s="31" t="str" cm="1">
        <f t="array" ref="F146">IF(A146="","",IFERROR(INDEX('Asset Detail'!C:C,_xlfn.XMATCH(A146,'Asset Detail'!A:A,3)),"—"))</f>
        <v/>
      </c>
      <c r="G146" s="32" t="str" cm="1">
        <f t="array" ref="G146">IF(A146="","",IFERROR(INDEX('Asset Detail'!E:E,_xlfn.XMATCH(A146,'Asset Detail'!A:A,3)),"—"))</f>
        <v/>
      </c>
      <c r="H146" s="34"/>
      <c r="I146" s="39"/>
    </row>
    <row r="147" spans="1:9" x14ac:dyDescent="0.25">
      <c r="A147" s="23" t="str">
        <f t="shared" si="2"/>
        <v/>
      </c>
      <c r="B147" s="38"/>
      <c r="C147" s="34"/>
      <c r="D147" s="180" t="s">
        <v>4</v>
      </c>
      <c r="E147" s="32" t="str">
        <f>IF(A147="","",IF(COUNTIF('Asset Detail'!A:A,A147)&gt;0,"✓ Found","✗ Not Found"))</f>
        <v/>
      </c>
      <c r="F147" s="31" t="str" cm="1">
        <f t="array" ref="F147">IF(A147="","",IFERROR(INDEX('Asset Detail'!C:C,_xlfn.XMATCH(A147,'Asset Detail'!A:A,3)),"—"))</f>
        <v/>
      </c>
      <c r="G147" s="32" t="str" cm="1">
        <f t="array" ref="G147">IF(A147="","",IFERROR(INDEX('Asset Detail'!E:E,_xlfn.XMATCH(A147,'Asset Detail'!A:A,3)),"—"))</f>
        <v/>
      </c>
      <c r="H147" s="34"/>
      <c r="I147" s="39"/>
    </row>
    <row r="148" spans="1:9" x14ac:dyDescent="0.25">
      <c r="A148" s="23" t="str">
        <f t="shared" si="2"/>
        <v/>
      </c>
      <c r="B148" s="38"/>
      <c r="C148" s="34"/>
      <c r="D148" s="180" t="s">
        <v>4</v>
      </c>
      <c r="E148" s="32" t="str">
        <f>IF(A148="","",IF(COUNTIF('Asset Detail'!A:A,A148)&gt;0,"✓ Found","✗ Not Found"))</f>
        <v/>
      </c>
      <c r="F148" s="31" t="str" cm="1">
        <f t="array" ref="F148">IF(A148="","",IFERROR(INDEX('Asset Detail'!C:C,_xlfn.XMATCH(A148,'Asset Detail'!A:A,3)),"—"))</f>
        <v/>
      </c>
      <c r="G148" s="32" t="str" cm="1">
        <f t="array" ref="G148">IF(A148="","",IFERROR(INDEX('Asset Detail'!E:E,_xlfn.XMATCH(A148,'Asset Detail'!A:A,3)),"—"))</f>
        <v/>
      </c>
      <c r="H148" s="34"/>
      <c r="I148" s="39"/>
    </row>
    <row r="149" spans="1:9" x14ac:dyDescent="0.25">
      <c r="A149" s="23" t="str">
        <f t="shared" si="2"/>
        <v/>
      </c>
      <c r="B149" s="38"/>
      <c r="C149" s="34"/>
      <c r="D149" s="180" t="s">
        <v>4</v>
      </c>
      <c r="E149" s="32" t="str">
        <f>IF(A149="","",IF(COUNTIF('Asset Detail'!A:A,A149)&gt;0,"✓ Found","✗ Not Found"))</f>
        <v/>
      </c>
      <c r="F149" s="31" t="str" cm="1">
        <f t="array" ref="F149">IF(A149="","",IFERROR(INDEX('Asset Detail'!C:C,_xlfn.XMATCH(A149,'Asset Detail'!A:A,3)),"—"))</f>
        <v/>
      </c>
      <c r="G149" s="32" t="str" cm="1">
        <f t="array" ref="G149">IF(A149="","",IFERROR(INDEX('Asset Detail'!E:E,_xlfn.XMATCH(A149,'Asset Detail'!A:A,3)),"—"))</f>
        <v/>
      </c>
      <c r="H149" s="34"/>
      <c r="I149" s="39"/>
    </row>
    <row r="150" spans="1:9" x14ac:dyDescent="0.25">
      <c r="A150" s="23" t="str">
        <f t="shared" si="2"/>
        <v/>
      </c>
      <c r="B150" s="38"/>
      <c r="C150" s="34"/>
      <c r="D150" s="180" t="s">
        <v>4</v>
      </c>
      <c r="E150" s="32" t="str">
        <f>IF(A150="","",IF(COUNTIF('Asset Detail'!A:A,A150)&gt;0,"✓ Found","✗ Not Found"))</f>
        <v/>
      </c>
      <c r="F150" s="31" t="str" cm="1">
        <f t="array" ref="F150">IF(A150="","",IFERROR(INDEX('Asset Detail'!C:C,_xlfn.XMATCH(A150,'Asset Detail'!A:A,3)),"—"))</f>
        <v/>
      </c>
      <c r="G150" s="32" t="str" cm="1">
        <f t="array" ref="G150">IF(A150="","",IFERROR(INDEX('Asset Detail'!E:E,_xlfn.XMATCH(A150,'Asset Detail'!A:A,3)),"—"))</f>
        <v/>
      </c>
      <c r="H150" s="34"/>
      <c r="I150" s="39"/>
    </row>
    <row r="151" spans="1:9" x14ac:dyDescent="0.25">
      <c r="A151" s="23" t="str">
        <f t="shared" si="2"/>
        <v/>
      </c>
      <c r="B151" s="38"/>
      <c r="C151" s="34"/>
      <c r="D151" s="180" t="s">
        <v>4</v>
      </c>
      <c r="E151" s="32" t="str">
        <f>IF(A151="","",IF(COUNTIF('Asset Detail'!A:A,A151)&gt;0,"✓ Found","✗ Not Found"))</f>
        <v/>
      </c>
      <c r="F151" s="31" t="str" cm="1">
        <f t="array" ref="F151">IF(A151="","",IFERROR(INDEX('Asset Detail'!C:C,_xlfn.XMATCH(A151,'Asset Detail'!A:A,3)),"—"))</f>
        <v/>
      </c>
      <c r="G151" s="32" t="str" cm="1">
        <f t="array" ref="G151">IF(A151="","",IFERROR(INDEX('Asset Detail'!E:E,_xlfn.XMATCH(A151,'Asset Detail'!A:A,3)),"—"))</f>
        <v/>
      </c>
      <c r="H151" s="34"/>
      <c r="I151" s="39"/>
    </row>
    <row r="152" spans="1:9" x14ac:dyDescent="0.25">
      <c r="A152" s="23" t="str">
        <f t="shared" si="2"/>
        <v/>
      </c>
      <c r="B152" s="38"/>
      <c r="C152" s="34"/>
      <c r="D152" s="180" t="s">
        <v>4</v>
      </c>
      <c r="E152" s="32" t="str">
        <f>IF(A152="","",IF(COUNTIF('Asset Detail'!A:A,A152)&gt;0,"✓ Found","✗ Not Found"))</f>
        <v/>
      </c>
      <c r="F152" s="31" t="str" cm="1">
        <f t="array" ref="F152">IF(A152="","",IFERROR(INDEX('Asset Detail'!C:C,_xlfn.XMATCH(A152,'Asset Detail'!A:A,3)),"—"))</f>
        <v/>
      </c>
      <c r="G152" s="32" t="str" cm="1">
        <f t="array" ref="G152">IF(A152="","",IFERROR(INDEX('Asset Detail'!E:E,_xlfn.XMATCH(A152,'Asset Detail'!A:A,3)),"—"))</f>
        <v/>
      </c>
      <c r="H152" s="34"/>
      <c r="I152" s="39"/>
    </row>
    <row r="153" spans="1:9" x14ac:dyDescent="0.25">
      <c r="A153" s="23" t="str">
        <f t="shared" si="2"/>
        <v/>
      </c>
      <c r="B153" s="38"/>
      <c r="C153" s="34"/>
      <c r="D153" s="180" t="s">
        <v>4</v>
      </c>
      <c r="E153" s="32" t="str">
        <f>IF(A153="","",IF(COUNTIF('Asset Detail'!A:A,A153)&gt;0,"✓ Found","✗ Not Found"))</f>
        <v/>
      </c>
      <c r="F153" s="31" t="str" cm="1">
        <f t="array" ref="F153">IF(A153="","",IFERROR(INDEX('Asset Detail'!C:C,_xlfn.XMATCH(A153,'Asset Detail'!A:A,3)),"—"))</f>
        <v/>
      </c>
      <c r="G153" s="32" t="str" cm="1">
        <f t="array" ref="G153">IF(A153="","",IFERROR(INDEX('Asset Detail'!E:E,_xlfn.XMATCH(A153,'Asset Detail'!A:A,3)),"—"))</f>
        <v/>
      </c>
      <c r="H153" s="34"/>
      <c r="I153" s="39"/>
    </row>
    <row r="154" spans="1:9" x14ac:dyDescent="0.25">
      <c r="A154" s="23" t="str">
        <f t="shared" si="2"/>
        <v/>
      </c>
      <c r="B154" s="38"/>
      <c r="C154" s="34"/>
      <c r="D154" s="180" t="s">
        <v>4</v>
      </c>
      <c r="E154" s="32" t="str">
        <f>IF(A154="","",IF(COUNTIF('Asset Detail'!A:A,A154)&gt;0,"✓ Found","✗ Not Found"))</f>
        <v/>
      </c>
      <c r="F154" s="31" t="str" cm="1">
        <f t="array" ref="F154">IF(A154="","",IFERROR(INDEX('Asset Detail'!C:C,_xlfn.XMATCH(A154,'Asset Detail'!A:A,3)),"—"))</f>
        <v/>
      </c>
      <c r="G154" s="32" t="str" cm="1">
        <f t="array" ref="G154">IF(A154="","",IFERROR(INDEX('Asset Detail'!E:E,_xlfn.XMATCH(A154,'Asset Detail'!A:A,3)),"—"))</f>
        <v/>
      </c>
      <c r="H154" s="34"/>
      <c r="I154" s="39"/>
    </row>
    <row r="155" spans="1:9" x14ac:dyDescent="0.25">
      <c r="A155" s="23" t="str">
        <f t="shared" si="2"/>
        <v/>
      </c>
      <c r="B155" s="38"/>
      <c r="C155" s="34"/>
      <c r="D155" s="180" t="s">
        <v>4</v>
      </c>
      <c r="E155" s="32" t="str">
        <f>IF(A155="","",IF(COUNTIF('Asset Detail'!A:A,A155)&gt;0,"✓ Found","✗ Not Found"))</f>
        <v/>
      </c>
      <c r="F155" s="31" t="str" cm="1">
        <f t="array" ref="F155">IF(A155="","",IFERROR(INDEX('Asset Detail'!C:C,_xlfn.XMATCH(A155,'Asset Detail'!A:A,3)),"—"))</f>
        <v/>
      </c>
      <c r="G155" s="32" t="str" cm="1">
        <f t="array" ref="G155">IF(A155="","",IFERROR(INDEX('Asset Detail'!E:E,_xlfn.XMATCH(A155,'Asset Detail'!A:A,3)),"—"))</f>
        <v/>
      </c>
      <c r="H155" s="34"/>
      <c r="I155" s="39"/>
    </row>
    <row r="156" spans="1:9" x14ac:dyDescent="0.25">
      <c r="A156" s="23" t="str">
        <f t="shared" si="2"/>
        <v/>
      </c>
      <c r="B156" s="38"/>
      <c r="C156" s="34"/>
      <c r="D156" s="180" t="s">
        <v>4</v>
      </c>
      <c r="E156" s="32" t="str">
        <f>IF(A156="","",IF(COUNTIF('Asset Detail'!A:A,A156)&gt;0,"✓ Found","✗ Not Found"))</f>
        <v/>
      </c>
      <c r="F156" s="31" t="str" cm="1">
        <f t="array" ref="F156">IF(A156="","",IFERROR(INDEX('Asset Detail'!C:C,_xlfn.XMATCH(A156,'Asset Detail'!A:A,3)),"—"))</f>
        <v/>
      </c>
      <c r="G156" s="32" t="str" cm="1">
        <f t="array" ref="G156">IF(A156="","",IFERROR(INDEX('Asset Detail'!E:E,_xlfn.XMATCH(A156,'Asset Detail'!A:A,3)),"—"))</f>
        <v/>
      </c>
      <c r="H156" s="34"/>
      <c r="I156" s="39"/>
    </row>
    <row r="157" spans="1:9" x14ac:dyDescent="0.25">
      <c r="A157" s="23" t="str">
        <f t="shared" si="2"/>
        <v/>
      </c>
      <c r="B157" s="38"/>
      <c r="C157" s="34"/>
      <c r="D157" s="180" t="s">
        <v>4</v>
      </c>
      <c r="E157" s="32" t="str">
        <f>IF(A157="","",IF(COUNTIF('Asset Detail'!A:A,A157)&gt;0,"✓ Found","✗ Not Found"))</f>
        <v/>
      </c>
      <c r="F157" s="31" t="str" cm="1">
        <f t="array" ref="F157">IF(A157="","",IFERROR(INDEX('Asset Detail'!C:C,_xlfn.XMATCH(A157,'Asset Detail'!A:A,3)),"—"))</f>
        <v/>
      </c>
      <c r="G157" s="32" t="str" cm="1">
        <f t="array" ref="G157">IF(A157="","",IFERROR(INDEX('Asset Detail'!E:E,_xlfn.XMATCH(A157,'Asset Detail'!A:A,3)),"—"))</f>
        <v/>
      </c>
      <c r="H157" s="34"/>
      <c r="I157" s="39"/>
    </row>
    <row r="158" spans="1:9" x14ac:dyDescent="0.25">
      <c r="A158" s="23" t="str">
        <f t="shared" si="2"/>
        <v/>
      </c>
      <c r="B158" s="38"/>
      <c r="C158" s="34"/>
      <c r="D158" s="180" t="s">
        <v>4</v>
      </c>
      <c r="E158" s="32" t="str">
        <f>IF(A158="","",IF(COUNTIF('Asset Detail'!A:A,A158)&gt;0,"✓ Found","✗ Not Found"))</f>
        <v/>
      </c>
      <c r="F158" s="31" t="str" cm="1">
        <f t="array" ref="F158">IF(A158="","",IFERROR(INDEX('Asset Detail'!C:C,_xlfn.XMATCH(A158,'Asset Detail'!A:A,3)),"—"))</f>
        <v/>
      </c>
      <c r="G158" s="32" t="str" cm="1">
        <f t="array" ref="G158">IF(A158="","",IFERROR(INDEX('Asset Detail'!E:E,_xlfn.XMATCH(A158,'Asset Detail'!A:A,3)),"—"))</f>
        <v/>
      </c>
      <c r="H158" s="34"/>
      <c r="I158" s="39"/>
    </row>
    <row r="159" spans="1:9" x14ac:dyDescent="0.25">
      <c r="A159" s="23" t="str">
        <f t="shared" si="2"/>
        <v/>
      </c>
      <c r="B159" s="38"/>
      <c r="C159" s="34"/>
      <c r="D159" s="180" t="s">
        <v>4</v>
      </c>
      <c r="E159" s="32" t="str">
        <f>IF(A159="","",IF(COUNTIF('Asset Detail'!A:A,A159)&gt;0,"✓ Found","✗ Not Found"))</f>
        <v/>
      </c>
      <c r="F159" s="31" t="str" cm="1">
        <f t="array" ref="F159">IF(A159="","",IFERROR(INDEX('Asset Detail'!C:C,_xlfn.XMATCH(A159,'Asset Detail'!A:A,3)),"—"))</f>
        <v/>
      </c>
      <c r="G159" s="32" t="str" cm="1">
        <f t="array" ref="G159">IF(A159="","",IFERROR(INDEX('Asset Detail'!E:E,_xlfn.XMATCH(A159,'Asset Detail'!A:A,3)),"—"))</f>
        <v/>
      </c>
      <c r="H159" s="34"/>
      <c r="I159" s="39"/>
    </row>
    <row r="160" spans="1:9" x14ac:dyDescent="0.25">
      <c r="A160" s="23" t="str">
        <f t="shared" si="2"/>
        <v/>
      </c>
      <c r="B160" s="38"/>
      <c r="C160" s="34"/>
      <c r="D160" s="180" t="s">
        <v>4</v>
      </c>
      <c r="E160" s="32" t="str">
        <f>IF(A160="","",IF(COUNTIF('Asset Detail'!A:A,A160)&gt;0,"✓ Found","✗ Not Found"))</f>
        <v/>
      </c>
      <c r="F160" s="31" t="str" cm="1">
        <f t="array" ref="F160">IF(A160="","",IFERROR(INDEX('Asset Detail'!C:C,_xlfn.XMATCH(A160,'Asset Detail'!A:A,3)),"—"))</f>
        <v/>
      </c>
      <c r="G160" s="32" t="str" cm="1">
        <f t="array" ref="G160">IF(A160="","",IFERROR(INDEX('Asset Detail'!E:E,_xlfn.XMATCH(A160,'Asset Detail'!A:A,3)),"—"))</f>
        <v/>
      </c>
      <c r="H160" s="34"/>
      <c r="I160" s="39"/>
    </row>
    <row r="161" spans="1:9" x14ac:dyDescent="0.25">
      <c r="A161" s="23" t="str">
        <f t="shared" si="2"/>
        <v/>
      </c>
      <c r="B161" s="38"/>
      <c r="C161" s="34"/>
      <c r="D161" s="180" t="s">
        <v>4</v>
      </c>
      <c r="E161" s="32" t="str">
        <f>IF(A161="","",IF(COUNTIF('Asset Detail'!A:A,A161)&gt;0,"✓ Found","✗ Not Found"))</f>
        <v/>
      </c>
      <c r="F161" s="31" t="str" cm="1">
        <f t="array" ref="F161">IF(A161="","",IFERROR(INDEX('Asset Detail'!C:C,_xlfn.XMATCH(A161,'Asset Detail'!A:A,3)),"—"))</f>
        <v/>
      </c>
      <c r="G161" s="32" t="str" cm="1">
        <f t="array" ref="G161">IF(A161="","",IFERROR(INDEX('Asset Detail'!E:E,_xlfn.XMATCH(A161,'Asset Detail'!A:A,3)),"—"))</f>
        <v/>
      </c>
      <c r="H161" s="34"/>
      <c r="I161" s="39"/>
    </row>
    <row r="162" spans="1:9" x14ac:dyDescent="0.25">
      <c r="A162" s="23" t="str">
        <f t="shared" si="2"/>
        <v/>
      </c>
      <c r="B162" s="38"/>
      <c r="C162" s="34"/>
      <c r="D162" s="180" t="s">
        <v>4</v>
      </c>
      <c r="E162" s="32" t="str">
        <f>IF(A162="","",IF(COUNTIF('Asset Detail'!A:A,A162)&gt;0,"✓ Found","✗ Not Found"))</f>
        <v/>
      </c>
      <c r="F162" s="31" t="str" cm="1">
        <f t="array" ref="F162">IF(A162="","",IFERROR(INDEX('Asset Detail'!C:C,_xlfn.XMATCH(A162,'Asset Detail'!A:A,3)),"—"))</f>
        <v/>
      </c>
      <c r="G162" s="32" t="str" cm="1">
        <f t="array" ref="G162">IF(A162="","",IFERROR(INDEX('Asset Detail'!E:E,_xlfn.XMATCH(A162,'Asset Detail'!A:A,3)),"—"))</f>
        <v/>
      </c>
      <c r="H162" s="34"/>
      <c r="I162" s="39"/>
    </row>
    <row r="163" spans="1:9" x14ac:dyDescent="0.25">
      <c r="A163" s="23" t="str">
        <f t="shared" si="2"/>
        <v/>
      </c>
      <c r="B163" s="38"/>
      <c r="C163" s="34"/>
      <c r="D163" s="180" t="s">
        <v>4</v>
      </c>
      <c r="E163" s="32" t="str">
        <f>IF(A163="","",IF(COUNTIF('Asset Detail'!A:A,A163)&gt;0,"✓ Found","✗ Not Found"))</f>
        <v/>
      </c>
      <c r="F163" s="31" t="str" cm="1">
        <f t="array" ref="F163">IF(A163="","",IFERROR(INDEX('Asset Detail'!C:C,_xlfn.XMATCH(A163,'Asset Detail'!A:A,3)),"—"))</f>
        <v/>
      </c>
      <c r="G163" s="32" t="str" cm="1">
        <f t="array" ref="G163">IF(A163="","",IFERROR(INDEX('Asset Detail'!E:E,_xlfn.XMATCH(A163,'Asset Detail'!A:A,3)),"—"))</f>
        <v/>
      </c>
      <c r="H163" s="34"/>
      <c r="I163" s="39"/>
    </row>
    <row r="164" spans="1:9" x14ac:dyDescent="0.25">
      <c r="A164" s="23" t="str">
        <f t="shared" si="2"/>
        <v/>
      </c>
      <c r="B164" s="38"/>
      <c r="C164" s="34"/>
      <c r="D164" s="180" t="s">
        <v>4</v>
      </c>
      <c r="E164" s="32" t="str">
        <f>IF(A164="","",IF(COUNTIF('Asset Detail'!A:A,A164)&gt;0,"✓ Found","✗ Not Found"))</f>
        <v/>
      </c>
      <c r="F164" s="31" t="str" cm="1">
        <f t="array" ref="F164">IF(A164="","",IFERROR(INDEX('Asset Detail'!C:C,_xlfn.XMATCH(A164,'Asset Detail'!A:A,3)),"—"))</f>
        <v/>
      </c>
      <c r="G164" s="32" t="str" cm="1">
        <f t="array" ref="G164">IF(A164="","",IFERROR(INDEX('Asset Detail'!E:E,_xlfn.XMATCH(A164,'Asset Detail'!A:A,3)),"—"))</f>
        <v/>
      </c>
      <c r="H164" s="34"/>
      <c r="I164" s="39"/>
    </row>
    <row r="165" spans="1:9" x14ac:dyDescent="0.25">
      <c r="A165" s="23" t="str">
        <f t="shared" si="2"/>
        <v/>
      </c>
      <c r="B165" s="38"/>
      <c r="C165" s="34"/>
      <c r="D165" s="180" t="s">
        <v>4</v>
      </c>
      <c r="E165" s="32" t="str">
        <f>IF(A165="","",IF(COUNTIF('Asset Detail'!A:A,A165)&gt;0,"✓ Found","✗ Not Found"))</f>
        <v/>
      </c>
      <c r="F165" s="31" t="str" cm="1">
        <f t="array" ref="F165">IF(A165="","",IFERROR(INDEX('Asset Detail'!C:C,_xlfn.XMATCH(A165,'Asset Detail'!A:A,3)),"—"))</f>
        <v/>
      </c>
      <c r="G165" s="32" t="str" cm="1">
        <f t="array" ref="G165">IF(A165="","",IFERROR(INDEX('Asset Detail'!E:E,_xlfn.XMATCH(A165,'Asset Detail'!A:A,3)),"—"))</f>
        <v/>
      </c>
      <c r="H165" s="34"/>
      <c r="I165" s="39"/>
    </row>
    <row r="166" spans="1:9" x14ac:dyDescent="0.25">
      <c r="A166" s="23" t="str">
        <f t="shared" si="2"/>
        <v/>
      </c>
      <c r="B166" s="38"/>
      <c r="C166" s="34"/>
      <c r="D166" s="180" t="s">
        <v>4</v>
      </c>
      <c r="E166" s="32" t="str">
        <f>IF(A166="","",IF(COUNTIF('Asset Detail'!A:A,A166)&gt;0,"✓ Found","✗ Not Found"))</f>
        <v/>
      </c>
      <c r="F166" s="31" t="str" cm="1">
        <f t="array" ref="F166">IF(A166="","",IFERROR(INDEX('Asset Detail'!C:C,_xlfn.XMATCH(A166,'Asset Detail'!A:A,3)),"—"))</f>
        <v/>
      </c>
      <c r="G166" s="32" t="str" cm="1">
        <f t="array" ref="G166">IF(A166="","",IFERROR(INDEX('Asset Detail'!E:E,_xlfn.XMATCH(A166,'Asset Detail'!A:A,3)),"—"))</f>
        <v/>
      </c>
      <c r="H166" s="34"/>
      <c r="I166" s="39"/>
    </row>
    <row r="167" spans="1:9" x14ac:dyDescent="0.25">
      <c r="A167" s="23" t="str">
        <f t="shared" si="2"/>
        <v/>
      </c>
      <c r="B167" s="38"/>
      <c r="C167" s="34"/>
      <c r="D167" s="180" t="s">
        <v>4</v>
      </c>
      <c r="E167" s="32" t="str">
        <f>IF(A167="","",IF(COUNTIF('Asset Detail'!A:A,A167)&gt;0,"✓ Found","✗ Not Found"))</f>
        <v/>
      </c>
      <c r="F167" s="31" t="str" cm="1">
        <f t="array" ref="F167">IF(A167="","",IFERROR(INDEX('Asset Detail'!C:C,_xlfn.XMATCH(A167,'Asset Detail'!A:A,3)),"—"))</f>
        <v/>
      </c>
      <c r="G167" s="32" t="str" cm="1">
        <f t="array" ref="G167">IF(A167="","",IFERROR(INDEX('Asset Detail'!E:E,_xlfn.XMATCH(A167,'Asset Detail'!A:A,3)),"—"))</f>
        <v/>
      </c>
      <c r="H167" s="34"/>
      <c r="I167" s="39"/>
    </row>
    <row r="168" spans="1:9" x14ac:dyDescent="0.25">
      <c r="A168" s="23" t="str">
        <f t="shared" si="2"/>
        <v/>
      </c>
      <c r="B168" s="38"/>
      <c r="C168" s="34"/>
      <c r="D168" s="180" t="s">
        <v>4</v>
      </c>
      <c r="E168" s="32" t="str">
        <f>IF(A168="","",IF(COUNTIF('Asset Detail'!A:A,A168)&gt;0,"✓ Found","✗ Not Found"))</f>
        <v/>
      </c>
      <c r="F168" s="31" t="str" cm="1">
        <f t="array" ref="F168">IF(A168="","",IFERROR(INDEX('Asset Detail'!C:C,_xlfn.XMATCH(A168,'Asset Detail'!A:A,3)),"—"))</f>
        <v/>
      </c>
      <c r="G168" s="32" t="str" cm="1">
        <f t="array" ref="G168">IF(A168="","",IFERROR(INDEX('Asset Detail'!E:E,_xlfn.XMATCH(A168,'Asset Detail'!A:A,3)),"—"))</f>
        <v/>
      </c>
      <c r="H168" s="34"/>
      <c r="I168" s="39"/>
    </row>
    <row r="169" spans="1:9" x14ac:dyDescent="0.25">
      <c r="A169" s="23" t="str">
        <f t="shared" si="2"/>
        <v/>
      </c>
      <c r="B169" s="38"/>
      <c r="C169" s="34"/>
      <c r="D169" s="180" t="s">
        <v>4</v>
      </c>
      <c r="E169" s="32" t="str">
        <f>IF(A169="","",IF(COUNTIF('Asset Detail'!A:A,A169)&gt;0,"✓ Found","✗ Not Found"))</f>
        <v/>
      </c>
      <c r="F169" s="31" t="str" cm="1">
        <f t="array" ref="F169">IF(A169="","",IFERROR(INDEX('Asset Detail'!C:C,_xlfn.XMATCH(A169,'Asset Detail'!A:A,3)),"—"))</f>
        <v/>
      </c>
      <c r="G169" s="32" t="str" cm="1">
        <f t="array" ref="G169">IF(A169="","",IFERROR(INDEX('Asset Detail'!E:E,_xlfn.XMATCH(A169,'Asset Detail'!A:A,3)),"—"))</f>
        <v/>
      </c>
      <c r="H169" s="34"/>
      <c r="I169" s="39"/>
    </row>
    <row r="170" spans="1:9" x14ac:dyDescent="0.25">
      <c r="A170" s="23" t="str">
        <f t="shared" si="2"/>
        <v/>
      </c>
      <c r="B170" s="38"/>
      <c r="C170" s="34"/>
      <c r="D170" s="180" t="s">
        <v>4</v>
      </c>
      <c r="E170" s="32" t="str">
        <f>IF(A170="","",IF(COUNTIF('Asset Detail'!A:A,A170)&gt;0,"✓ Found","✗ Not Found"))</f>
        <v/>
      </c>
      <c r="F170" s="31" t="str" cm="1">
        <f t="array" ref="F170">IF(A170="","",IFERROR(INDEX('Asset Detail'!C:C,_xlfn.XMATCH(A170,'Asset Detail'!A:A,3)),"—"))</f>
        <v/>
      </c>
      <c r="G170" s="32" t="str" cm="1">
        <f t="array" ref="G170">IF(A170="","",IFERROR(INDEX('Asset Detail'!E:E,_xlfn.XMATCH(A170,'Asset Detail'!A:A,3)),"—"))</f>
        <v/>
      </c>
      <c r="H170" s="34"/>
      <c r="I170" s="39"/>
    </row>
    <row r="171" spans="1:9" x14ac:dyDescent="0.25">
      <c r="A171" s="23" t="str">
        <f t="shared" si="2"/>
        <v/>
      </c>
      <c r="B171" s="38"/>
      <c r="C171" s="34"/>
      <c r="D171" s="180" t="s">
        <v>4</v>
      </c>
      <c r="E171" s="32" t="str">
        <f>IF(A171="","",IF(COUNTIF('Asset Detail'!A:A,A171)&gt;0,"✓ Found","✗ Not Found"))</f>
        <v/>
      </c>
      <c r="F171" s="31" t="str" cm="1">
        <f t="array" ref="F171">IF(A171="","",IFERROR(INDEX('Asset Detail'!C:C,_xlfn.XMATCH(A171,'Asset Detail'!A:A,3)),"—"))</f>
        <v/>
      </c>
      <c r="G171" s="32" t="str" cm="1">
        <f t="array" ref="G171">IF(A171="","",IFERROR(INDEX('Asset Detail'!E:E,_xlfn.XMATCH(A171,'Asset Detail'!A:A,3)),"—"))</f>
        <v/>
      </c>
      <c r="H171" s="34"/>
      <c r="I171" s="39"/>
    </row>
    <row r="172" spans="1:9" x14ac:dyDescent="0.25">
      <c r="A172" s="23" t="str">
        <f t="shared" si="2"/>
        <v/>
      </c>
      <c r="B172" s="38"/>
      <c r="C172" s="34"/>
      <c r="D172" s="180" t="s">
        <v>4</v>
      </c>
      <c r="E172" s="32" t="str">
        <f>IF(A172="","",IF(COUNTIF('Asset Detail'!A:A,A172)&gt;0,"✓ Found","✗ Not Found"))</f>
        <v/>
      </c>
      <c r="F172" s="31" t="str" cm="1">
        <f t="array" ref="F172">IF(A172="","",IFERROR(INDEX('Asset Detail'!C:C,_xlfn.XMATCH(A172,'Asset Detail'!A:A,3)),"—"))</f>
        <v/>
      </c>
      <c r="G172" s="32" t="str" cm="1">
        <f t="array" ref="G172">IF(A172="","",IFERROR(INDEX('Asset Detail'!E:E,_xlfn.XMATCH(A172,'Asset Detail'!A:A,3)),"—"))</f>
        <v/>
      </c>
      <c r="H172" s="34"/>
      <c r="I172" s="39"/>
    </row>
    <row r="173" spans="1:9" x14ac:dyDescent="0.25">
      <c r="A173" s="23" t="str">
        <f t="shared" si="2"/>
        <v/>
      </c>
      <c r="B173" s="38"/>
      <c r="C173" s="34"/>
      <c r="D173" s="180" t="s">
        <v>4</v>
      </c>
      <c r="E173" s="32" t="str">
        <f>IF(A173="","",IF(COUNTIF('Asset Detail'!A:A,A173)&gt;0,"✓ Found","✗ Not Found"))</f>
        <v/>
      </c>
      <c r="F173" s="31" t="str" cm="1">
        <f t="array" ref="F173">IF(A173="","",IFERROR(INDEX('Asset Detail'!C:C,_xlfn.XMATCH(A173,'Asset Detail'!A:A,3)),"—"))</f>
        <v/>
      </c>
      <c r="G173" s="32" t="str" cm="1">
        <f t="array" ref="G173">IF(A173="","",IFERROR(INDEX('Asset Detail'!E:E,_xlfn.XMATCH(A173,'Asset Detail'!A:A,3)),"—"))</f>
        <v/>
      </c>
      <c r="H173" s="34"/>
      <c r="I173" s="39"/>
    </row>
    <row r="174" spans="1:9" x14ac:dyDescent="0.25">
      <c r="A174" s="23" t="str">
        <f t="shared" si="2"/>
        <v/>
      </c>
      <c r="B174" s="38"/>
      <c r="C174" s="34"/>
      <c r="D174" s="180" t="s">
        <v>4</v>
      </c>
      <c r="E174" s="32" t="str">
        <f>IF(A174="","",IF(COUNTIF('Asset Detail'!A:A,A174)&gt;0,"✓ Found","✗ Not Found"))</f>
        <v/>
      </c>
      <c r="F174" s="31" t="str" cm="1">
        <f t="array" ref="F174">IF(A174="","",IFERROR(INDEX('Asset Detail'!C:C,_xlfn.XMATCH(A174,'Asset Detail'!A:A,3)),"—"))</f>
        <v/>
      </c>
      <c r="G174" s="32" t="str" cm="1">
        <f t="array" ref="G174">IF(A174="","",IFERROR(INDEX('Asset Detail'!E:E,_xlfn.XMATCH(A174,'Asset Detail'!A:A,3)),"—"))</f>
        <v/>
      </c>
      <c r="H174" s="34"/>
      <c r="I174" s="39"/>
    </row>
    <row r="175" spans="1:9" x14ac:dyDescent="0.25">
      <c r="A175" s="23" t="str">
        <f t="shared" si="2"/>
        <v/>
      </c>
      <c r="B175" s="38"/>
      <c r="C175" s="34"/>
      <c r="D175" s="180" t="s">
        <v>4</v>
      </c>
      <c r="E175" s="32" t="str">
        <f>IF(A175="","",IF(COUNTIF('Asset Detail'!A:A,A175)&gt;0,"✓ Found","✗ Not Found"))</f>
        <v/>
      </c>
      <c r="F175" s="31" t="str" cm="1">
        <f t="array" ref="F175">IF(A175="","",IFERROR(INDEX('Asset Detail'!C:C,_xlfn.XMATCH(A175,'Asset Detail'!A:A,3)),"—"))</f>
        <v/>
      </c>
      <c r="G175" s="32" t="str" cm="1">
        <f t="array" ref="G175">IF(A175="","",IFERROR(INDEX('Asset Detail'!E:E,_xlfn.XMATCH(A175,'Asset Detail'!A:A,3)),"—"))</f>
        <v/>
      </c>
      <c r="H175" s="34"/>
      <c r="I175" s="39"/>
    </row>
    <row r="176" spans="1:9" x14ac:dyDescent="0.25">
      <c r="A176" s="23" t="str">
        <f t="shared" si="2"/>
        <v/>
      </c>
      <c r="B176" s="38"/>
      <c r="C176" s="34"/>
      <c r="D176" s="180" t="s">
        <v>4</v>
      </c>
      <c r="E176" s="32" t="str">
        <f>IF(A176="","",IF(COUNTIF('Asset Detail'!A:A,A176)&gt;0,"✓ Found","✗ Not Found"))</f>
        <v/>
      </c>
      <c r="F176" s="31" t="str" cm="1">
        <f t="array" ref="F176">IF(A176="","",IFERROR(INDEX('Asset Detail'!C:C,_xlfn.XMATCH(A176,'Asset Detail'!A:A,3)),"—"))</f>
        <v/>
      </c>
      <c r="G176" s="32" t="str" cm="1">
        <f t="array" ref="G176">IF(A176="","",IFERROR(INDEX('Asset Detail'!E:E,_xlfn.XMATCH(A176,'Asset Detail'!A:A,3)),"—"))</f>
        <v/>
      </c>
      <c r="H176" s="34"/>
      <c r="I176" s="39"/>
    </row>
    <row r="177" spans="1:9" x14ac:dyDescent="0.25">
      <c r="A177" s="23" t="str">
        <f t="shared" si="2"/>
        <v/>
      </c>
      <c r="B177" s="38"/>
      <c r="C177" s="34"/>
      <c r="D177" s="180" t="s">
        <v>4</v>
      </c>
      <c r="E177" s="32" t="str">
        <f>IF(A177="","",IF(COUNTIF('Asset Detail'!A:A,A177)&gt;0,"✓ Found","✗ Not Found"))</f>
        <v/>
      </c>
      <c r="F177" s="31" t="str" cm="1">
        <f t="array" ref="F177">IF(A177="","",IFERROR(INDEX('Asset Detail'!C:C,_xlfn.XMATCH(A177,'Asset Detail'!A:A,3)),"—"))</f>
        <v/>
      </c>
      <c r="G177" s="32" t="str" cm="1">
        <f t="array" ref="G177">IF(A177="","",IFERROR(INDEX('Asset Detail'!E:E,_xlfn.XMATCH(A177,'Asset Detail'!A:A,3)),"—"))</f>
        <v/>
      </c>
      <c r="H177" s="34"/>
      <c r="I177" s="39"/>
    </row>
    <row r="178" spans="1:9" x14ac:dyDescent="0.25">
      <c r="A178" s="23" t="str">
        <f t="shared" si="2"/>
        <v/>
      </c>
      <c r="B178" s="38"/>
      <c r="C178" s="34"/>
      <c r="D178" s="180" t="s">
        <v>4</v>
      </c>
      <c r="E178" s="32" t="str">
        <f>IF(A178="","",IF(COUNTIF('Asset Detail'!A:A,A178)&gt;0,"✓ Found","✗ Not Found"))</f>
        <v/>
      </c>
      <c r="F178" s="31" t="str" cm="1">
        <f t="array" ref="F178">IF(A178="","",IFERROR(INDEX('Asset Detail'!C:C,_xlfn.XMATCH(A178,'Asset Detail'!A:A,3)),"—"))</f>
        <v/>
      </c>
      <c r="G178" s="32" t="str" cm="1">
        <f t="array" ref="G178">IF(A178="","",IFERROR(INDEX('Asset Detail'!E:E,_xlfn.XMATCH(A178,'Asset Detail'!A:A,3)),"—"))</f>
        <v/>
      </c>
      <c r="H178" s="34"/>
      <c r="I178" s="39"/>
    </row>
    <row r="179" spans="1:9" x14ac:dyDescent="0.25">
      <c r="A179" s="23" t="str">
        <f t="shared" si="2"/>
        <v/>
      </c>
      <c r="B179" s="38"/>
      <c r="C179" s="34"/>
      <c r="D179" s="180" t="s">
        <v>4</v>
      </c>
      <c r="E179" s="32" t="str">
        <f>IF(A179="","",IF(COUNTIF('Asset Detail'!A:A,A179)&gt;0,"✓ Found","✗ Not Found"))</f>
        <v/>
      </c>
      <c r="F179" s="31" t="str" cm="1">
        <f t="array" ref="F179">IF(A179="","",IFERROR(INDEX('Asset Detail'!C:C,_xlfn.XMATCH(A179,'Asset Detail'!A:A,3)),"—"))</f>
        <v/>
      </c>
      <c r="G179" s="32" t="str" cm="1">
        <f t="array" ref="G179">IF(A179="","",IFERROR(INDEX('Asset Detail'!E:E,_xlfn.XMATCH(A179,'Asset Detail'!A:A,3)),"—"))</f>
        <v/>
      </c>
      <c r="H179" s="34"/>
      <c r="I179" s="39"/>
    </row>
    <row r="180" spans="1:9" x14ac:dyDescent="0.25">
      <c r="A180" s="23" t="str">
        <f t="shared" si="2"/>
        <v/>
      </c>
      <c r="B180" s="38"/>
      <c r="C180" s="34"/>
      <c r="D180" s="180" t="s">
        <v>4</v>
      </c>
      <c r="E180" s="32" t="str">
        <f>IF(A180="","",IF(COUNTIF('Asset Detail'!A:A,A180)&gt;0,"✓ Found","✗ Not Found"))</f>
        <v/>
      </c>
      <c r="F180" s="31" t="str" cm="1">
        <f t="array" ref="F180">IF(A180="","",IFERROR(INDEX('Asset Detail'!C:C,_xlfn.XMATCH(A180,'Asset Detail'!A:A,3)),"—"))</f>
        <v/>
      </c>
      <c r="G180" s="32" t="str" cm="1">
        <f t="array" ref="G180">IF(A180="","",IFERROR(INDEX('Asset Detail'!E:E,_xlfn.XMATCH(A180,'Asset Detail'!A:A,3)),"—"))</f>
        <v/>
      </c>
      <c r="H180" s="34"/>
      <c r="I180" s="39"/>
    </row>
    <row r="181" spans="1:9" x14ac:dyDescent="0.25">
      <c r="A181" s="23" t="str">
        <f t="shared" si="2"/>
        <v/>
      </c>
      <c r="B181" s="38"/>
      <c r="C181" s="34"/>
      <c r="D181" s="180" t="s">
        <v>4</v>
      </c>
      <c r="E181" s="32" t="str">
        <f>IF(A181="","",IF(COUNTIF('Asset Detail'!A:A,A181)&gt;0,"✓ Found","✗ Not Found"))</f>
        <v/>
      </c>
      <c r="F181" s="31" t="str" cm="1">
        <f t="array" ref="F181">IF(A181="","",IFERROR(INDEX('Asset Detail'!C:C,_xlfn.XMATCH(A181,'Asset Detail'!A:A,3)),"—"))</f>
        <v/>
      </c>
      <c r="G181" s="32" t="str" cm="1">
        <f t="array" ref="G181">IF(A181="","",IFERROR(INDEX('Asset Detail'!E:E,_xlfn.XMATCH(A181,'Asset Detail'!A:A,3)),"—"))</f>
        <v/>
      </c>
      <c r="H181" s="34"/>
      <c r="I181" s="39"/>
    </row>
    <row r="182" spans="1:9" x14ac:dyDescent="0.25">
      <c r="A182" s="23" t="str">
        <f t="shared" si="2"/>
        <v/>
      </c>
      <c r="B182" s="38"/>
      <c r="C182" s="34"/>
      <c r="D182" s="180" t="s">
        <v>4</v>
      </c>
      <c r="E182" s="32" t="str">
        <f>IF(A182="","",IF(COUNTIF('Asset Detail'!A:A,A182)&gt;0,"✓ Found","✗ Not Found"))</f>
        <v/>
      </c>
      <c r="F182" s="31" t="str" cm="1">
        <f t="array" ref="F182">IF(A182="","",IFERROR(INDEX('Asset Detail'!C:C,_xlfn.XMATCH(A182,'Asset Detail'!A:A,3)),"—"))</f>
        <v/>
      </c>
      <c r="G182" s="32" t="str" cm="1">
        <f t="array" ref="G182">IF(A182="","",IFERROR(INDEX('Asset Detail'!E:E,_xlfn.XMATCH(A182,'Asset Detail'!A:A,3)),"—"))</f>
        <v/>
      </c>
      <c r="H182" s="34"/>
      <c r="I182" s="39"/>
    </row>
    <row r="183" spans="1:9" x14ac:dyDescent="0.25">
      <c r="A183" s="23" t="str">
        <f t="shared" si="2"/>
        <v/>
      </c>
      <c r="B183" s="38"/>
      <c r="C183" s="34"/>
      <c r="D183" s="180" t="s">
        <v>4</v>
      </c>
      <c r="E183" s="32" t="str">
        <f>IF(A183="","",IF(COUNTIF('Asset Detail'!A:A,A183)&gt;0,"✓ Found","✗ Not Found"))</f>
        <v/>
      </c>
      <c r="F183" s="31" t="str" cm="1">
        <f t="array" ref="F183">IF(A183="","",IFERROR(INDEX('Asset Detail'!C:C,_xlfn.XMATCH(A183,'Asset Detail'!A:A,3)),"—"))</f>
        <v/>
      </c>
      <c r="G183" s="32" t="str" cm="1">
        <f t="array" ref="G183">IF(A183="","",IFERROR(INDEX('Asset Detail'!E:E,_xlfn.XMATCH(A183,'Asset Detail'!A:A,3)),"—"))</f>
        <v/>
      </c>
      <c r="H183" s="34"/>
      <c r="I183" s="39"/>
    </row>
    <row r="184" spans="1:9" x14ac:dyDescent="0.25">
      <c r="A184" s="23" t="str">
        <f t="shared" si="2"/>
        <v/>
      </c>
      <c r="B184" s="38"/>
      <c r="C184" s="34"/>
      <c r="D184" s="180" t="s">
        <v>4</v>
      </c>
      <c r="E184" s="32" t="str">
        <f>IF(A184="","",IF(COUNTIF('Asset Detail'!A:A,A184)&gt;0,"✓ Found","✗ Not Found"))</f>
        <v/>
      </c>
      <c r="F184" s="31" t="str" cm="1">
        <f t="array" ref="F184">IF(A184="","",IFERROR(INDEX('Asset Detail'!C:C,_xlfn.XMATCH(A184,'Asset Detail'!A:A,3)),"—"))</f>
        <v/>
      </c>
      <c r="G184" s="32" t="str" cm="1">
        <f t="array" ref="G184">IF(A184="","",IFERROR(INDEX('Asset Detail'!E:E,_xlfn.XMATCH(A184,'Asset Detail'!A:A,3)),"—"))</f>
        <v/>
      </c>
      <c r="H184" s="34"/>
      <c r="I184" s="39"/>
    </row>
    <row r="185" spans="1:9" x14ac:dyDescent="0.25">
      <c r="A185" s="23" t="str">
        <f t="shared" si="2"/>
        <v/>
      </c>
      <c r="B185" s="38"/>
      <c r="C185" s="34"/>
      <c r="D185" s="180" t="s">
        <v>4</v>
      </c>
      <c r="E185" s="32" t="str">
        <f>IF(A185="","",IF(COUNTIF('Asset Detail'!A:A,A185)&gt;0,"✓ Found","✗ Not Found"))</f>
        <v/>
      </c>
      <c r="F185" s="31" t="str" cm="1">
        <f t="array" ref="F185">IF(A185="","",IFERROR(INDEX('Asset Detail'!C:C,_xlfn.XMATCH(A185,'Asset Detail'!A:A,3)),"—"))</f>
        <v/>
      </c>
      <c r="G185" s="32" t="str" cm="1">
        <f t="array" ref="G185">IF(A185="","",IFERROR(INDEX('Asset Detail'!E:E,_xlfn.XMATCH(A185,'Asset Detail'!A:A,3)),"—"))</f>
        <v/>
      </c>
      <c r="H185" s="34"/>
      <c r="I185" s="39"/>
    </row>
    <row r="186" spans="1:9" x14ac:dyDescent="0.25">
      <c r="A186" s="23" t="str">
        <f t="shared" si="2"/>
        <v/>
      </c>
      <c r="B186" s="38"/>
      <c r="C186" s="34"/>
      <c r="D186" s="180" t="s">
        <v>4</v>
      </c>
      <c r="E186" s="32" t="str">
        <f>IF(A186="","",IF(COUNTIF('Asset Detail'!A:A,A186)&gt;0,"✓ Found","✗ Not Found"))</f>
        <v/>
      </c>
      <c r="F186" s="31" t="str" cm="1">
        <f t="array" ref="F186">IF(A186="","",IFERROR(INDEX('Asset Detail'!C:C,_xlfn.XMATCH(A186,'Asset Detail'!A:A,3)),"—"))</f>
        <v/>
      </c>
      <c r="G186" s="32" t="str" cm="1">
        <f t="array" ref="G186">IF(A186="","",IFERROR(INDEX('Asset Detail'!E:E,_xlfn.XMATCH(A186,'Asset Detail'!A:A,3)),"—"))</f>
        <v/>
      </c>
      <c r="H186" s="34"/>
      <c r="I186" s="39"/>
    </row>
    <row r="187" spans="1:9" x14ac:dyDescent="0.25">
      <c r="A187" s="23" t="str">
        <f t="shared" si="2"/>
        <v/>
      </c>
      <c r="B187" s="38"/>
      <c r="C187" s="34"/>
      <c r="D187" s="180" t="s">
        <v>4</v>
      </c>
      <c r="E187" s="32" t="str">
        <f>IF(A187="","",IF(COUNTIF('Asset Detail'!A:A,A187)&gt;0,"✓ Found","✗ Not Found"))</f>
        <v/>
      </c>
      <c r="F187" s="31" t="str" cm="1">
        <f t="array" ref="F187">IF(A187="","",IFERROR(INDEX('Asset Detail'!C:C,_xlfn.XMATCH(A187,'Asset Detail'!A:A,3)),"—"))</f>
        <v/>
      </c>
      <c r="G187" s="32" t="str" cm="1">
        <f t="array" ref="G187">IF(A187="","",IFERROR(INDEX('Asset Detail'!E:E,_xlfn.XMATCH(A187,'Asset Detail'!A:A,3)),"—"))</f>
        <v/>
      </c>
      <c r="H187" s="34"/>
      <c r="I187" s="39"/>
    </row>
    <row r="188" spans="1:9" x14ac:dyDescent="0.25">
      <c r="A188" s="23" t="str">
        <f t="shared" si="2"/>
        <v/>
      </c>
      <c r="B188" s="38"/>
      <c r="C188" s="34"/>
      <c r="D188" s="180" t="s">
        <v>4</v>
      </c>
      <c r="E188" s="32" t="str">
        <f>IF(A188="","",IF(COUNTIF('Asset Detail'!A:A,A188)&gt;0,"✓ Found","✗ Not Found"))</f>
        <v/>
      </c>
      <c r="F188" s="31" t="str" cm="1">
        <f t="array" ref="F188">IF(A188="","",IFERROR(INDEX('Asset Detail'!C:C,_xlfn.XMATCH(A188,'Asset Detail'!A:A,3)),"—"))</f>
        <v/>
      </c>
      <c r="G188" s="32" t="str" cm="1">
        <f t="array" ref="G188">IF(A188="","",IFERROR(INDEX('Asset Detail'!E:E,_xlfn.XMATCH(A188,'Asset Detail'!A:A,3)),"—"))</f>
        <v/>
      </c>
      <c r="H188" s="34"/>
      <c r="I188" s="39"/>
    </row>
    <row r="189" spans="1:9" x14ac:dyDescent="0.25">
      <c r="A189" s="23" t="str">
        <f t="shared" si="2"/>
        <v/>
      </c>
      <c r="B189" s="38"/>
      <c r="C189" s="34"/>
      <c r="D189" s="180" t="s">
        <v>4</v>
      </c>
      <c r="E189" s="32" t="str">
        <f>IF(A189="","",IF(COUNTIF('Asset Detail'!A:A,A189)&gt;0,"✓ Found","✗ Not Found"))</f>
        <v/>
      </c>
      <c r="F189" s="31" t="str" cm="1">
        <f t="array" ref="F189">IF(A189="","",IFERROR(INDEX('Asset Detail'!C:C,_xlfn.XMATCH(A189,'Asset Detail'!A:A,3)),"—"))</f>
        <v/>
      </c>
      <c r="G189" s="32" t="str" cm="1">
        <f t="array" ref="G189">IF(A189="","",IFERROR(INDEX('Asset Detail'!E:E,_xlfn.XMATCH(A189,'Asset Detail'!A:A,3)),"—"))</f>
        <v/>
      </c>
      <c r="H189" s="34"/>
      <c r="I189" s="39"/>
    </row>
    <row r="190" spans="1:9" x14ac:dyDescent="0.25">
      <c r="A190" s="23" t="str">
        <f t="shared" si="2"/>
        <v/>
      </c>
      <c r="B190" s="38"/>
      <c r="C190" s="34"/>
      <c r="D190" s="180" t="s">
        <v>4</v>
      </c>
      <c r="E190" s="32" t="str">
        <f>IF(A190="","",IF(COUNTIF('Asset Detail'!A:A,A190)&gt;0,"✓ Found","✗ Not Found"))</f>
        <v/>
      </c>
      <c r="F190" s="31" t="str" cm="1">
        <f t="array" ref="F190">IF(A190="","",IFERROR(INDEX('Asset Detail'!C:C,_xlfn.XMATCH(A190,'Asset Detail'!A:A,3)),"—"))</f>
        <v/>
      </c>
      <c r="G190" s="32" t="str" cm="1">
        <f t="array" ref="G190">IF(A190="","",IFERROR(INDEX('Asset Detail'!E:E,_xlfn.XMATCH(A190,'Asset Detail'!A:A,3)),"—"))</f>
        <v/>
      </c>
      <c r="H190" s="34"/>
      <c r="I190" s="39"/>
    </row>
    <row r="191" spans="1:9" x14ac:dyDescent="0.25">
      <c r="A191" s="23" t="str">
        <f t="shared" si="2"/>
        <v/>
      </c>
      <c r="B191" s="38"/>
      <c r="C191" s="34"/>
      <c r="D191" s="180" t="s">
        <v>4</v>
      </c>
      <c r="E191" s="32" t="str">
        <f>IF(A191="","",IF(COUNTIF('Asset Detail'!A:A,A191)&gt;0,"✓ Found","✗ Not Found"))</f>
        <v/>
      </c>
      <c r="F191" s="31" t="str" cm="1">
        <f t="array" ref="F191">IF(A191="","",IFERROR(INDEX('Asset Detail'!C:C,_xlfn.XMATCH(A191,'Asset Detail'!A:A,3)),"—"))</f>
        <v/>
      </c>
      <c r="G191" s="32" t="str" cm="1">
        <f t="array" ref="G191">IF(A191="","",IFERROR(INDEX('Asset Detail'!E:E,_xlfn.XMATCH(A191,'Asset Detail'!A:A,3)),"—"))</f>
        <v/>
      </c>
      <c r="H191" s="34"/>
      <c r="I191" s="39"/>
    </row>
    <row r="192" spans="1:9" x14ac:dyDescent="0.25">
      <c r="A192" s="23" t="str">
        <f t="shared" si="2"/>
        <v/>
      </c>
      <c r="B192" s="38"/>
      <c r="C192" s="34"/>
      <c r="D192" s="180" t="s">
        <v>4</v>
      </c>
      <c r="E192" s="32" t="str">
        <f>IF(A192="","",IF(COUNTIF('Asset Detail'!A:A,A192)&gt;0,"✓ Found","✗ Not Found"))</f>
        <v/>
      </c>
      <c r="F192" s="31" t="str" cm="1">
        <f t="array" ref="F192">IF(A192="","",IFERROR(INDEX('Asset Detail'!C:C,_xlfn.XMATCH(A192,'Asset Detail'!A:A,3)),"—"))</f>
        <v/>
      </c>
      <c r="G192" s="32" t="str" cm="1">
        <f t="array" ref="G192">IF(A192="","",IFERROR(INDEX('Asset Detail'!E:E,_xlfn.XMATCH(A192,'Asset Detail'!A:A,3)),"—"))</f>
        <v/>
      </c>
      <c r="H192" s="34"/>
      <c r="I192" s="39"/>
    </row>
    <row r="193" spans="1:9" x14ac:dyDescent="0.25">
      <c r="A193" s="23" t="str">
        <f t="shared" si="2"/>
        <v/>
      </c>
      <c r="B193" s="38"/>
      <c r="C193" s="34"/>
      <c r="D193" s="180" t="s">
        <v>4</v>
      </c>
      <c r="E193" s="32" t="str">
        <f>IF(A193="","",IF(COUNTIF('Asset Detail'!A:A,A193)&gt;0,"✓ Found","✗ Not Found"))</f>
        <v/>
      </c>
      <c r="F193" s="31" t="str" cm="1">
        <f t="array" ref="F193">IF(A193="","",IFERROR(INDEX('Asset Detail'!C:C,_xlfn.XMATCH(A193,'Asset Detail'!A:A,3)),"—"))</f>
        <v/>
      </c>
      <c r="G193" s="32" t="str" cm="1">
        <f t="array" ref="G193">IF(A193="","",IFERROR(INDEX('Asset Detail'!E:E,_xlfn.XMATCH(A193,'Asset Detail'!A:A,3)),"—"))</f>
        <v/>
      </c>
      <c r="H193" s="34"/>
      <c r="I193" s="39"/>
    </row>
    <row r="194" spans="1:9" x14ac:dyDescent="0.25">
      <c r="A194" s="23" t="str">
        <f t="shared" si="2"/>
        <v/>
      </c>
      <c r="B194" s="38"/>
      <c r="C194" s="34"/>
      <c r="D194" s="180" t="s">
        <v>4</v>
      </c>
      <c r="E194" s="32" t="str">
        <f>IF(A194="","",IF(COUNTIF('Asset Detail'!A:A,A194)&gt;0,"✓ Found","✗ Not Found"))</f>
        <v/>
      </c>
      <c r="F194" s="31" t="str" cm="1">
        <f t="array" ref="F194">IF(A194="","",IFERROR(INDEX('Asset Detail'!C:C,_xlfn.XMATCH(A194,'Asset Detail'!A:A,3)),"—"))</f>
        <v/>
      </c>
      <c r="G194" s="32" t="str" cm="1">
        <f t="array" ref="G194">IF(A194="","",IFERROR(INDEX('Asset Detail'!E:E,_xlfn.XMATCH(A194,'Asset Detail'!A:A,3)),"—"))</f>
        <v/>
      </c>
      <c r="H194" s="34"/>
      <c r="I194" s="39"/>
    </row>
    <row r="195" spans="1:9" x14ac:dyDescent="0.25">
      <c r="A195" s="23" t="str">
        <f t="shared" si="2"/>
        <v/>
      </c>
      <c r="B195" s="38"/>
      <c r="C195" s="34"/>
      <c r="D195" s="180" t="s">
        <v>4</v>
      </c>
      <c r="E195" s="32" t="str">
        <f>IF(A195="","",IF(COUNTIF('Asset Detail'!A:A,A195)&gt;0,"✓ Found","✗ Not Found"))</f>
        <v/>
      </c>
      <c r="F195" s="31" t="str" cm="1">
        <f t="array" ref="F195">IF(A195="","",IFERROR(INDEX('Asset Detail'!C:C,_xlfn.XMATCH(A195,'Asset Detail'!A:A,3)),"—"))</f>
        <v/>
      </c>
      <c r="G195" s="32" t="str" cm="1">
        <f t="array" ref="G195">IF(A195="","",IFERROR(INDEX('Asset Detail'!E:E,_xlfn.XMATCH(A195,'Asset Detail'!A:A,3)),"—"))</f>
        <v/>
      </c>
      <c r="H195" s="34"/>
      <c r="I195" s="39"/>
    </row>
    <row r="196" spans="1:9" x14ac:dyDescent="0.25">
      <c r="A196" s="23" t="str">
        <f t="shared" si="2"/>
        <v/>
      </c>
      <c r="B196" s="38"/>
      <c r="C196" s="34"/>
      <c r="D196" s="180" t="s">
        <v>4</v>
      </c>
      <c r="E196" s="32" t="str">
        <f>IF(A196="","",IF(COUNTIF('Asset Detail'!A:A,A196)&gt;0,"✓ Found","✗ Not Found"))</f>
        <v/>
      </c>
      <c r="F196" s="31" t="str" cm="1">
        <f t="array" ref="F196">IF(A196="","",IFERROR(INDEX('Asset Detail'!C:C,_xlfn.XMATCH(A196,'Asset Detail'!A:A,3)),"—"))</f>
        <v/>
      </c>
      <c r="G196" s="32" t="str" cm="1">
        <f t="array" ref="G196">IF(A196="","",IFERROR(INDEX('Asset Detail'!E:E,_xlfn.XMATCH(A196,'Asset Detail'!A:A,3)),"—"))</f>
        <v/>
      </c>
      <c r="H196" s="34"/>
      <c r="I196" s="39"/>
    </row>
    <row r="197" spans="1:9" x14ac:dyDescent="0.25">
      <c r="A197" s="23" t="str">
        <f t="shared" si="2"/>
        <v/>
      </c>
      <c r="B197" s="38"/>
      <c r="C197" s="34"/>
      <c r="D197" s="180" t="s">
        <v>4</v>
      </c>
      <c r="E197" s="32" t="str">
        <f>IF(A197="","",IF(COUNTIF('Asset Detail'!A:A,A197)&gt;0,"✓ Found","✗ Not Found"))</f>
        <v/>
      </c>
      <c r="F197" s="31" t="str" cm="1">
        <f t="array" ref="F197">IF(A197="","",IFERROR(INDEX('Asset Detail'!C:C,_xlfn.XMATCH(A197,'Asset Detail'!A:A,3)),"—"))</f>
        <v/>
      </c>
      <c r="G197" s="32" t="str" cm="1">
        <f t="array" ref="G197">IF(A197="","",IFERROR(INDEX('Asset Detail'!E:E,_xlfn.XMATCH(A197,'Asset Detail'!A:A,3)),"—"))</f>
        <v/>
      </c>
      <c r="H197" s="34"/>
      <c r="I197" s="39"/>
    </row>
    <row r="198" spans="1:9" x14ac:dyDescent="0.25">
      <c r="A198" s="23" t="str">
        <f t="shared" si="2"/>
        <v/>
      </c>
      <c r="B198" s="38"/>
      <c r="C198" s="34"/>
      <c r="D198" s="180" t="s">
        <v>4</v>
      </c>
      <c r="E198" s="32" t="str">
        <f>IF(A198="","",IF(COUNTIF('Asset Detail'!A:A,A198)&gt;0,"✓ Found","✗ Not Found"))</f>
        <v/>
      </c>
      <c r="F198" s="31" t="str" cm="1">
        <f t="array" ref="F198">IF(A198="","",IFERROR(INDEX('Asset Detail'!C:C,_xlfn.XMATCH(A198,'Asset Detail'!A:A,3)),"—"))</f>
        <v/>
      </c>
      <c r="G198" s="32" t="str" cm="1">
        <f t="array" ref="G198">IF(A198="","",IFERROR(INDEX('Asset Detail'!E:E,_xlfn.XMATCH(A198,'Asset Detail'!A:A,3)),"—"))</f>
        <v/>
      </c>
      <c r="H198" s="34"/>
      <c r="I198" s="39"/>
    </row>
    <row r="199" spans="1:9" x14ac:dyDescent="0.25">
      <c r="A199" s="23" t="str">
        <f t="shared" si="2"/>
        <v/>
      </c>
      <c r="B199" s="38"/>
      <c r="C199" s="34"/>
      <c r="D199" s="180" t="s">
        <v>4</v>
      </c>
      <c r="E199" s="32" t="str">
        <f>IF(A199="","",IF(COUNTIF('Asset Detail'!A:A,A199)&gt;0,"✓ Found","✗ Not Found"))</f>
        <v/>
      </c>
      <c r="F199" s="31" t="str" cm="1">
        <f t="array" ref="F199">IF(A199="","",IFERROR(INDEX('Asset Detail'!C:C,_xlfn.XMATCH(A199,'Asset Detail'!A:A,3)),"—"))</f>
        <v/>
      </c>
      <c r="G199" s="32" t="str" cm="1">
        <f t="array" ref="G199">IF(A199="","",IFERROR(INDEX('Asset Detail'!E:E,_xlfn.XMATCH(A199,'Asset Detail'!A:A,3)),"—"))</f>
        <v/>
      </c>
      <c r="H199" s="34"/>
      <c r="I199" s="39"/>
    </row>
    <row r="200" spans="1:9" x14ac:dyDescent="0.25">
      <c r="A200" s="23" t="str">
        <f t="shared" si="2"/>
        <v/>
      </c>
      <c r="B200" s="38"/>
      <c r="C200" s="34"/>
      <c r="D200" s="180" t="s">
        <v>4</v>
      </c>
      <c r="E200" s="32" t="str">
        <f>IF(A200="","",IF(COUNTIF('Asset Detail'!A:A,A200)&gt;0,"✓ Found","✗ Not Found"))</f>
        <v/>
      </c>
      <c r="F200" s="31" t="str" cm="1">
        <f t="array" ref="F200">IF(A200="","",IFERROR(INDEX('Asset Detail'!C:C,_xlfn.XMATCH(A200,'Asset Detail'!A:A,3)),"—"))</f>
        <v/>
      </c>
      <c r="G200" s="32" t="str" cm="1">
        <f t="array" ref="G200">IF(A200="","",IFERROR(INDEX('Asset Detail'!E:E,_xlfn.XMATCH(A200,'Asset Detail'!A:A,3)),"—"))</f>
        <v/>
      </c>
      <c r="H200" s="34"/>
      <c r="I200" s="39"/>
    </row>
    <row r="201" spans="1:9" x14ac:dyDescent="0.25">
      <c r="A201" s="23" t="str">
        <f t="shared" ref="A201:A264" si="3">SUBSTITUTE(I201, "S", "")</f>
        <v/>
      </c>
      <c r="B201" s="38"/>
      <c r="C201" s="34"/>
      <c r="D201" s="180" t="s">
        <v>4</v>
      </c>
      <c r="E201" s="32" t="str">
        <f>IF(A201="","",IF(COUNTIF('Asset Detail'!A:A,A201)&gt;0,"✓ Found","✗ Not Found"))</f>
        <v/>
      </c>
      <c r="F201" s="31" t="str" cm="1">
        <f t="array" ref="F201">IF(A201="","",IFERROR(INDEX('Asset Detail'!C:C,_xlfn.XMATCH(A201,'Asset Detail'!A:A,3)),"—"))</f>
        <v/>
      </c>
      <c r="G201" s="32" t="str" cm="1">
        <f t="array" ref="G201">IF(A201="","",IFERROR(INDEX('Asset Detail'!E:E,_xlfn.XMATCH(A201,'Asset Detail'!A:A,3)),"—"))</f>
        <v/>
      </c>
      <c r="H201" s="34"/>
      <c r="I201" s="39"/>
    </row>
    <row r="202" spans="1:9" x14ac:dyDescent="0.25">
      <c r="A202" s="23" t="str">
        <f t="shared" si="3"/>
        <v/>
      </c>
      <c r="B202" s="38"/>
      <c r="C202" s="34"/>
      <c r="D202" s="180" t="s">
        <v>4</v>
      </c>
      <c r="E202" s="32" t="str">
        <f>IF(A202="","",IF(COUNTIF('Asset Detail'!A:A,A202)&gt;0,"✓ Found","✗ Not Found"))</f>
        <v/>
      </c>
      <c r="F202" s="31" t="str" cm="1">
        <f t="array" ref="F202">IF(A202="","",IFERROR(INDEX('Asset Detail'!C:C,_xlfn.XMATCH(A202,'Asset Detail'!A:A,3)),"—"))</f>
        <v/>
      </c>
      <c r="G202" s="32" t="str" cm="1">
        <f t="array" ref="G202">IF(A202="","",IFERROR(INDEX('Asset Detail'!E:E,_xlfn.XMATCH(A202,'Asset Detail'!A:A,3)),"—"))</f>
        <v/>
      </c>
      <c r="H202" s="34"/>
      <c r="I202" s="39"/>
    </row>
    <row r="203" spans="1:9" x14ac:dyDescent="0.25">
      <c r="A203" s="23" t="str">
        <f t="shared" si="3"/>
        <v/>
      </c>
      <c r="B203" s="38"/>
      <c r="C203" s="34"/>
      <c r="D203" s="180" t="s">
        <v>4</v>
      </c>
      <c r="E203" s="32" t="str">
        <f>IF(A203="","",IF(COUNTIF('Asset Detail'!A:A,A203)&gt;0,"✓ Found","✗ Not Found"))</f>
        <v/>
      </c>
      <c r="F203" s="31" t="str" cm="1">
        <f t="array" ref="F203">IF(A203="","",IFERROR(INDEX('Asset Detail'!C:C,_xlfn.XMATCH(A203,'Asset Detail'!A:A,3)),"—"))</f>
        <v/>
      </c>
      <c r="G203" s="32" t="str" cm="1">
        <f t="array" ref="G203">IF(A203="","",IFERROR(INDEX('Asset Detail'!E:E,_xlfn.XMATCH(A203,'Asset Detail'!A:A,3)),"—"))</f>
        <v/>
      </c>
      <c r="H203" s="34"/>
      <c r="I203" s="39"/>
    </row>
    <row r="204" spans="1:9" x14ac:dyDescent="0.25">
      <c r="A204" s="23" t="str">
        <f t="shared" si="3"/>
        <v/>
      </c>
      <c r="B204" s="38"/>
      <c r="C204" s="34"/>
      <c r="D204" s="180" t="s">
        <v>4</v>
      </c>
      <c r="E204" s="32" t="str">
        <f>IF(A204="","",IF(COUNTIF('Asset Detail'!A:A,A204)&gt;0,"✓ Found","✗ Not Found"))</f>
        <v/>
      </c>
      <c r="F204" s="31" t="str" cm="1">
        <f t="array" ref="F204">IF(A204="","",IFERROR(INDEX('Asset Detail'!C:C,_xlfn.XMATCH(A204,'Asset Detail'!A:A,3)),"—"))</f>
        <v/>
      </c>
      <c r="G204" s="32" t="str" cm="1">
        <f t="array" ref="G204">IF(A204="","",IFERROR(INDEX('Asset Detail'!E:E,_xlfn.XMATCH(A204,'Asset Detail'!A:A,3)),"—"))</f>
        <v/>
      </c>
      <c r="H204" s="34"/>
      <c r="I204" s="39"/>
    </row>
    <row r="205" spans="1:9" x14ac:dyDescent="0.25">
      <c r="A205" s="23" t="str">
        <f t="shared" si="3"/>
        <v/>
      </c>
      <c r="B205" s="38"/>
      <c r="C205" s="34"/>
      <c r="D205" s="180" t="s">
        <v>4</v>
      </c>
      <c r="E205" s="32" t="str">
        <f>IF(A205="","",IF(COUNTIF('Asset Detail'!A:A,A205)&gt;0,"✓ Found","✗ Not Found"))</f>
        <v/>
      </c>
      <c r="F205" s="31" t="str" cm="1">
        <f t="array" ref="F205">IF(A205="","",IFERROR(INDEX('Asset Detail'!C:C,_xlfn.XMATCH(A205,'Asset Detail'!A:A,3)),"—"))</f>
        <v/>
      </c>
      <c r="G205" s="32" t="str" cm="1">
        <f t="array" ref="G205">IF(A205="","",IFERROR(INDEX('Asset Detail'!E:E,_xlfn.XMATCH(A205,'Asset Detail'!A:A,3)),"—"))</f>
        <v/>
      </c>
      <c r="H205" s="34"/>
      <c r="I205" s="39"/>
    </row>
    <row r="206" spans="1:9" x14ac:dyDescent="0.25">
      <c r="A206" s="23" t="str">
        <f t="shared" si="3"/>
        <v/>
      </c>
      <c r="B206" s="38"/>
      <c r="C206" s="34"/>
      <c r="D206" s="180" t="s">
        <v>4</v>
      </c>
      <c r="E206" s="32" t="str">
        <f>IF(A206="","",IF(COUNTIF('Asset Detail'!A:A,A206)&gt;0,"✓ Found","✗ Not Found"))</f>
        <v/>
      </c>
      <c r="F206" s="31" t="str" cm="1">
        <f t="array" ref="F206">IF(A206="","",IFERROR(INDEX('Asset Detail'!C:C,_xlfn.XMATCH(A206,'Asset Detail'!A:A,3)),"—"))</f>
        <v/>
      </c>
      <c r="G206" s="32" t="str" cm="1">
        <f t="array" ref="G206">IF(A206="","",IFERROR(INDEX('Asset Detail'!E:E,_xlfn.XMATCH(A206,'Asset Detail'!A:A,3)),"—"))</f>
        <v/>
      </c>
      <c r="H206" s="34"/>
      <c r="I206" s="39"/>
    </row>
    <row r="207" spans="1:9" x14ac:dyDescent="0.25">
      <c r="A207" s="23" t="str">
        <f t="shared" si="3"/>
        <v/>
      </c>
      <c r="B207" s="38"/>
      <c r="C207" s="34"/>
      <c r="D207" s="180" t="s">
        <v>4</v>
      </c>
      <c r="E207" s="32" t="str">
        <f>IF(A207="","",IF(COUNTIF('Asset Detail'!A:A,A207)&gt;0,"✓ Found","✗ Not Found"))</f>
        <v/>
      </c>
      <c r="F207" s="31" t="str" cm="1">
        <f t="array" ref="F207">IF(A207="","",IFERROR(INDEX('Asset Detail'!C:C,_xlfn.XMATCH(A207,'Asset Detail'!A:A,3)),"—"))</f>
        <v/>
      </c>
      <c r="G207" s="32" t="str" cm="1">
        <f t="array" ref="G207">IF(A207="","",IFERROR(INDEX('Asset Detail'!E:E,_xlfn.XMATCH(A207,'Asset Detail'!A:A,3)),"—"))</f>
        <v/>
      </c>
      <c r="H207" s="34"/>
      <c r="I207" s="39"/>
    </row>
    <row r="208" spans="1:9" x14ac:dyDescent="0.25">
      <c r="A208" s="23" t="str">
        <f t="shared" si="3"/>
        <v/>
      </c>
      <c r="B208" s="38"/>
      <c r="C208" s="34"/>
      <c r="D208" s="180" t="s">
        <v>4</v>
      </c>
      <c r="E208" s="32" t="str">
        <f>IF(A208="","",IF(COUNTIF('Asset Detail'!A:A,A208)&gt;0,"✓ Found","✗ Not Found"))</f>
        <v/>
      </c>
      <c r="F208" s="31" t="str" cm="1">
        <f t="array" ref="F208">IF(A208="","",IFERROR(INDEX('Asset Detail'!C:C,_xlfn.XMATCH(A208,'Asset Detail'!A:A,3)),"—"))</f>
        <v/>
      </c>
      <c r="G208" s="32" t="str" cm="1">
        <f t="array" ref="G208">IF(A208="","",IFERROR(INDEX('Asset Detail'!E:E,_xlfn.XMATCH(A208,'Asset Detail'!A:A,3)),"—"))</f>
        <v/>
      </c>
      <c r="H208" s="34"/>
      <c r="I208" s="39"/>
    </row>
    <row r="209" spans="1:9" x14ac:dyDescent="0.25">
      <c r="A209" s="23" t="str">
        <f t="shared" si="3"/>
        <v/>
      </c>
      <c r="B209" s="38"/>
      <c r="C209" s="34"/>
      <c r="D209" s="180" t="s">
        <v>4</v>
      </c>
      <c r="E209" s="32" t="str">
        <f>IF(A209="","",IF(COUNTIF('Asset Detail'!A:A,A209)&gt;0,"✓ Found","✗ Not Found"))</f>
        <v/>
      </c>
      <c r="F209" s="31" t="str" cm="1">
        <f t="array" ref="F209">IF(A209="","",IFERROR(INDEX('Asset Detail'!C:C,_xlfn.XMATCH(A209,'Asset Detail'!A:A,3)),"—"))</f>
        <v/>
      </c>
      <c r="G209" s="32" t="str" cm="1">
        <f t="array" ref="G209">IF(A209="","",IFERROR(INDEX('Asset Detail'!E:E,_xlfn.XMATCH(A209,'Asset Detail'!A:A,3)),"—"))</f>
        <v/>
      </c>
      <c r="H209" s="34"/>
      <c r="I209" s="39"/>
    </row>
    <row r="210" spans="1:9" x14ac:dyDescent="0.25">
      <c r="A210" s="23" t="str">
        <f t="shared" si="3"/>
        <v/>
      </c>
      <c r="B210" s="38"/>
      <c r="C210" s="34"/>
      <c r="D210" s="180" t="s">
        <v>4</v>
      </c>
      <c r="E210" s="32" t="str">
        <f>IF(A210="","",IF(COUNTIF('Asset Detail'!A:A,A210)&gt;0,"✓ Found","✗ Not Found"))</f>
        <v/>
      </c>
      <c r="F210" s="31" t="str" cm="1">
        <f t="array" ref="F210">IF(A210="","",IFERROR(INDEX('Asset Detail'!C:C,_xlfn.XMATCH(A210,'Asset Detail'!A:A,3)),"—"))</f>
        <v/>
      </c>
      <c r="G210" s="32" t="str" cm="1">
        <f t="array" ref="G210">IF(A210="","",IFERROR(INDEX('Asset Detail'!E:E,_xlfn.XMATCH(A210,'Asset Detail'!A:A,3)),"—"))</f>
        <v/>
      </c>
      <c r="H210" s="34"/>
      <c r="I210" s="39"/>
    </row>
    <row r="211" spans="1:9" x14ac:dyDescent="0.25">
      <c r="A211" s="23" t="str">
        <f t="shared" si="3"/>
        <v/>
      </c>
      <c r="B211" s="38"/>
      <c r="C211" s="34"/>
      <c r="D211" s="180" t="s">
        <v>4</v>
      </c>
      <c r="E211" s="32" t="str">
        <f>IF(A211="","",IF(COUNTIF('Asset Detail'!A:A,A211)&gt;0,"✓ Found","✗ Not Found"))</f>
        <v/>
      </c>
      <c r="F211" s="31" t="str" cm="1">
        <f t="array" ref="F211">IF(A211="","",IFERROR(INDEX('Asset Detail'!C:C,_xlfn.XMATCH(A211,'Asset Detail'!A:A,3)),"—"))</f>
        <v/>
      </c>
      <c r="G211" s="32" t="str" cm="1">
        <f t="array" ref="G211">IF(A211="","",IFERROR(INDEX('Asset Detail'!E:E,_xlfn.XMATCH(A211,'Asset Detail'!A:A,3)),"—"))</f>
        <v/>
      </c>
      <c r="H211" s="34"/>
      <c r="I211" s="39"/>
    </row>
    <row r="212" spans="1:9" x14ac:dyDescent="0.25">
      <c r="A212" s="23" t="str">
        <f t="shared" si="3"/>
        <v/>
      </c>
      <c r="B212" s="38"/>
      <c r="C212" s="34"/>
      <c r="D212" s="180" t="s">
        <v>4</v>
      </c>
      <c r="E212" s="32" t="str">
        <f>IF(A212="","",IF(COUNTIF('Asset Detail'!A:A,A212)&gt;0,"✓ Found","✗ Not Found"))</f>
        <v/>
      </c>
      <c r="F212" s="31" t="str" cm="1">
        <f t="array" ref="F212">IF(A212="","",IFERROR(INDEX('Asset Detail'!C:C,_xlfn.XMATCH(A212,'Asset Detail'!A:A,3)),"—"))</f>
        <v/>
      </c>
      <c r="G212" s="32" t="str" cm="1">
        <f t="array" ref="G212">IF(A212="","",IFERROR(INDEX('Asset Detail'!E:E,_xlfn.XMATCH(A212,'Asset Detail'!A:A,3)),"—"))</f>
        <v/>
      </c>
      <c r="H212" s="34"/>
      <c r="I212" s="39"/>
    </row>
    <row r="213" spans="1:9" x14ac:dyDescent="0.25">
      <c r="A213" s="23" t="str">
        <f t="shared" si="3"/>
        <v/>
      </c>
      <c r="B213" s="38"/>
      <c r="C213" s="34"/>
      <c r="D213" s="180" t="s">
        <v>4</v>
      </c>
      <c r="E213" s="32" t="str">
        <f>IF(A213="","",IF(COUNTIF('Asset Detail'!A:A,A213)&gt;0,"✓ Found","✗ Not Found"))</f>
        <v/>
      </c>
      <c r="F213" s="31" t="str" cm="1">
        <f t="array" ref="F213">IF(A213="","",IFERROR(INDEX('Asset Detail'!C:C,_xlfn.XMATCH(A213,'Asset Detail'!A:A,3)),"—"))</f>
        <v/>
      </c>
      <c r="G213" s="32" t="str" cm="1">
        <f t="array" ref="G213">IF(A213="","",IFERROR(INDEX('Asset Detail'!E:E,_xlfn.XMATCH(A213,'Asset Detail'!A:A,3)),"—"))</f>
        <v/>
      </c>
      <c r="H213" s="34"/>
      <c r="I213" s="39"/>
    </row>
    <row r="214" spans="1:9" x14ac:dyDescent="0.25">
      <c r="A214" s="23" t="str">
        <f t="shared" si="3"/>
        <v/>
      </c>
      <c r="B214" s="38"/>
      <c r="C214" s="34"/>
      <c r="D214" s="180" t="s">
        <v>4</v>
      </c>
      <c r="E214" s="32" t="str">
        <f>IF(A214="","",IF(COUNTIF('Asset Detail'!A:A,A214)&gt;0,"✓ Found","✗ Not Found"))</f>
        <v/>
      </c>
      <c r="F214" s="31" t="str" cm="1">
        <f t="array" ref="F214">IF(A214="","",IFERROR(INDEX('Asset Detail'!C:C,_xlfn.XMATCH(A214,'Asset Detail'!A:A,3)),"—"))</f>
        <v/>
      </c>
      <c r="G214" s="32" t="str" cm="1">
        <f t="array" ref="G214">IF(A214="","",IFERROR(INDEX('Asset Detail'!E:E,_xlfn.XMATCH(A214,'Asset Detail'!A:A,3)),"—"))</f>
        <v/>
      </c>
      <c r="H214" s="34"/>
      <c r="I214" s="39"/>
    </row>
    <row r="215" spans="1:9" x14ac:dyDescent="0.25">
      <c r="A215" s="23" t="str">
        <f t="shared" si="3"/>
        <v/>
      </c>
      <c r="B215" s="38"/>
      <c r="C215" s="34"/>
      <c r="D215" s="180" t="s">
        <v>4</v>
      </c>
      <c r="E215" s="32" t="str">
        <f>IF(A215="","",IF(COUNTIF('Asset Detail'!A:A,A215)&gt;0,"✓ Found","✗ Not Found"))</f>
        <v/>
      </c>
      <c r="F215" s="31" t="str" cm="1">
        <f t="array" ref="F215">IF(A215="","",IFERROR(INDEX('Asset Detail'!C:C,_xlfn.XMATCH(A215,'Asset Detail'!A:A,3)),"—"))</f>
        <v/>
      </c>
      <c r="G215" s="32" t="str" cm="1">
        <f t="array" ref="G215">IF(A215="","",IFERROR(INDEX('Asset Detail'!E:E,_xlfn.XMATCH(A215,'Asset Detail'!A:A,3)),"—"))</f>
        <v/>
      </c>
      <c r="H215" s="34"/>
      <c r="I215" s="39"/>
    </row>
    <row r="216" spans="1:9" x14ac:dyDescent="0.25">
      <c r="A216" s="23" t="str">
        <f t="shared" si="3"/>
        <v/>
      </c>
      <c r="B216" s="38"/>
      <c r="C216" s="34"/>
      <c r="D216" s="180" t="s">
        <v>4</v>
      </c>
      <c r="E216" s="32" t="str">
        <f>IF(A216="","",IF(COUNTIF('Asset Detail'!A:A,A216)&gt;0,"✓ Found","✗ Not Found"))</f>
        <v/>
      </c>
      <c r="F216" s="31" t="str" cm="1">
        <f t="array" ref="F216">IF(A216="","",IFERROR(INDEX('Asset Detail'!C:C,_xlfn.XMATCH(A216,'Asset Detail'!A:A,3)),"—"))</f>
        <v/>
      </c>
      <c r="G216" s="32" t="str" cm="1">
        <f t="array" ref="G216">IF(A216="","",IFERROR(INDEX('Asset Detail'!E:E,_xlfn.XMATCH(A216,'Asset Detail'!A:A,3)),"—"))</f>
        <v/>
      </c>
      <c r="H216" s="34"/>
      <c r="I216" s="39"/>
    </row>
    <row r="217" spans="1:9" x14ac:dyDescent="0.25">
      <c r="A217" s="23" t="str">
        <f t="shared" si="3"/>
        <v/>
      </c>
      <c r="B217" s="38"/>
      <c r="C217" s="34"/>
      <c r="D217" s="180" t="s">
        <v>4</v>
      </c>
      <c r="E217" s="32" t="str">
        <f>IF(A217="","",IF(COUNTIF('Asset Detail'!A:A,A217)&gt;0,"✓ Found","✗ Not Found"))</f>
        <v/>
      </c>
      <c r="F217" s="31" t="str" cm="1">
        <f t="array" ref="F217">IF(A217="","",IFERROR(INDEX('Asset Detail'!C:C,_xlfn.XMATCH(A217,'Asset Detail'!A:A,3)),"—"))</f>
        <v/>
      </c>
      <c r="G217" s="32" t="str" cm="1">
        <f t="array" ref="G217">IF(A217="","",IFERROR(INDEX('Asset Detail'!E:E,_xlfn.XMATCH(A217,'Asset Detail'!A:A,3)),"—"))</f>
        <v/>
      </c>
      <c r="H217" s="34"/>
      <c r="I217" s="39"/>
    </row>
    <row r="218" spans="1:9" x14ac:dyDescent="0.25">
      <c r="A218" s="23" t="str">
        <f t="shared" si="3"/>
        <v/>
      </c>
      <c r="B218" s="38"/>
      <c r="C218" s="34"/>
      <c r="D218" s="180" t="s">
        <v>4</v>
      </c>
      <c r="E218" s="32" t="str">
        <f>IF(A218="","",IF(COUNTIF('Asset Detail'!A:A,A218)&gt;0,"✓ Found","✗ Not Found"))</f>
        <v/>
      </c>
      <c r="F218" s="31" t="str" cm="1">
        <f t="array" ref="F218">IF(A218="","",IFERROR(INDEX('Asset Detail'!C:C,_xlfn.XMATCH(A218,'Asset Detail'!A:A,3)),"—"))</f>
        <v/>
      </c>
      <c r="G218" s="32" t="str" cm="1">
        <f t="array" ref="G218">IF(A218="","",IFERROR(INDEX('Asset Detail'!E:E,_xlfn.XMATCH(A218,'Asset Detail'!A:A,3)),"—"))</f>
        <v/>
      </c>
      <c r="H218" s="34"/>
      <c r="I218" s="39"/>
    </row>
    <row r="219" spans="1:9" x14ac:dyDescent="0.25">
      <c r="A219" s="23" t="str">
        <f t="shared" si="3"/>
        <v/>
      </c>
      <c r="B219" s="38"/>
      <c r="C219" s="34"/>
      <c r="D219" s="180" t="s">
        <v>4</v>
      </c>
      <c r="E219" s="32" t="str">
        <f>IF(A219="","",IF(COUNTIF('Asset Detail'!A:A,A219)&gt;0,"✓ Found","✗ Not Found"))</f>
        <v/>
      </c>
      <c r="F219" s="31" t="str" cm="1">
        <f t="array" ref="F219">IF(A219="","",IFERROR(INDEX('Asset Detail'!C:C,_xlfn.XMATCH(A219,'Asset Detail'!A:A,3)),"—"))</f>
        <v/>
      </c>
      <c r="G219" s="32" t="str" cm="1">
        <f t="array" ref="G219">IF(A219="","",IFERROR(INDEX('Asset Detail'!E:E,_xlfn.XMATCH(A219,'Asset Detail'!A:A,3)),"—"))</f>
        <v/>
      </c>
      <c r="H219" s="34"/>
      <c r="I219" s="39"/>
    </row>
    <row r="220" spans="1:9" x14ac:dyDescent="0.25">
      <c r="A220" s="23" t="str">
        <f t="shared" si="3"/>
        <v/>
      </c>
      <c r="B220" s="38"/>
      <c r="C220" s="34"/>
      <c r="D220" s="180" t="s">
        <v>4</v>
      </c>
      <c r="E220" s="32" t="str">
        <f>IF(A220="","",IF(COUNTIF('Asset Detail'!A:A,A220)&gt;0,"✓ Found","✗ Not Found"))</f>
        <v/>
      </c>
      <c r="F220" s="31" t="str" cm="1">
        <f t="array" ref="F220">IF(A220="","",IFERROR(INDEX('Asset Detail'!C:C,_xlfn.XMATCH(A220,'Asset Detail'!A:A,3)),"—"))</f>
        <v/>
      </c>
      <c r="G220" s="32" t="str" cm="1">
        <f t="array" ref="G220">IF(A220="","",IFERROR(INDEX('Asset Detail'!E:E,_xlfn.XMATCH(A220,'Asset Detail'!A:A,3)),"—"))</f>
        <v/>
      </c>
      <c r="H220" s="34"/>
      <c r="I220" s="39"/>
    </row>
    <row r="221" spans="1:9" x14ac:dyDescent="0.25">
      <c r="A221" s="23" t="str">
        <f t="shared" si="3"/>
        <v/>
      </c>
      <c r="B221" s="38"/>
      <c r="C221" s="34"/>
      <c r="D221" s="180" t="s">
        <v>4</v>
      </c>
      <c r="E221" s="32" t="str">
        <f>IF(A221="","",IF(COUNTIF('Asset Detail'!A:A,A221)&gt;0,"✓ Found","✗ Not Found"))</f>
        <v/>
      </c>
      <c r="F221" s="31" t="str" cm="1">
        <f t="array" ref="F221">IF(A221="","",IFERROR(INDEX('Asset Detail'!C:C,_xlfn.XMATCH(A221,'Asset Detail'!A:A,3)),"—"))</f>
        <v/>
      </c>
      <c r="G221" s="32" t="str" cm="1">
        <f t="array" ref="G221">IF(A221="","",IFERROR(INDEX('Asset Detail'!E:E,_xlfn.XMATCH(A221,'Asset Detail'!A:A,3)),"—"))</f>
        <v/>
      </c>
      <c r="H221" s="34"/>
      <c r="I221" s="39"/>
    </row>
    <row r="222" spans="1:9" x14ac:dyDescent="0.25">
      <c r="A222" s="23" t="str">
        <f t="shared" si="3"/>
        <v/>
      </c>
      <c r="B222" s="38"/>
      <c r="C222" s="34"/>
      <c r="D222" s="180" t="s">
        <v>4</v>
      </c>
      <c r="E222" s="32" t="str">
        <f>IF(A222="","",IF(COUNTIF('Asset Detail'!A:A,A222)&gt;0,"✓ Found","✗ Not Found"))</f>
        <v/>
      </c>
      <c r="F222" s="31" t="str" cm="1">
        <f t="array" ref="F222">IF(A222="","",IFERROR(INDEX('Asset Detail'!C:C,_xlfn.XMATCH(A222,'Asset Detail'!A:A,3)),"—"))</f>
        <v/>
      </c>
      <c r="G222" s="32" t="str" cm="1">
        <f t="array" ref="G222">IF(A222="","",IFERROR(INDEX('Asset Detail'!E:E,_xlfn.XMATCH(A222,'Asset Detail'!A:A,3)),"—"))</f>
        <v/>
      </c>
      <c r="H222" s="34"/>
      <c r="I222" s="39"/>
    </row>
    <row r="223" spans="1:9" x14ac:dyDescent="0.25">
      <c r="A223" s="23" t="str">
        <f t="shared" si="3"/>
        <v/>
      </c>
      <c r="B223" s="38"/>
      <c r="C223" s="34"/>
      <c r="D223" s="180" t="s">
        <v>4</v>
      </c>
      <c r="E223" s="32" t="str">
        <f>IF(A223="","",IF(COUNTIF('Asset Detail'!A:A,A223)&gt;0,"✓ Found","✗ Not Found"))</f>
        <v/>
      </c>
      <c r="F223" s="31" t="str" cm="1">
        <f t="array" ref="F223">IF(A223="","",IFERROR(INDEX('Asset Detail'!C:C,_xlfn.XMATCH(A223,'Asset Detail'!A:A,3)),"—"))</f>
        <v/>
      </c>
      <c r="G223" s="32" t="str" cm="1">
        <f t="array" ref="G223">IF(A223="","",IFERROR(INDEX('Asset Detail'!E:E,_xlfn.XMATCH(A223,'Asset Detail'!A:A,3)),"—"))</f>
        <v/>
      </c>
      <c r="H223" s="34"/>
      <c r="I223" s="39"/>
    </row>
    <row r="224" spans="1:9" x14ac:dyDescent="0.25">
      <c r="A224" s="23" t="str">
        <f t="shared" si="3"/>
        <v/>
      </c>
      <c r="B224" s="38"/>
      <c r="C224" s="34"/>
      <c r="D224" s="180" t="s">
        <v>4</v>
      </c>
      <c r="E224" s="32" t="str">
        <f>IF(A224="","",IF(COUNTIF('Asset Detail'!A:A,A224)&gt;0,"✓ Found","✗ Not Found"))</f>
        <v/>
      </c>
      <c r="F224" s="31" t="str" cm="1">
        <f t="array" ref="F224">IF(A224="","",IFERROR(INDEX('Asset Detail'!C:C,_xlfn.XMATCH(A224,'Asset Detail'!A:A,3)),"—"))</f>
        <v/>
      </c>
      <c r="G224" s="32" t="str" cm="1">
        <f t="array" ref="G224">IF(A224="","",IFERROR(INDEX('Asset Detail'!E:E,_xlfn.XMATCH(A224,'Asset Detail'!A:A,3)),"—"))</f>
        <v/>
      </c>
      <c r="H224" s="34"/>
      <c r="I224" s="39"/>
    </row>
    <row r="225" spans="1:9" x14ac:dyDescent="0.25">
      <c r="A225" s="23" t="str">
        <f t="shared" si="3"/>
        <v/>
      </c>
      <c r="B225" s="38"/>
      <c r="C225" s="34"/>
      <c r="D225" s="180" t="s">
        <v>4</v>
      </c>
      <c r="E225" s="32" t="str">
        <f>IF(A225="","",IF(COUNTIF('Asset Detail'!A:A,A225)&gt;0,"✓ Found","✗ Not Found"))</f>
        <v/>
      </c>
      <c r="F225" s="31" t="str" cm="1">
        <f t="array" ref="F225">IF(A225="","",IFERROR(INDEX('Asset Detail'!C:C,_xlfn.XMATCH(A225,'Asset Detail'!A:A,3)),"—"))</f>
        <v/>
      </c>
      <c r="G225" s="32" t="str" cm="1">
        <f t="array" ref="G225">IF(A225="","",IFERROR(INDEX('Asset Detail'!E:E,_xlfn.XMATCH(A225,'Asset Detail'!A:A,3)),"—"))</f>
        <v/>
      </c>
      <c r="H225" s="34"/>
      <c r="I225" s="39"/>
    </row>
    <row r="226" spans="1:9" x14ac:dyDescent="0.25">
      <c r="A226" s="23" t="str">
        <f t="shared" si="3"/>
        <v/>
      </c>
      <c r="B226" s="38"/>
      <c r="C226" s="34"/>
      <c r="D226" s="180" t="s">
        <v>4</v>
      </c>
      <c r="E226" s="32" t="str">
        <f>IF(A226="","",IF(COUNTIF('Asset Detail'!A:A,A226)&gt;0,"✓ Found","✗ Not Found"))</f>
        <v/>
      </c>
      <c r="F226" s="31" t="str" cm="1">
        <f t="array" ref="F226">IF(A226="","",IFERROR(INDEX('Asset Detail'!C:C,_xlfn.XMATCH(A226,'Asset Detail'!A:A,3)),"—"))</f>
        <v/>
      </c>
      <c r="G226" s="32" t="str" cm="1">
        <f t="array" ref="G226">IF(A226="","",IFERROR(INDEX('Asset Detail'!E:E,_xlfn.XMATCH(A226,'Asset Detail'!A:A,3)),"—"))</f>
        <v/>
      </c>
      <c r="H226" s="34"/>
      <c r="I226" s="39"/>
    </row>
    <row r="227" spans="1:9" x14ac:dyDescent="0.25">
      <c r="A227" s="23" t="str">
        <f t="shared" si="3"/>
        <v/>
      </c>
      <c r="B227" s="38"/>
      <c r="C227" s="34"/>
      <c r="D227" s="180" t="s">
        <v>4</v>
      </c>
      <c r="E227" s="32" t="str">
        <f>IF(A227="","",IF(COUNTIF('Asset Detail'!A:A,A227)&gt;0,"✓ Found","✗ Not Found"))</f>
        <v/>
      </c>
      <c r="F227" s="31" t="str" cm="1">
        <f t="array" ref="F227">IF(A227="","",IFERROR(INDEX('Asset Detail'!C:C,_xlfn.XMATCH(A227,'Asset Detail'!A:A,3)),"—"))</f>
        <v/>
      </c>
      <c r="G227" s="32" t="str" cm="1">
        <f t="array" ref="G227">IF(A227="","",IFERROR(INDEX('Asset Detail'!E:E,_xlfn.XMATCH(A227,'Asset Detail'!A:A,3)),"—"))</f>
        <v/>
      </c>
      <c r="H227" s="34"/>
      <c r="I227" s="39"/>
    </row>
    <row r="228" spans="1:9" x14ac:dyDescent="0.25">
      <c r="A228" s="23" t="str">
        <f t="shared" si="3"/>
        <v/>
      </c>
      <c r="B228" s="38"/>
      <c r="C228" s="34"/>
      <c r="D228" s="180" t="s">
        <v>4</v>
      </c>
      <c r="E228" s="32" t="str">
        <f>IF(A228="","",IF(COUNTIF('Asset Detail'!A:A,A228)&gt;0,"✓ Found","✗ Not Found"))</f>
        <v/>
      </c>
      <c r="F228" s="31" t="str" cm="1">
        <f t="array" ref="F228">IF(A228="","",IFERROR(INDEX('Asset Detail'!C:C,_xlfn.XMATCH(A228,'Asset Detail'!A:A,3)),"—"))</f>
        <v/>
      </c>
      <c r="G228" s="32" t="str" cm="1">
        <f t="array" ref="G228">IF(A228="","",IFERROR(INDEX('Asset Detail'!E:E,_xlfn.XMATCH(A228,'Asset Detail'!A:A,3)),"—"))</f>
        <v/>
      </c>
      <c r="H228" s="34"/>
      <c r="I228" s="39"/>
    </row>
    <row r="229" spans="1:9" x14ac:dyDescent="0.25">
      <c r="A229" s="23" t="str">
        <f t="shared" si="3"/>
        <v/>
      </c>
      <c r="B229" s="38"/>
      <c r="C229" s="34"/>
      <c r="D229" s="180" t="s">
        <v>4</v>
      </c>
      <c r="E229" s="32" t="str">
        <f>IF(A229="","",IF(COUNTIF('Asset Detail'!A:A,A229)&gt;0,"✓ Found","✗ Not Found"))</f>
        <v/>
      </c>
      <c r="F229" s="31" t="str" cm="1">
        <f t="array" ref="F229">IF(A229="","",IFERROR(INDEX('Asset Detail'!C:C,_xlfn.XMATCH(A229,'Asset Detail'!A:A,3)),"—"))</f>
        <v/>
      </c>
      <c r="G229" s="32" t="str" cm="1">
        <f t="array" ref="G229">IF(A229="","",IFERROR(INDEX('Asset Detail'!E:E,_xlfn.XMATCH(A229,'Asset Detail'!A:A,3)),"—"))</f>
        <v/>
      </c>
      <c r="H229" s="34"/>
      <c r="I229" s="39"/>
    </row>
    <row r="230" spans="1:9" x14ac:dyDescent="0.25">
      <c r="A230" s="23" t="str">
        <f t="shared" si="3"/>
        <v/>
      </c>
      <c r="B230" s="38"/>
      <c r="C230" s="34"/>
      <c r="D230" s="180" t="s">
        <v>4</v>
      </c>
      <c r="E230" s="32" t="str">
        <f>IF(A230="","",IF(COUNTIF('Asset Detail'!A:A,A230)&gt;0,"✓ Found","✗ Not Found"))</f>
        <v/>
      </c>
      <c r="F230" s="31" t="str" cm="1">
        <f t="array" ref="F230">IF(A230="","",IFERROR(INDEX('Asset Detail'!C:C,_xlfn.XMATCH(A230,'Asset Detail'!A:A,3)),"—"))</f>
        <v/>
      </c>
      <c r="G230" s="32" t="str" cm="1">
        <f t="array" ref="G230">IF(A230="","",IFERROR(INDEX('Asset Detail'!E:E,_xlfn.XMATCH(A230,'Asset Detail'!A:A,3)),"—"))</f>
        <v/>
      </c>
      <c r="H230" s="34"/>
      <c r="I230" s="39"/>
    </row>
    <row r="231" spans="1:9" x14ac:dyDescent="0.25">
      <c r="A231" s="23" t="str">
        <f t="shared" si="3"/>
        <v/>
      </c>
      <c r="B231" s="38"/>
      <c r="C231" s="34"/>
      <c r="D231" s="180" t="s">
        <v>4</v>
      </c>
      <c r="E231" s="32" t="str">
        <f>IF(A231="","",IF(COUNTIF('Asset Detail'!A:A,A231)&gt;0,"✓ Found","✗ Not Found"))</f>
        <v/>
      </c>
      <c r="F231" s="31" t="str" cm="1">
        <f t="array" ref="F231">IF(A231="","",IFERROR(INDEX('Asset Detail'!C:C,_xlfn.XMATCH(A231,'Asset Detail'!A:A,3)),"—"))</f>
        <v/>
      </c>
      <c r="G231" s="32" t="str" cm="1">
        <f t="array" ref="G231">IF(A231="","",IFERROR(INDEX('Asset Detail'!E:E,_xlfn.XMATCH(A231,'Asset Detail'!A:A,3)),"—"))</f>
        <v/>
      </c>
      <c r="H231" s="34"/>
      <c r="I231" s="39"/>
    </row>
    <row r="232" spans="1:9" x14ac:dyDescent="0.25">
      <c r="A232" s="23" t="str">
        <f t="shared" si="3"/>
        <v/>
      </c>
      <c r="B232" s="38"/>
      <c r="C232" s="34"/>
      <c r="D232" s="180" t="s">
        <v>4</v>
      </c>
      <c r="E232" s="32" t="str">
        <f>IF(A232="","",IF(COUNTIF('Asset Detail'!A:A,A232)&gt;0,"✓ Found","✗ Not Found"))</f>
        <v/>
      </c>
      <c r="F232" s="31" t="str" cm="1">
        <f t="array" ref="F232">IF(A232="","",IFERROR(INDEX('Asset Detail'!C:C,_xlfn.XMATCH(A232,'Asset Detail'!A:A,3)),"—"))</f>
        <v/>
      </c>
      <c r="G232" s="32" t="str" cm="1">
        <f t="array" ref="G232">IF(A232="","",IFERROR(INDEX('Asset Detail'!E:E,_xlfn.XMATCH(A232,'Asset Detail'!A:A,3)),"—"))</f>
        <v/>
      </c>
      <c r="H232" s="34"/>
      <c r="I232" s="39"/>
    </row>
    <row r="233" spans="1:9" x14ac:dyDescent="0.25">
      <c r="A233" s="23" t="str">
        <f t="shared" si="3"/>
        <v/>
      </c>
      <c r="B233" s="38"/>
      <c r="C233" s="34"/>
      <c r="D233" s="180" t="s">
        <v>4</v>
      </c>
      <c r="E233" s="32" t="str">
        <f>IF(A233="","",IF(COUNTIF('Asset Detail'!A:A,A233)&gt;0,"✓ Found","✗ Not Found"))</f>
        <v/>
      </c>
      <c r="F233" s="31" t="str" cm="1">
        <f t="array" ref="F233">IF(A233="","",IFERROR(INDEX('Asset Detail'!C:C,_xlfn.XMATCH(A233,'Asset Detail'!A:A,3)),"—"))</f>
        <v/>
      </c>
      <c r="G233" s="32" t="str" cm="1">
        <f t="array" ref="G233">IF(A233="","",IFERROR(INDEX('Asset Detail'!E:E,_xlfn.XMATCH(A233,'Asset Detail'!A:A,3)),"—"))</f>
        <v/>
      </c>
      <c r="H233" s="34"/>
      <c r="I233" s="39"/>
    </row>
    <row r="234" spans="1:9" x14ac:dyDescent="0.25">
      <c r="A234" s="23" t="str">
        <f t="shared" si="3"/>
        <v/>
      </c>
      <c r="B234" s="38"/>
      <c r="C234" s="34"/>
      <c r="D234" s="180" t="s">
        <v>4</v>
      </c>
      <c r="E234" s="32" t="str">
        <f>IF(A234="","",IF(COUNTIF('Asset Detail'!A:A,A234)&gt;0,"✓ Found","✗ Not Found"))</f>
        <v/>
      </c>
      <c r="F234" s="31" t="str" cm="1">
        <f t="array" ref="F234">IF(A234="","",IFERROR(INDEX('Asset Detail'!C:C,_xlfn.XMATCH(A234,'Asset Detail'!A:A,3)),"—"))</f>
        <v/>
      </c>
      <c r="G234" s="32" t="str" cm="1">
        <f t="array" ref="G234">IF(A234="","",IFERROR(INDEX('Asset Detail'!E:E,_xlfn.XMATCH(A234,'Asset Detail'!A:A,3)),"—"))</f>
        <v/>
      </c>
      <c r="H234" s="34"/>
      <c r="I234" s="39"/>
    </row>
    <row r="235" spans="1:9" x14ac:dyDescent="0.25">
      <c r="A235" s="23" t="str">
        <f t="shared" si="3"/>
        <v/>
      </c>
      <c r="B235" s="38"/>
      <c r="C235" s="34"/>
      <c r="D235" s="180" t="s">
        <v>4</v>
      </c>
      <c r="E235" s="32" t="str">
        <f>IF(A235="","",IF(COUNTIF('Asset Detail'!A:A,A235)&gt;0,"✓ Found","✗ Not Found"))</f>
        <v/>
      </c>
      <c r="F235" s="31" t="str" cm="1">
        <f t="array" ref="F235">IF(A235="","",IFERROR(INDEX('Asset Detail'!C:C,_xlfn.XMATCH(A235,'Asset Detail'!A:A,3)),"—"))</f>
        <v/>
      </c>
      <c r="G235" s="32" t="str" cm="1">
        <f t="array" ref="G235">IF(A235="","",IFERROR(INDEX('Asset Detail'!E:E,_xlfn.XMATCH(A235,'Asset Detail'!A:A,3)),"—"))</f>
        <v/>
      </c>
      <c r="H235" s="34"/>
      <c r="I235" s="39"/>
    </row>
    <row r="236" spans="1:9" x14ac:dyDescent="0.25">
      <c r="A236" s="23" t="str">
        <f t="shared" si="3"/>
        <v/>
      </c>
      <c r="B236" s="38"/>
      <c r="C236" s="34"/>
      <c r="D236" s="180" t="s">
        <v>4</v>
      </c>
      <c r="E236" s="32" t="str">
        <f>IF(A236="","",IF(COUNTIF('Asset Detail'!A:A,A236)&gt;0,"✓ Found","✗ Not Found"))</f>
        <v/>
      </c>
      <c r="F236" s="31" t="str" cm="1">
        <f t="array" ref="F236">IF(A236="","",IFERROR(INDEX('Asset Detail'!C:C,_xlfn.XMATCH(A236,'Asset Detail'!A:A,3)),"—"))</f>
        <v/>
      </c>
      <c r="G236" s="32" t="str" cm="1">
        <f t="array" ref="G236">IF(A236="","",IFERROR(INDEX('Asset Detail'!E:E,_xlfn.XMATCH(A236,'Asset Detail'!A:A,3)),"—"))</f>
        <v/>
      </c>
      <c r="H236" s="34"/>
      <c r="I236" s="39"/>
    </row>
    <row r="237" spans="1:9" x14ac:dyDescent="0.25">
      <c r="A237" s="23" t="str">
        <f t="shared" si="3"/>
        <v/>
      </c>
      <c r="B237" s="38"/>
      <c r="C237" s="34"/>
      <c r="D237" s="180" t="s">
        <v>4</v>
      </c>
      <c r="E237" s="32" t="str">
        <f>IF(A237="","",IF(COUNTIF('Asset Detail'!A:A,A237)&gt;0,"✓ Found","✗ Not Found"))</f>
        <v/>
      </c>
      <c r="F237" s="31" t="str" cm="1">
        <f t="array" ref="F237">IF(A237="","",IFERROR(INDEX('Asset Detail'!C:C,_xlfn.XMATCH(A237,'Asset Detail'!A:A,3)),"—"))</f>
        <v/>
      </c>
      <c r="G237" s="32" t="str" cm="1">
        <f t="array" ref="G237">IF(A237="","",IFERROR(INDEX('Asset Detail'!E:E,_xlfn.XMATCH(A237,'Asset Detail'!A:A,3)),"—"))</f>
        <v/>
      </c>
      <c r="H237" s="34"/>
      <c r="I237" s="39"/>
    </row>
    <row r="238" spans="1:9" x14ac:dyDescent="0.25">
      <c r="A238" s="23" t="str">
        <f t="shared" si="3"/>
        <v/>
      </c>
      <c r="B238" s="38"/>
      <c r="C238" s="34"/>
      <c r="D238" s="180" t="s">
        <v>4</v>
      </c>
      <c r="E238" s="32" t="str">
        <f>IF(A238="","",IF(COUNTIF('Asset Detail'!A:A,A238)&gt;0,"✓ Found","✗ Not Found"))</f>
        <v/>
      </c>
      <c r="F238" s="31" t="str" cm="1">
        <f t="array" ref="F238">IF(A238="","",IFERROR(INDEX('Asset Detail'!C:C,_xlfn.XMATCH(A238,'Asset Detail'!A:A,3)),"—"))</f>
        <v/>
      </c>
      <c r="G238" s="32" t="str" cm="1">
        <f t="array" ref="G238">IF(A238="","",IFERROR(INDEX('Asset Detail'!E:E,_xlfn.XMATCH(A238,'Asset Detail'!A:A,3)),"—"))</f>
        <v/>
      </c>
      <c r="H238" s="34"/>
      <c r="I238" s="39"/>
    </row>
    <row r="239" spans="1:9" x14ac:dyDescent="0.25">
      <c r="A239" s="23" t="str">
        <f t="shared" si="3"/>
        <v/>
      </c>
      <c r="B239" s="38"/>
      <c r="C239" s="34"/>
      <c r="D239" s="180" t="s">
        <v>4</v>
      </c>
      <c r="E239" s="32" t="str">
        <f>IF(A239="","",IF(COUNTIF('Asset Detail'!A:A,A239)&gt;0,"✓ Found","✗ Not Found"))</f>
        <v/>
      </c>
      <c r="F239" s="31" t="str" cm="1">
        <f t="array" ref="F239">IF(A239="","",IFERROR(INDEX('Asset Detail'!C:C,_xlfn.XMATCH(A239,'Asset Detail'!A:A,3)),"—"))</f>
        <v/>
      </c>
      <c r="G239" s="32" t="str" cm="1">
        <f t="array" ref="G239">IF(A239="","",IFERROR(INDEX('Asset Detail'!E:E,_xlfn.XMATCH(A239,'Asset Detail'!A:A,3)),"—"))</f>
        <v/>
      </c>
      <c r="H239" s="34"/>
      <c r="I239" s="39"/>
    </row>
    <row r="240" spans="1:9" x14ac:dyDescent="0.25">
      <c r="A240" s="23" t="str">
        <f t="shared" si="3"/>
        <v/>
      </c>
      <c r="B240" s="38"/>
      <c r="C240" s="34"/>
      <c r="D240" s="180" t="s">
        <v>4</v>
      </c>
      <c r="E240" s="32" t="str">
        <f>IF(A240="","",IF(COUNTIF('Asset Detail'!A:A,A240)&gt;0,"✓ Found","✗ Not Found"))</f>
        <v/>
      </c>
      <c r="F240" s="31" t="str" cm="1">
        <f t="array" ref="F240">IF(A240="","",IFERROR(INDEX('Asset Detail'!C:C,_xlfn.XMATCH(A240,'Asset Detail'!A:A,3)),"—"))</f>
        <v/>
      </c>
      <c r="G240" s="32" t="str" cm="1">
        <f t="array" ref="G240">IF(A240="","",IFERROR(INDEX('Asset Detail'!E:E,_xlfn.XMATCH(A240,'Asset Detail'!A:A,3)),"—"))</f>
        <v/>
      </c>
      <c r="H240" s="34"/>
      <c r="I240" s="39"/>
    </row>
    <row r="241" spans="1:9" x14ac:dyDescent="0.25">
      <c r="A241" s="23" t="str">
        <f t="shared" si="3"/>
        <v/>
      </c>
      <c r="B241" s="38"/>
      <c r="C241" s="34"/>
      <c r="D241" s="180" t="s">
        <v>4</v>
      </c>
      <c r="E241" s="32" t="str">
        <f>IF(A241="","",IF(COUNTIF('Asset Detail'!A:A,A241)&gt;0,"✓ Found","✗ Not Found"))</f>
        <v/>
      </c>
      <c r="F241" s="31" t="str" cm="1">
        <f t="array" ref="F241">IF(A241="","",IFERROR(INDEX('Asset Detail'!C:C,_xlfn.XMATCH(A241,'Asset Detail'!A:A,3)),"—"))</f>
        <v/>
      </c>
      <c r="G241" s="32" t="str" cm="1">
        <f t="array" ref="G241">IF(A241="","",IFERROR(INDEX('Asset Detail'!E:E,_xlfn.XMATCH(A241,'Asset Detail'!A:A,3)),"—"))</f>
        <v/>
      </c>
      <c r="H241" s="34"/>
      <c r="I241" s="39"/>
    </row>
    <row r="242" spans="1:9" x14ac:dyDescent="0.25">
      <c r="A242" s="23" t="str">
        <f t="shared" si="3"/>
        <v/>
      </c>
      <c r="B242" s="38"/>
      <c r="C242" s="34"/>
      <c r="D242" s="180" t="s">
        <v>4</v>
      </c>
      <c r="E242" s="32" t="str">
        <f>IF(A242="","",IF(COUNTIF('Asset Detail'!A:A,A242)&gt;0,"✓ Found","✗ Not Found"))</f>
        <v/>
      </c>
      <c r="F242" s="31" t="str" cm="1">
        <f t="array" ref="F242">IF(A242="","",IFERROR(INDEX('Asset Detail'!C:C,_xlfn.XMATCH(A242,'Asset Detail'!A:A,3)),"—"))</f>
        <v/>
      </c>
      <c r="G242" s="32" t="str" cm="1">
        <f t="array" ref="G242">IF(A242="","",IFERROR(INDEX('Asset Detail'!E:E,_xlfn.XMATCH(A242,'Asset Detail'!A:A,3)),"—"))</f>
        <v/>
      </c>
      <c r="H242" s="34"/>
      <c r="I242" s="39"/>
    </row>
    <row r="243" spans="1:9" x14ac:dyDescent="0.25">
      <c r="A243" s="23" t="str">
        <f t="shared" si="3"/>
        <v/>
      </c>
      <c r="B243" s="38"/>
      <c r="C243" s="34"/>
      <c r="D243" s="180" t="s">
        <v>4</v>
      </c>
      <c r="E243" s="32" t="str">
        <f>IF(A243="","",IF(COUNTIF('Asset Detail'!A:A,A243)&gt;0,"✓ Found","✗ Not Found"))</f>
        <v/>
      </c>
      <c r="F243" s="31" t="str" cm="1">
        <f t="array" ref="F243">IF(A243="","",IFERROR(INDEX('Asset Detail'!C:C,_xlfn.XMATCH(A243,'Asset Detail'!A:A,3)),"—"))</f>
        <v/>
      </c>
      <c r="G243" s="32" t="str" cm="1">
        <f t="array" ref="G243">IF(A243="","",IFERROR(INDEX('Asset Detail'!E:E,_xlfn.XMATCH(A243,'Asset Detail'!A:A,3)),"—"))</f>
        <v/>
      </c>
      <c r="H243" s="34"/>
      <c r="I243" s="39"/>
    </row>
    <row r="244" spans="1:9" x14ac:dyDescent="0.25">
      <c r="A244" s="23" t="str">
        <f t="shared" si="3"/>
        <v/>
      </c>
      <c r="B244" s="38"/>
      <c r="C244" s="34"/>
      <c r="D244" s="180" t="s">
        <v>4</v>
      </c>
      <c r="E244" s="32" t="str">
        <f>IF(A244="","",IF(COUNTIF('Asset Detail'!A:A,A244)&gt;0,"✓ Found","✗ Not Found"))</f>
        <v/>
      </c>
      <c r="F244" s="31" t="str" cm="1">
        <f t="array" ref="F244">IF(A244="","",IFERROR(INDEX('Asset Detail'!C:C,_xlfn.XMATCH(A244,'Asset Detail'!A:A,3)),"—"))</f>
        <v/>
      </c>
      <c r="G244" s="32" t="str" cm="1">
        <f t="array" ref="G244">IF(A244="","",IFERROR(INDEX('Asset Detail'!E:E,_xlfn.XMATCH(A244,'Asset Detail'!A:A,3)),"—"))</f>
        <v/>
      </c>
      <c r="H244" s="34"/>
      <c r="I244" s="39"/>
    </row>
    <row r="245" spans="1:9" x14ac:dyDescent="0.25">
      <c r="A245" s="23" t="str">
        <f t="shared" si="3"/>
        <v/>
      </c>
      <c r="B245" s="38"/>
      <c r="C245" s="34"/>
      <c r="D245" s="180" t="s">
        <v>4</v>
      </c>
      <c r="E245" s="32" t="str">
        <f>IF(A245="","",IF(COUNTIF('Asset Detail'!A:A,A245)&gt;0,"✓ Found","✗ Not Found"))</f>
        <v/>
      </c>
      <c r="F245" s="31" t="str" cm="1">
        <f t="array" ref="F245">IF(A245="","",IFERROR(INDEX('Asset Detail'!C:C,_xlfn.XMATCH(A245,'Asset Detail'!A:A,3)),"—"))</f>
        <v/>
      </c>
      <c r="G245" s="32" t="str" cm="1">
        <f t="array" ref="G245">IF(A245="","",IFERROR(INDEX('Asset Detail'!E:E,_xlfn.XMATCH(A245,'Asset Detail'!A:A,3)),"—"))</f>
        <v/>
      </c>
      <c r="H245" s="34"/>
      <c r="I245" s="39"/>
    </row>
    <row r="246" spans="1:9" x14ac:dyDescent="0.25">
      <c r="A246" s="23" t="str">
        <f t="shared" si="3"/>
        <v/>
      </c>
      <c r="B246" s="38"/>
      <c r="C246" s="34"/>
      <c r="D246" s="180" t="s">
        <v>4</v>
      </c>
      <c r="E246" s="32" t="str">
        <f>IF(A246="","",IF(COUNTIF('Asset Detail'!A:A,A246)&gt;0,"✓ Found","✗ Not Found"))</f>
        <v/>
      </c>
      <c r="F246" s="31" t="str" cm="1">
        <f t="array" ref="F246">IF(A246="","",IFERROR(INDEX('Asset Detail'!C:C,_xlfn.XMATCH(A246,'Asset Detail'!A:A,3)),"—"))</f>
        <v/>
      </c>
      <c r="G246" s="32" t="str" cm="1">
        <f t="array" ref="G246">IF(A246="","",IFERROR(INDEX('Asset Detail'!E:E,_xlfn.XMATCH(A246,'Asset Detail'!A:A,3)),"—"))</f>
        <v/>
      </c>
      <c r="H246" s="34"/>
      <c r="I246" s="39"/>
    </row>
    <row r="247" spans="1:9" x14ac:dyDescent="0.25">
      <c r="A247" s="23" t="str">
        <f t="shared" si="3"/>
        <v/>
      </c>
      <c r="B247" s="38"/>
      <c r="C247" s="34"/>
      <c r="D247" s="180" t="s">
        <v>4</v>
      </c>
      <c r="E247" s="32" t="str">
        <f>IF(A247="","",IF(COUNTIF('Asset Detail'!A:A,A247)&gt;0,"✓ Found","✗ Not Found"))</f>
        <v/>
      </c>
      <c r="F247" s="31" t="str" cm="1">
        <f t="array" ref="F247">IF(A247="","",IFERROR(INDEX('Asset Detail'!C:C,_xlfn.XMATCH(A247,'Asset Detail'!A:A,3)),"—"))</f>
        <v/>
      </c>
      <c r="G247" s="32" t="str" cm="1">
        <f t="array" ref="G247">IF(A247="","",IFERROR(INDEX('Asset Detail'!E:E,_xlfn.XMATCH(A247,'Asset Detail'!A:A,3)),"—"))</f>
        <v/>
      </c>
      <c r="H247" s="34"/>
      <c r="I247" s="39"/>
    </row>
    <row r="248" spans="1:9" x14ac:dyDescent="0.25">
      <c r="A248" s="23" t="str">
        <f t="shared" si="3"/>
        <v/>
      </c>
      <c r="B248" s="38"/>
      <c r="C248" s="34"/>
      <c r="D248" s="180" t="s">
        <v>4</v>
      </c>
      <c r="E248" s="32" t="str">
        <f>IF(A248="","",IF(COUNTIF('Asset Detail'!A:A,A248)&gt;0,"✓ Found","✗ Not Found"))</f>
        <v/>
      </c>
      <c r="F248" s="31" t="str" cm="1">
        <f t="array" ref="F248">IF(A248="","",IFERROR(INDEX('Asset Detail'!C:C,_xlfn.XMATCH(A248,'Asset Detail'!A:A,3)),"—"))</f>
        <v/>
      </c>
      <c r="G248" s="32" t="str" cm="1">
        <f t="array" ref="G248">IF(A248="","",IFERROR(INDEX('Asset Detail'!E:E,_xlfn.XMATCH(A248,'Asset Detail'!A:A,3)),"—"))</f>
        <v/>
      </c>
      <c r="H248" s="34"/>
      <c r="I248" s="39"/>
    </row>
    <row r="249" spans="1:9" x14ac:dyDescent="0.25">
      <c r="A249" s="23" t="str">
        <f t="shared" si="3"/>
        <v/>
      </c>
      <c r="B249" s="38"/>
      <c r="C249" s="34"/>
      <c r="D249" s="180" t="s">
        <v>4</v>
      </c>
      <c r="E249" s="32" t="str">
        <f>IF(A249="","",IF(COUNTIF('Asset Detail'!A:A,A249)&gt;0,"✓ Found","✗ Not Found"))</f>
        <v/>
      </c>
      <c r="F249" s="31" t="str" cm="1">
        <f t="array" ref="F249">IF(A249="","",IFERROR(INDEX('Asset Detail'!C:C,_xlfn.XMATCH(A249,'Asset Detail'!A:A,3)),"—"))</f>
        <v/>
      </c>
      <c r="G249" s="32" t="str" cm="1">
        <f t="array" ref="G249">IF(A249="","",IFERROR(INDEX('Asset Detail'!E:E,_xlfn.XMATCH(A249,'Asset Detail'!A:A,3)),"—"))</f>
        <v/>
      </c>
      <c r="H249" s="34"/>
      <c r="I249" s="39"/>
    </row>
    <row r="250" spans="1:9" x14ac:dyDescent="0.25">
      <c r="A250" s="23" t="str">
        <f t="shared" si="3"/>
        <v/>
      </c>
      <c r="B250" s="38"/>
      <c r="C250" s="34"/>
      <c r="D250" s="180" t="s">
        <v>4</v>
      </c>
      <c r="E250" s="32" t="str">
        <f>IF(A250="","",IF(COUNTIF('Asset Detail'!A:A,A250)&gt;0,"✓ Found","✗ Not Found"))</f>
        <v/>
      </c>
      <c r="F250" s="31" t="str" cm="1">
        <f t="array" ref="F250">IF(A250="","",IFERROR(INDEX('Asset Detail'!C:C,_xlfn.XMATCH(A250,'Asset Detail'!A:A,3)),"—"))</f>
        <v/>
      </c>
      <c r="G250" s="32" t="str" cm="1">
        <f t="array" ref="G250">IF(A250="","",IFERROR(INDEX('Asset Detail'!E:E,_xlfn.XMATCH(A250,'Asset Detail'!A:A,3)),"—"))</f>
        <v/>
      </c>
      <c r="H250" s="34"/>
      <c r="I250" s="39"/>
    </row>
    <row r="251" spans="1:9" x14ac:dyDescent="0.25">
      <c r="A251" s="23" t="str">
        <f t="shared" si="3"/>
        <v/>
      </c>
      <c r="B251" s="38"/>
      <c r="C251" s="34"/>
      <c r="D251" s="180" t="s">
        <v>4</v>
      </c>
      <c r="E251" s="32" t="str">
        <f>IF(A251="","",IF(COUNTIF('Asset Detail'!A:A,A251)&gt;0,"✓ Found","✗ Not Found"))</f>
        <v/>
      </c>
      <c r="F251" s="31" t="str" cm="1">
        <f t="array" ref="F251">IF(A251="","",IFERROR(INDEX('Asset Detail'!C:C,_xlfn.XMATCH(A251,'Asset Detail'!A:A,3)),"—"))</f>
        <v/>
      </c>
      <c r="G251" s="32" t="str" cm="1">
        <f t="array" ref="G251">IF(A251="","",IFERROR(INDEX('Asset Detail'!E:E,_xlfn.XMATCH(A251,'Asset Detail'!A:A,3)),"—"))</f>
        <v/>
      </c>
      <c r="H251" s="34"/>
      <c r="I251" s="39"/>
    </row>
    <row r="252" spans="1:9" x14ac:dyDescent="0.25">
      <c r="A252" s="23" t="str">
        <f t="shared" si="3"/>
        <v/>
      </c>
      <c r="B252" s="38"/>
      <c r="C252" s="34"/>
      <c r="D252" s="180" t="s">
        <v>4</v>
      </c>
      <c r="E252" s="32" t="str">
        <f>IF(A252="","",IF(COUNTIF('Asset Detail'!A:A,A252)&gt;0,"✓ Found","✗ Not Found"))</f>
        <v/>
      </c>
      <c r="F252" s="31" t="str" cm="1">
        <f t="array" ref="F252">IF(A252="","",IFERROR(INDEX('Asset Detail'!C:C,_xlfn.XMATCH(A252,'Asset Detail'!A:A,3)),"—"))</f>
        <v/>
      </c>
      <c r="G252" s="32" t="str" cm="1">
        <f t="array" ref="G252">IF(A252="","",IFERROR(INDEX('Asset Detail'!E:E,_xlfn.XMATCH(A252,'Asset Detail'!A:A,3)),"—"))</f>
        <v/>
      </c>
      <c r="H252" s="34"/>
      <c r="I252" s="39"/>
    </row>
    <row r="253" spans="1:9" x14ac:dyDescent="0.25">
      <c r="A253" s="23" t="str">
        <f t="shared" si="3"/>
        <v/>
      </c>
      <c r="B253" s="38"/>
      <c r="C253" s="34"/>
      <c r="D253" s="180" t="s">
        <v>4</v>
      </c>
      <c r="E253" s="32" t="str">
        <f>IF(A253="","",IF(COUNTIF('Asset Detail'!A:A,A253)&gt;0,"✓ Found","✗ Not Found"))</f>
        <v/>
      </c>
      <c r="F253" s="31" t="str" cm="1">
        <f t="array" ref="F253">IF(A253="","",IFERROR(INDEX('Asset Detail'!C:C,_xlfn.XMATCH(A253,'Asset Detail'!A:A,3)),"—"))</f>
        <v/>
      </c>
      <c r="G253" s="32" t="str" cm="1">
        <f t="array" ref="G253">IF(A253="","",IFERROR(INDEX('Asset Detail'!E:E,_xlfn.XMATCH(A253,'Asset Detail'!A:A,3)),"—"))</f>
        <v/>
      </c>
      <c r="H253" s="34"/>
      <c r="I253" s="39"/>
    </row>
    <row r="254" spans="1:9" x14ac:dyDescent="0.25">
      <c r="A254" s="23" t="str">
        <f t="shared" si="3"/>
        <v/>
      </c>
      <c r="B254" s="38"/>
      <c r="C254" s="34"/>
      <c r="D254" s="180" t="s">
        <v>4</v>
      </c>
      <c r="E254" s="32" t="str">
        <f>IF(A254="","",IF(COUNTIF('Asset Detail'!A:A,A254)&gt;0,"✓ Found","✗ Not Found"))</f>
        <v/>
      </c>
      <c r="F254" s="31" t="str" cm="1">
        <f t="array" ref="F254">IF(A254="","",IFERROR(INDEX('Asset Detail'!C:C,_xlfn.XMATCH(A254,'Asset Detail'!A:A,3)),"—"))</f>
        <v/>
      </c>
      <c r="G254" s="32" t="str" cm="1">
        <f t="array" ref="G254">IF(A254="","",IFERROR(INDEX('Asset Detail'!E:E,_xlfn.XMATCH(A254,'Asset Detail'!A:A,3)),"—"))</f>
        <v/>
      </c>
      <c r="H254" s="34"/>
      <c r="I254" s="39"/>
    </row>
    <row r="255" spans="1:9" x14ac:dyDescent="0.25">
      <c r="A255" s="23" t="str">
        <f t="shared" si="3"/>
        <v/>
      </c>
      <c r="B255" s="38"/>
      <c r="C255" s="34"/>
      <c r="D255" s="180" t="s">
        <v>4</v>
      </c>
      <c r="E255" s="32" t="str">
        <f>IF(A255="","",IF(COUNTIF('Asset Detail'!A:A,A255)&gt;0,"✓ Found","✗ Not Found"))</f>
        <v/>
      </c>
      <c r="F255" s="31" t="str" cm="1">
        <f t="array" ref="F255">IF(A255="","",IFERROR(INDEX('Asset Detail'!C:C,_xlfn.XMATCH(A255,'Asset Detail'!A:A,3)),"—"))</f>
        <v/>
      </c>
      <c r="G255" s="32" t="str" cm="1">
        <f t="array" ref="G255">IF(A255="","",IFERROR(INDEX('Asset Detail'!E:E,_xlfn.XMATCH(A255,'Asset Detail'!A:A,3)),"—"))</f>
        <v/>
      </c>
      <c r="H255" s="34"/>
      <c r="I255" s="39"/>
    </row>
    <row r="256" spans="1:9" x14ac:dyDescent="0.25">
      <c r="A256" s="23" t="str">
        <f t="shared" si="3"/>
        <v/>
      </c>
      <c r="B256" s="38"/>
      <c r="C256" s="34"/>
      <c r="D256" s="180" t="s">
        <v>4</v>
      </c>
      <c r="E256" s="32" t="str">
        <f>IF(A256="","",IF(COUNTIF('Asset Detail'!A:A,A256)&gt;0,"✓ Found","✗ Not Found"))</f>
        <v/>
      </c>
      <c r="F256" s="31" t="str" cm="1">
        <f t="array" ref="F256">IF(A256="","",IFERROR(INDEX('Asset Detail'!C:C,_xlfn.XMATCH(A256,'Asset Detail'!A:A,3)),"—"))</f>
        <v/>
      </c>
      <c r="G256" s="32" t="str" cm="1">
        <f t="array" ref="G256">IF(A256="","",IFERROR(INDEX('Asset Detail'!E:E,_xlfn.XMATCH(A256,'Asset Detail'!A:A,3)),"—"))</f>
        <v/>
      </c>
      <c r="H256" s="34"/>
      <c r="I256" s="39"/>
    </row>
    <row r="257" spans="1:9" x14ac:dyDescent="0.25">
      <c r="A257" s="23" t="str">
        <f t="shared" si="3"/>
        <v/>
      </c>
      <c r="B257" s="38"/>
      <c r="C257" s="34"/>
      <c r="D257" s="180" t="s">
        <v>4</v>
      </c>
      <c r="E257" s="32" t="str">
        <f>IF(A257="","",IF(COUNTIF('Asset Detail'!A:A,A257)&gt;0,"✓ Found","✗ Not Found"))</f>
        <v/>
      </c>
      <c r="F257" s="31" t="str" cm="1">
        <f t="array" ref="F257">IF(A257="","",IFERROR(INDEX('Asset Detail'!C:C,_xlfn.XMATCH(A257,'Asset Detail'!A:A,3)),"—"))</f>
        <v/>
      </c>
      <c r="G257" s="32" t="str" cm="1">
        <f t="array" ref="G257">IF(A257="","",IFERROR(INDEX('Asset Detail'!E:E,_xlfn.XMATCH(A257,'Asset Detail'!A:A,3)),"—"))</f>
        <v/>
      </c>
      <c r="H257" s="34"/>
      <c r="I257" s="39"/>
    </row>
    <row r="258" spans="1:9" x14ac:dyDescent="0.25">
      <c r="A258" s="23" t="str">
        <f t="shared" si="3"/>
        <v/>
      </c>
      <c r="B258" s="38"/>
      <c r="C258" s="34"/>
      <c r="D258" s="180" t="s">
        <v>4</v>
      </c>
      <c r="E258" s="32" t="str">
        <f>IF(A258="","",IF(COUNTIF('Asset Detail'!A:A,A258)&gt;0,"✓ Found","✗ Not Found"))</f>
        <v/>
      </c>
      <c r="F258" s="31" t="str" cm="1">
        <f t="array" ref="F258">IF(A258="","",IFERROR(INDEX('Asset Detail'!C:C,_xlfn.XMATCH(A258,'Asset Detail'!A:A,3)),"—"))</f>
        <v/>
      </c>
      <c r="G258" s="32" t="str" cm="1">
        <f t="array" ref="G258">IF(A258="","",IFERROR(INDEX('Asset Detail'!E:E,_xlfn.XMATCH(A258,'Asset Detail'!A:A,3)),"—"))</f>
        <v/>
      </c>
      <c r="H258" s="34"/>
      <c r="I258" s="39"/>
    </row>
    <row r="259" spans="1:9" x14ac:dyDescent="0.25">
      <c r="A259" s="23" t="str">
        <f t="shared" si="3"/>
        <v/>
      </c>
      <c r="B259" s="38"/>
      <c r="C259" s="34"/>
      <c r="D259" s="180" t="s">
        <v>4</v>
      </c>
      <c r="E259" s="32" t="str">
        <f>IF(A259="","",IF(COUNTIF('Asset Detail'!A:A,A259)&gt;0,"✓ Found","✗ Not Found"))</f>
        <v/>
      </c>
      <c r="F259" s="31" t="str" cm="1">
        <f t="array" ref="F259">IF(A259="","",IFERROR(INDEX('Asset Detail'!C:C,_xlfn.XMATCH(A259,'Asset Detail'!A:A,3)),"—"))</f>
        <v/>
      </c>
      <c r="G259" s="32" t="str" cm="1">
        <f t="array" ref="G259">IF(A259="","",IFERROR(INDEX('Asset Detail'!E:E,_xlfn.XMATCH(A259,'Asset Detail'!A:A,3)),"—"))</f>
        <v/>
      </c>
      <c r="H259" s="34"/>
      <c r="I259" s="39"/>
    </row>
    <row r="260" spans="1:9" x14ac:dyDescent="0.25">
      <c r="A260" s="23" t="str">
        <f t="shared" si="3"/>
        <v/>
      </c>
      <c r="B260" s="38"/>
      <c r="C260" s="34"/>
      <c r="D260" s="180" t="s">
        <v>4</v>
      </c>
      <c r="E260" s="32" t="str">
        <f>IF(A260="","",IF(COUNTIF('Asset Detail'!A:A,A260)&gt;0,"✓ Found","✗ Not Found"))</f>
        <v/>
      </c>
      <c r="F260" s="31" t="str" cm="1">
        <f t="array" ref="F260">IF(A260="","",IFERROR(INDEX('Asset Detail'!C:C,_xlfn.XMATCH(A260,'Asset Detail'!A:A,3)),"—"))</f>
        <v/>
      </c>
      <c r="G260" s="32" t="str" cm="1">
        <f t="array" ref="G260">IF(A260="","",IFERROR(INDEX('Asset Detail'!E:E,_xlfn.XMATCH(A260,'Asset Detail'!A:A,3)),"—"))</f>
        <v/>
      </c>
      <c r="H260" s="34"/>
      <c r="I260" s="39"/>
    </row>
    <row r="261" spans="1:9" x14ac:dyDescent="0.25">
      <c r="A261" s="23" t="str">
        <f t="shared" si="3"/>
        <v/>
      </c>
      <c r="B261" s="38"/>
      <c r="C261" s="34"/>
      <c r="D261" s="180" t="s">
        <v>4</v>
      </c>
      <c r="E261" s="32" t="str">
        <f>IF(A261="","",IF(COUNTIF('Asset Detail'!A:A,A261)&gt;0,"✓ Found","✗ Not Found"))</f>
        <v/>
      </c>
      <c r="F261" s="31" t="str" cm="1">
        <f t="array" ref="F261">IF(A261="","",IFERROR(INDEX('Asset Detail'!C:C,_xlfn.XMATCH(A261,'Asset Detail'!A:A,3)),"—"))</f>
        <v/>
      </c>
      <c r="G261" s="32" t="str" cm="1">
        <f t="array" ref="G261">IF(A261="","",IFERROR(INDEX('Asset Detail'!E:E,_xlfn.XMATCH(A261,'Asset Detail'!A:A,3)),"—"))</f>
        <v/>
      </c>
      <c r="H261" s="34"/>
      <c r="I261" s="39"/>
    </row>
    <row r="262" spans="1:9" x14ac:dyDescent="0.25">
      <c r="A262" s="23" t="str">
        <f t="shared" si="3"/>
        <v/>
      </c>
      <c r="B262" s="38"/>
      <c r="C262" s="34"/>
      <c r="D262" s="180" t="s">
        <v>4</v>
      </c>
      <c r="E262" s="32" t="str">
        <f>IF(A262="","",IF(COUNTIF('Asset Detail'!A:A,A262)&gt;0,"✓ Found","✗ Not Found"))</f>
        <v/>
      </c>
      <c r="F262" s="31" t="str" cm="1">
        <f t="array" ref="F262">IF(A262="","",IFERROR(INDEX('Asset Detail'!C:C,_xlfn.XMATCH(A262,'Asset Detail'!A:A,3)),"—"))</f>
        <v/>
      </c>
      <c r="G262" s="32" t="str" cm="1">
        <f t="array" ref="G262">IF(A262="","",IFERROR(INDEX('Asset Detail'!E:E,_xlfn.XMATCH(A262,'Asset Detail'!A:A,3)),"—"))</f>
        <v/>
      </c>
      <c r="H262" s="34"/>
      <c r="I262" s="39"/>
    </row>
    <row r="263" spans="1:9" x14ac:dyDescent="0.25">
      <c r="A263" s="23" t="str">
        <f t="shared" si="3"/>
        <v/>
      </c>
      <c r="B263" s="38"/>
      <c r="C263" s="34"/>
      <c r="D263" s="180" t="s">
        <v>4</v>
      </c>
      <c r="E263" s="32" t="str">
        <f>IF(A263="","",IF(COUNTIF('Asset Detail'!A:A,A263)&gt;0,"✓ Found","✗ Not Found"))</f>
        <v/>
      </c>
      <c r="F263" s="31" t="str" cm="1">
        <f t="array" ref="F263">IF(A263="","",IFERROR(INDEX('Asset Detail'!C:C,_xlfn.XMATCH(A263,'Asset Detail'!A:A,3)),"—"))</f>
        <v/>
      </c>
      <c r="G263" s="32" t="str" cm="1">
        <f t="array" ref="G263">IF(A263="","",IFERROR(INDEX('Asset Detail'!E:E,_xlfn.XMATCH(A263,'Asset Detail'!A:A,3)),"—"))</f>
        <v/>
      </c>
      <c r="H263" s="34"/>
      <c r="I263" s="39"/>
    </row>
    <row r="264" spans="1:9" x14ac:dyDescent="0.25">
      <c r="A264" s="23" t="str">
        <f t="shared" si="3"/>
        <v/>
      </c>
      <c r="B264" s="38"/>
      <c r="C264" s="34"/>
      <c r="D264" s="180" t="s">
        <v>4</v>
      </c>
      <c r="E264" s="32" t="str">
        <f>IF(A264="","",IF(COUNTIF('Asset Detail'!A:A,A264)&gt;0,"✓ Found","✗ Not Found"))</f>
        <v/>
      </c>
      <c r="F264" s="31" t="str" cm="1">
        <f t="array" ref="F264">IF(A264="","",IFERROR(INDEX('Asset Detail'!C:C,_xlfn.XMATCH(A264,'Asset Detail'!A:A,3)),"—"))</f>
        <v/>
      </c>
      <c r="G264" s="32" t="str" cm="1">
        <f t="array" ref="G264">IF(A264="","",IFERROR(INDEX('Asset Detail'!E:E,_xlfn.XMATCH(A264,'Asset Detail'!A:A,3)),"—"))</f>
        <v/>
      </c>
      <c r="H264" s="34"/>
      <c r="I264" s="39"/>
    </row>
    <row r="265" spans="1:9" x14ac:dyDescent="0.25">
      <c r="A265" s="23" t="str">
        <f t="shared" ref="A265:A328" si="4">SUBSTITUTE(I265, "S", "")</f>
        <v/>
      </c>
      <c r="B265" s="38"/>
      <c r="C265" s="34"/>
      <c r="D265" s="180" t="s">
        <v>4</v>
      </c>
      <c r="E265" s="32" t="str">
        <f>IF(A265="","",IF(COUNTIF('Asset Detail'!A:A,A265)&gt;0,"✓ Found","✗ Not Found"))</f>
        <v/>
      </c>
      <c r="F265" s="31" t="str" cm="1">
        <f t="array" ref="F265">IF(A265="","",IFERROR(INDEX('Asset Detail'!C:C,_xlfn.XMATCH(A265,'Asset Detail'!A:A,3)),"—"))</f>
        <v/>
      </c>
      <c r="G265" s="32" t="str" cm="1">
        <f t="array" ref="G265">IF(A265="","",IFERROR(INDEX('Asset Detail'!E:E,_xlfn.XMATCH(A265,'Asset Detail'!A:A,3)),"—"))</f>
        <v/>
      </c>
      <c r="H265" s="34"/>
      <c r="I265" s="39"/>
    </row>
    <row r="266" spans="1:9" x14ac:dyDescent="0.25">
      <c r="A266" s="23" t="str">
        <f t="shared" si="4"/>
        <v/>
      </c>
      <c r="B266" s="38"/>
      <c r="C266" s="34"/>
      <c r="D266" s="180" t="s">
        <v>4</v>
      </c>
      <c r="E266" s="32" t="str">
        <f>IF(A266="","",IF(COUNTIF('Asset Detail'!A:A,A266)&gt;0,"✓ Found","✗ Not Found"))</f>
        <v/>
      </c>
      <c r="F266" s="31" t="str" cm="1">
        <f t="array" ref="F266">IF(A266="","",IFERROR(INDEX('Asset Detail'!C:C,_xlfn.XMATCH(A266,'Asset Detail'!A:A,3)),"—"))</f>
        <v/>
      </c>
      <c r="G266" s="32" t="str" cm="1">
        <f t="array" ref="G266">IF(A266="","",IFERROR(INDEX('Asset Detail'!E:E,_xlfn.XMATCH(A266,'Asset Detail'!A:A,3)),"—"))</f>
        <v/>
      </c>
      <c r="H266" s="34"/>
      <c r="I266" s="39"/>
    </row>
    <row r="267" spans="1:9" x14ac:dyDescent="0.25">
      <c r="A267" s="23" t="str">
        <f t="shared" si="4"/>
        <v/>
      </c>
      <c r="B267" s="38"/>
      <c r="C267" s="34"/>
      <c r="D267" s="180" t="s">
        <v>4</v>
      </c>
      <c r="E267" s="32" t="str">
        <f>IF(A267="","",IF(COUNTIF('Asset Detail'!A:A,A267)&gt;0,"✓ Found","✗ Not Found"))</f>
        <v/>
      </c>
      <c r="F267" s="31" t="str" cm="1">
        <f t="array" ref="F267">IF(A267="","",IFERROR(INDEX('Asset Detail'!C:C,_xlfn.XMATCH(A267,'Asset Detail'!A:A,3)),"—"))</f>
        <v/>
      </c>
      <c r="G267" s="32" t="str" cm="1">
        <f t="array" ref="G267">IF(A267="","",IFERROR(INDEX('Asset Detail'!E:E,_xlfn.XMATCH(A267,'Asset Detail'!A:A,3)),"—"))</f>
        <v/>
      </c>
      <c r="H267" s="34"/>
      <c r="I267" s="39"/>
    </row>
    <row r="268" spans="1:9" x14ac:dyDescent="0.25">
      <c r="A268" s="23" t="str">
        <f t="shared" si="4"/>
        <v/>
      </c>
      <c r="B268" s="38"/>
      <c r="C268" s="34"/>
      <c r="D268" s="180" t="s">
        <v>4</v>
      </c>
      <c r="E268" s="32" t="str">
        <f>IF(A268="","",IF(COUNTIF('Asset Detail'!A:A,A268)&gt;0,"✓ Found","✗ Not Found"))</f>
        <v/>
      </c>
      <c r="F268" s="31" t="str" cm="1">
        <f t="array" ref="F268">IF(A268="","",IFERROR(INDEX('Asset Detail'!C:C,_xlfn.XMATCH(A268,'Asset Detail'!A:A,3)),"—"))</f>
        <v/>
      </c>
      <c r="G268" s="32" t="str" cm="1">
        <f t="array" ref="G268">IF(A268="","",IFERROR(INDEX('Asset Detail'!E:E,_xlfn.XMATCH(A268,'Asset Detail'!A:A,3)),"—"))</f>
        <v/>
      </c>
      <c r="H268" s="34"/>
      <c r="I268" s="39"/>
    </row>
    <row r="269" spans="1:9" x14ac:dyDescent="0.25">
      <c r="A269" s="23" t="str">
        <f t="shared" si="4"/>
        <v/>
      </c>
      <c r="B269" s="38"/>
      <c r="C269" s="34"/>
      <c r="D269" s="180" t="s">
        <v>4</v>
      </c>
      <c r="E269" s="32" t="str">
        <f>IF(A269="","",IF(COUNTIF('Asset Detail'!A:A,A269)&gt;0,"✓ Found","✗ Not Found"))</f>
        <v/>
      </c>
      <c r="F269" s="31" t="str" cm="1">
        <f t="array" ref="F269">IF(A269="","",IFERROR(INDEX('Asset Detail'!C:C,_xlfn.XMATCH(A269,'Asset Detail'!A:A,3)),"—"))</f>
        <v/>
      </c>
      <c r="G269" s="32" t="str" cm="1">
        <f t="array" ref="G269">IF(A269="","",IFERROR(INDEX('Asset Detail'!E:E,_xlfn.XMATCH(A269,'Asset Detail'!A:A,3)),"—"))</f>
        <v/>
      </c>
      <c r="H269" s="34"/>
      <c r="I269" s="39"/>
    </row>
    <row r="270" spans="1:9" x14ac:dyDescent="0.25">
      <c r="A270" s="23" t="str">
        <f t="shared" si="4"/>
        <v/>
      </c>
      <c r="B270" s="38"/>
      <c r="C270" s="34"/>
      <c r="D270" s="180" t="s">
        <v>4</v>
      </c>
      <c r="E270" s="32" t="str">
        <f>IF(A270="","",IF(COUNTIF('Asset Detail'!A:A,A270)&gt;0,"✓ Found","✗ Not Found"))</f>
        <v/>
      </c>
      <c r="F270" s="31" t="str" cm="1">
        <f t="array" ref="F270">IF(A270="","",IFERROR(INDEX('Asset Detail'!C:C,_xlfn.XMATCH(A270,'Asset Detail'!A:A,3)),"—"))</f>
        <v/>
      </c>
      <c r="G270" s="32" t="str" cm="1">
        <f t="array" ref="G270">IF(A270="","",IFERROR(INDEX('Asset Detail'!E:E,_xlfn.XMATCH(A270,'Asset Detail'!A:A,3)),"—"))</f>
        <v/>
      </c>
      <c r="H270" s="34"/>
      <c r="I270" s="39"/>
    </row>
    <row r="271" spans="1:9" x14ac:dyDescent="0.25">
      <c r="A271" s="23" t="str">
        <f t="shared" si="4"/>
        <v/>
      </c>
      <c r="B271" s="38"/>
      <c r="C271" s="34"/>
      <c r="D271" s="180" t="s">
        <v>4</v>
      </c>
      <c r="E271" s="32" t="str">
        <f>IF(A271="","",IF(COUNTIF('Asset Detail'!A:A,A271)&gt;0,"✓ Found","✗ Not Found"))</f>
        <v/>
      </c>
      <c r="F271" s="31" t="str" cm="1">
        <f t="array" ref="F271">IF(A271="","",IFERROR(INDEX('Asset Detail'!C:C,_xlfn.XMATCH(A271,'Asset Detail'!A:A,3)),"—"))</f>
        <v/>
      </c>
      <c r="G271" s="32" t="str" cm="1">
        <f t="array" ref="G271">IF(A271="","",IFERROR(INDEX('Asset Detail'!E:E,_xlfn.XMATCH(A271,'Asset Detail'!A:A,3)),"—"))</f>
        <v/>
      </c>
      <c r="H271" s="34"/>
      <c r="I271" s="39"/>
    </row>
    <row r="272" spans="1:9" x14ac:dyDescent="0.25">
      <c r="A272" s="23" t="str">
        <f t="shared" si="4"/>
        <v/>
      </c>
      <c r="B272" s="38"/>
      <c r="C272" s="34"/>
      <c r="D272" s="180" t="s">
        <v>4</v>
      </c>
      <c r="E272" s="32" t="str">
        <f>IF(A272="","",IF(COUNTIF('Asset Detail'!A:A,A272)&gt;0,"✓ Found","✗ Not Found"))</f>
        <v/>
      </c>
      <c r="F272" s="31" t="str" cm="1">
        <f t="array" ref="F272">IF(A272="","",IFERROR(INDEX('Asset Detail'!C:C,_xlfn.XMATCH(A272,'Asset Detail'!A:A,3)),"—"))</f>
        <v/>
      </c>
      <c r="G272" s="32" t="str" cm="1">
        <f t="array" ref="G272">IF(A272="","",IFERROR(INDEX('Asset Detail'!E:E,_xlfn.XMATCH(A272,'Asset Detail'!A:A,3)),"—"))</f>
        <v/>
      </c>
      <c r="H272" s="34"/>
      <c r="I272" s="39"/>
    </row>
    <row r="273" spans="1:9" x14ac:dyDescent="0.25">
      <c r="A273" s="23" t="str">
        <f t="shared" si="4"/>
        <v/>
      </c>
      <c r="B273" s="38"/>
      <c r="C273" s="34"/>
      <c r="D273" s="180" t="s">
        <v>4</v>
      </c>
      <c r="E273" s="32" t="str">
        <f>IF(A273="","",IF(COUNTIF('Asset Detail'!A:A,A273)&gt;0,"✓ Found","✗ Not Found"))</f>
        <v/>
      </c>
      <c r="F273" s="31" t="str" cm="1">
        <f t="array" ref="F273">IF(A273="","",IFERROR(INDEX('Asset Detail'!C:C,_xlfn.XMATCH(A273,'Asset Detail'!A:A,3)),"—"))</f>
        <v/>
      </c>
      <c r="G273" s="32" t="str" cm="1">
        <f t="array" ref="G273">IF(A273="","",IFERROR(INDEX('Asset Detail'!E:E,_xlfn.XMATCH(A273,'Asset Detail'!A:A,3)),"—"))</f>
        <v/>
      </c>
      <c r="H273" s="34"/>
      <c r="I273" s="39"/>
    </row>
    <row r="274" spans="1:9" x14ac:dyDescent="0.25">
      <c r="A274" s="23" t="str">
        <f t="shared" si="4"/>
        <v/>
      </c>
      <c r="B274" s="38"/>
      <c r="C274" s="34"/>
      <c r="D274" s="180" t="s">
        <v>4</v>
      </c>
      <c r="E274" s="32" t="str">
        <f>IF(A274="","",IF(COUNTIF('Asset Detail'!A:A,A274)&gt;0,"✓ Found","✗ Not Found"))</f>
        <v/>
      </c>
      <c r="F274" s="31" t="str" cm="1">
        <f t="array" ref="F274">IF(A274="","",IFERROR(INDEX('Asset Detail'!C:C,_xlfn.XMATCH(A274,'Asset Detail'!A:A,3)),"—"))</f>
        <v/>
      </c>
      <c r="G274" s="32" t="str" cm="1">
        <f t="array" ref="G274">IF(A274="","",IFERROR(INDEX('Asset Detail'!E:E,_xlfn.XMATCH(A274,'Asset Detail'!A:A,3)),"—"))</f>
        <v/>
      </c>
      <c r="H274" s="34"/>
      <c r="I274" s="39"/>
    </row>
    <row r="275" spans="1:9" x14ac:dyDescent="0.25">
      <c r="A275" s="23" t="str">
        <f t="shared" si="4"/>
        <v/>
      </c>
      <c r="B275" s="38"/>
      <c r="C275" s="34"/>
      <c r="D275" s="180" t="s">
        <v>4</v>
      </c>
      <c r="E275" s="32" t="str">
        <f>IF(A275="","",IF(COUNTIF('Asset Detail'!A:A,A275)&gt;0,"✓ Found","✗ Not Found"))</f>
        <v/>
      </c>
      <c r="F275" s="31" t="str" cm="1">
        <f t="array" ref="F275">IF(A275="","",IFERROR(INDEX('Asset Detail'!C:C,_xlfn.XMATCH(A275,'Asset Detail'!A:A,3)),"—"))</f>
        <v/>
      </c>
      <c r="G275" s="32" t="str" cm="1">
        <f t="array" ref="G275">IF(A275="","",IFERROR(INDEX('Asset Detail'!E:E,_xlfn.XMATCH(A275,'Asset Detail'!A:A,3)),"—"))</f>
        <v/>
      </c>
      <c r="H275" s="34"/>
      <c r="I275" s="39"/>
    </row>
    <row r="276" spans="1:9" x14ac:dyDescent="0.25">
      <c r="A276" s="23" t="str">
        <f t="shared" si="4"/>
        <v/>
      </c>
      <c r="B276" s="38"/>
      <c r="C276" s="34"/>
      <c r="D276" s="180" t="s">
        <v>4</v>
      </c>
      <c r="E276" s="32" t="str">
        <f>IF(A276="","",IF(COUNTIF('Asset Detail'!A:A,A276)&gt;0,"✓ Found","✗ Not Found"))</f>
        <v/>
      </c>
      <c r="F276" s="31" t="str" cm="1">
        <f t="array" ref="F276">IF(A276="","",IFERROR(INDEX('Asset Detail'!C:C,_xlfn.XMATCH(A276,'Asset Detail'!A:A,3)),"—"))</f>
        <v/>
      </c>
      <c r="G276" s="32" t="str" cm="1">
        <f t="array" ref="G276">IF(A276="","",IFERROR(INDEX('Asset Detail'!E:E,_xlfn.XMATCH(A276,'Asset Detail'!A:A,3)),"—"))</f>
        <v/>
      </c>
      <c r="H276" s="34"/>
      <c r="I276" s="39"/>
    </row>
    <row r="277" spans="1:9" x14ac:dyDescent="0.25">
      <c r="A277" s="23" t="str">
        <f t="shared" si="4"/>
        <v/>
      </c>
      <c r="B277" s="38"/>
      <c r="C277" s="34"/>
      <c r="D277" s="180" t="s">
        <v>4</v>
      </c>
      <c r="E277" s="32" t="str">
        <f>IF(A277="","",IF(COUNTIF('Asset Detail'!A:A,A277)&gt;0,"✓ Found","✗ Not Found"))</f>
        <v/>
      </c>
      <c r="F277" s="31" t="str" cm="1">
        <f t="array" ref="F277">IF(A277="","",IFERROR(INDEX('Asset Detail'!C:C,_xlfn.XMATCH(A277,'Asset Detail'!A:A,3)),"—"))</f>
        <v/>
      </c>
      <c r="G277" s="32" t="str" cm="1">
        <f t="array" ref="G277">IF(A277="","",IFERROR(INDEX('Asset Detail'!E:E,_xlfn.XMATCH(A277,'Asset Detail'!A:A,3)),"—"))</f>
        <v/>
      </c>
      <c r="H277" s="34"/>
      <c r="I277" s="39"/>
    </row>
    <row r="278" spans="1:9" x14ac:dyDescent="0.25">
      <c r="A278" s="23" t="str">
        <f t="shared" si="4"/>
        <v/>
      </c>
      <c r="B278" s="38"/>
      <c r="C278" s="34"/>
      <c r="D278" s="180" t="s">
        <v>4</v>
      </c>
      <c r="E278" s="32" t="str">
        <f>IF(A278="","",IF(COUNTIF('Asset Detail'!A:A,A278)&gt;0,"✓ Found","✗ Not Found"))</f>
        <v/>
      </c>
      <c r="F278" s="31" t="str" cm="1">
        <f t="array" ref="F278">IF(A278="","",IFERROR(INDEX('Asset Detail'!C:C,_xlfn.XMATCH(A278,'Asset Detail'!A:A,3)),"—"))</f>
        <v/>
      </c>
      <c r="G278" s="32" t="str" cm="1">
        <f t="array" ref="G278">IF(A278="","",IFERROR(INDEX('Asset Detail'!E:E,_xlfn.XMATCH(A278,'Asset Detail'!A:A,3)),"—"))</f>
        <v/>
      </c>
      <c r="H278" s="34"/>
      <c r="I278" s="39"/>
    </row>
    <row r="279" spans="1:9" x14ac:dyDescent="0.25">
      <c r="A279" s="23" t="str">
        <f t="shared" si="4"/>
        <v/>
      </c>
      <c r="B279" s="38"/>
      <c r="C279" s="34"/>
      <c r="D279" s="180" t="s">
        <v>4</v>
      </c>
      <c r="E279" s="32" t="str">
        <f>IF(A279="","",IF(COUNTIF('Asset Detail'!A:A,A279)&gt;0,"✓ Found","✗ Not Found"))</f>
        <v/>
      </c>
      <c r="F279" s="31" t="str" cm="1">
        <f t="array" ref="F279">IF(A279="","",IFERROR(INDEX('Asset Detail'!C:C,_xlfn.XMATCH(A279,'Asset Detail'!A:A,3)),"—"))</f>
        <v/>
      </c>
      <c r="G279" s="32" t="str" cm="1">
        <f t="array" ref="G279">IF(A279="","",IFERROR(INDEX('Asset Detail'!E:E,_xlfn.XMATCH(A279,'Asset Detail'!A:A,3)),"—"))</f>
        <v/>
      </c>
      <c r="H279" s="34"/>
      <c r="I279" s="39"/>
    </row>
    <row r="280" spans="1:9" x14ac:dyDescent="0.25">
      <c r="A280" s="23" t="str">
        <f t="shared" si="4"/>
        <v/>
      </c>
      <c r="B280" s="38"/>
      <c r="C280" s="34"/>
      <c r="D280" s="180" t="s">
        <v>4</v>
      </c>
      <c r="E280" s="32" t="str">
        <f>IF(A280="","",IF(COUNTIF('Asset Detail'!A:A,A280)&gt;0,"✓ Found","✗ Not Found"))</f>
        <v/>
      </c>
      <c r="F280" s="31" t="str" cm="1">
        <f t="array" ref="F280">IF(A280="","",IFERROR(INDEX('Asset Detail'!C:C,_xlfn.XMATCH(A280,'Asset Detail'!A:A,3)),"—"))</f>
        <v/>
      </c>
      <c r="G280" s="32" t="str" cm="1">
        <f t="array" ref="G280">IF(A280="","",IFERROR(INDEX('Asset Detail'!E:E,_xlfn.XMATCH(A280,'Asset Detail'!A:A,3)),"—"))</f>
        <v/>
      </c>
      <c r="H280" s="34"/>
      <c r="I280" s="39"/>
    </row>
    <row r="281" spans="1:9" x14ac:dyDescent="0.25">
      <c r="A281" s="23" t="str">
        <f t="shared" si="4"/>
        <v/>
      </c>
      <c r="B281" s="38"/>
      <c r="C281" s="34"/>
      <c r="D281" s="180" t="s">
        <v>4</v>
      </c>
      <c r="E281" s="32" t="str">
        <f>IF(A281="","",IF(COUNTIF('Asset Detail'!A:A,A281)&gt;0,"✓ Found","✗ Not Found"))</f>
        <v/>
      </c>
      <c r="F281" s="31" t="str" cm="1">
        <f t="array" ref="F281">IF(A281="","",IFERROR(INDEX('Asset Detail'!C:C,_xlfn.XMATCH(A281,'Asset Detail'!A:A,3)),"—"))</f>
        <v/>
      </c>
      <c r="G281" s="32" t="str" cm="1">
        <f t="array" ref="G281">IF(A281="","",IFERROR(INDEX('Asset Detail'!E:E,_xlfn.XMATCH(A281,'Asset Detail'!A:A,3)),"—"))</f>
        <v/>
      </c>
      <c r="H281" s="34"/>
      <c r="I281" s="39"/>
    </row>
    <row r="282" spans="1:9" x14ac:dyDescent="0.25">
      <c r="A282" s="23" t="str">
        <f t="shared" si="4"/>
        <v/>
      </c>
      <c r="B282" s="38"/>
      <c r="C282" s="34"/>
      <c r="D282" s="180" t="s">
        <v>4</v>
      </c>
      <c r="E282" s="32" t="str">
        <f>IF(A282="","",IF(COUNTIF('Asset Detail'!A:A,A282)&gt;0,"✓ Found","✗ Not Found"))</f>
        <v/>
      </c>
      <c r="F282" s="31" t="str" cm="1">
        <f t="array" ref="F282">IF(A282="","",IFERROR(INDEX('Asset Detail'!C:C,_xlfn.XMATCH(A282,'Asset Detail'!A:A,3)),"—"))</f>
        <v/>
      </c>
      <c r="G282" s="32" t="str" cm="1">
        <f t="array" ref="G282">IF(A282="","",IFERROR(INDEX('Asset Detail'!E:E,_xlfn.XMATCH(A282,'Asset Detail'!A:A,3)),"—"))</f>
        <v/>
      </c>
      <c r="H282" s="34"/>
      <c r="I282" s="39"/>
    </row>
    <row r="283" spans="1:9" x14ac:dyDescent="0.25">
      <c r="A283" s="23" t="str">
        <f t="shared" si="4"/>
        <v/>
      </c>
      <c r="B283" s="38"/>
      <c r="C283" s="34"/>
      <c r="D283" s="180" t="s">
        <v>4</v>
      </c>
      <c r="E283" s="32" t="str">
        <f>IF(A283="","",IF(COUNTIF('Asset Detail'!A:A,A283)&gt;0,"✓ Found","✗ Not Found"))</f>
        <v/>
      </c>
      <c r="F283" s="31" t="str" cm="1">
        <f t="array" ref="F283">IF(A283="","",IFERROR(INDEX('Asset Detail'!C:C,_xlfn.XMATCH(A283,'Asset Detail'!A:A,3)),"—"))</f>
        <v/>
      </c>
      <c r="G283" s="32" t="str" cm="1">
        <f t="array" ref="G283">IF(A283="","",IFERROR(INDEX('Asset Detail'!E:E,_xlfn.XMATCH(A283,'Asset Detail'!A:A,3)),"—"))</f>
        <v/>
      </c>
      <c r="H283" s="34"/>
      <c r="I283" s="39"/>
    </row>
    <row r="284" spans="1:9" x14ac:dyDescent="0.25">
      <c r="A284" s="23" t="str">
        <f t="shared" si="4"/>
        <v/>
      </c>
      <c r="B284" s="38"/>
      <c r="C284" s="34"/>
      <c r="D284" s="180" t="s">
        <v>4</v>
      </c>
      <c r="E284" s="32" t="str">
        <f>IF(A284="","",IF(COUNTIF('Asset Detail'!A:A,A284)&gt;0,"✓ Found","✗ Not Found"))</f>
        <v/>
      </c>
      <c r="F284" s="31" t="str" cm="1">
        <f t="array" ref="F284">IF(A284="","",IFERROR(INDEX('Asset Detail'!C:C,_xlfn.XMATCH(A284,'Asset Detail'!A:A,3)),"—"))</f>
        <v/>
      </c>
      <c r="G284" s="32" t="str" cm="1">
        <f t="array" ref="G284">IF(A284="","",IFERROR(INDEX('Asset Detail'!E:E,_xlfn.XMATCH(A284,'Asset Detail'!A:A,3)),"—"))</f>
        <v/>
      </c>
      <c r="H284" s="34"/>
      <c r="I284" s="39"/>
    </row>
    <row r="285" spans="1:9" x14ac:dyDescent="0.25">
      <c r="A285" s="23" t="str">
        <f t="shared" si="4"/>
        <v/>
      </c>
      <c r="B285" s="38"/>
      <c r="C285" s="34"/>
      <c r="D285" s="180" t="s">
        <v>4</v>
      </c>
      <c r="E285" s="32" t="str">
        <f>IF(A285="","",IF(COUNTIF('Asset Detail'!A:A,A285)&gt;0,"✓ Found","✗ Not Found"))</f>
        <v/>
      </c>
      <c r="F285" s="31" t="str" cm="1">
        <f t="array" ref="F285">IF(A285="","",IFERROR(INDEX('Asset Detail'!C:C,_xlfn.XMATCH(A285,'Asset Detail'!A:A,3)),"—"))</f>
        <v/>
      </c>
      <c r="G285" s="32" t="str" cm="1">
        <f t="array" ref="G285">IF(A285="","",IFERROR(INDEX('Asset Detail'!E:E,_xlfn.XMATCH(A285,'Asset Detail'!A:A,3)),"—"))</f>
        <v/>
      </c>
      <c r="H285" s="34"/>
      <c r="I285" s="39"/>
    </row>
    <row r="286" spans="1:9" x14ac:dyDescent="0.25">
      <c r="A286" s="23" t="str">
        <f t="shared" si="4"/>
        <v/>
      </c>
      <c r="B286" s="38"/>
      <c r="C286" s="34"/>
      <c r="D286" s="180" t="s">
        <v>4</v>
      </c>
      <c r="E286" s="32" t="str">
        <f>IF(A286="","",IF(COUNTIF('Asset Detail'!A:A,A286)&gt;0,"✓ Found","✗ Not Found"))</f>
        <v/>
      </c>
      <c r="F286" s="31" t="str" cm="1">
        <f t="array" ref="F286">IF(A286="","",IFERROR(INDEX('Asset Detail'!C:C,_xlfn.XMATCH(A286,'Asset Detail'!A:A,3)),"—"))</f>
        <v/>
      </c>
      <c r="G286" s="32" t="str" cm="1">
        <f t="array" ref="G286">IF(A286="","",IFERROR(INDEX('Asset Detail'!E:E,_xlfn.XMATCH(A286,'Asset Detail'!A:A,3)),"—"))</f>
        <v/>
      </c>
      <c r="H286" s="34"/>
      <c r="I286" s="39"/>
    </row>
    <row r="287" spans="1:9" x14ac:dyDescent="0.25">
      <c r="A287" s="23" t="str">
        <f t="shared" si="4"/>
        <v/>
      </c>
      <c r="B287" s="38"/>
      <c r="C287" s="34"/>
      <c r="D287" s="180" t="s">
        <v>4</v>
      </c>
      <c r="E287" s="32" t="str">
        <f>IF(A287="","",IF(COUNTIF('Asset Detail'!A:A,A287)&gt;0,"✓ Found","✗ Not Found"))</f>
        <v/>
      </c>
      <c r="F287" s="31" t="str" cm="1">
        <f t="array" ref="F287">IF(A287="","",IFERROR(INDEX('Asset Detail'!C:C,_xlfn.XMATCH(A287,'Asset Detail'!A:A,3)),"—"))</f>
        <v/>
      </c>
      <c r="G287" s="32" t="str" cm="1">
        <f t="array" ref="G287">IF(A287="","",IFERROR(INDEX('Asset Detail'!E:E,_xlfn.XMATCH(A287,'Asset Detail'!A:A,3)),"—"))</f>
        <v/>
      </c>
      <c r="H287" s="34"/>
      <c r="I287" s="39"/>
    </row>
    <row r="288" spans="1:9" x14ac:dyDescent="0.25">
      <c r="A288" s="23" t="str">
        <f t="shared" si="4"/>
        <v/>
      </c>
      <c r="B288" s="38"/>
      <c r="C288" s="34"/>
      <c r="D288" s="180" t="s">
        <v>4</v>
      </c>
      <c r="E288" s="32" t="str">
        <f>IF(A288="","",IF(COUNTIF('Asset Detail'!A:A,A288)&gt;0,"✓ Found","✗ Not Found"))</f>
        <v/>
      </c>
      <c r="F288" s="31" t="str" cm="1">
        <f t="array" ref="F288">IF(A288="","",IFERROR(INDEX('Asset Detail'!C:C,_xlfn.XMATCH(A288,'Asset Detail'!A:A,3)),"—"))</f>
        <v/>
      </c>
      <c r="G288" s="32" t="str" cm="1">
        <f t="array" ref="G288">IF(A288="","",IFERROR(INDEX('Asset Detail'!E:E,_xlfn.XMATCH(A288,'Asset Detail'!A:A,3)),"—"))</f>
        <v/>
      </c>
      <c r="H288" s="34"/>
      <c r="I288" s="39"/>
    </row>
    <row r="289" spans="1:9" x14ac:dyDescent="0.25">
      <c r="A289" s="23" t="str">
        <f t="shared" si="4"/>
        <v/>
      </c>
      <c r="B289" s="38"/>
      <c r="C289" s="34"/>
      <c r="D289" s="180" t="s">
        <v>4</v>
      </c>
      <c r="E289" s="32" t="str">
        <f>IF(A289="","",IF(COUNTIF('Asset Detail'!A:A,A289)&gt;0,"✓ Found","✗ Not Found"))</f>
        <v/>
      </c>
      <c r="F289" s="31" t="str" cm="1">
        <f t="array" ref="F289">IF(A289="","",IFERROR(INDEX('Asset Detail'!C:C,_xlfn.XMATCH(A289,'Asset Detail'!A:A,3)),"—"))</f>
        <v/>
      </c>
      <c r="G289" s="32" t="str" cm="1">
        <f t="array" ref="G289">IF(A289="","",IFERROR(INDEX('Asset Detail'!E:E,_xlfn.XMATCH(A289,'Asset Detail'!A:A,3)),"—"))</f>
        <v/>
      </c>
      <c r="H289" s="34"/>
      <c r="I289" s="39"/>
    </row>
    <row r="290" spans="1:9" x14ac:dyDescent="0.25">
      <c r="A290" s="23" t="str">
        <f t="shared" si="4"/>
        <v/>
      </c>
      <c r="B290" s="38"/>
      <c r="C290" s="34"/>
      <c r="D290" s="180" t="s">
        <v>4</v>
      </c>
      <c r="E290" s="32" t="str">
        <f>IF(A290="","",IF(COUNTIF('Asset Detail'!A:A,A290)&gt;0,"✓ Found","✗ Not Found"))</f>
        <v/>
      </c>
      <c r="F290" s="31" t="str" cm="1">
        <f t="array" ref="F290">IF(A290="","",IFERROR(INDEX('Asset Detail'!C:C,_xlfn.XMATCH(A290,'Asset Detail'!A:A,3)),"—"))</f>
        <v/>
      </c>
      <c r="G290" s="32" t="str" cm="1">
        <f t="array" ref="G290">IF(A290="","",IFERROR(INDEX('Asset Detail'!E:E,_xlfn.XMATCH(A290,'Asset Detail'!A:A,3)),"—"))</f>
        <v/>
      </c>
      <c r="H290" s="34"/>
      <c r="I290" s="39"/>
    </row>
    <row r="291" spans="1:9" x14ac:dyDescent="0.25">
      <c r="A291" s="23" t="str">
        <f t="shared" si="4"/>
        <v/>
      </c>
      <c r="B291" s="38"/>
      <c r="C291" s="34"/>
      <c r="D291" s="180" t="s">
        <v>4</v>
      </c>
      <c r="E291" s="32" t="str">
        <f>IF(A291="","",IF(COUNTIF('Asset Detail'!A:A,A291)&gt;0,"✓ Found","✗ Not Found"))</f>
        <v/>
      </c>
      <c r="F291" s="31" t="str" cm="1">
        <f t="array" ref="F291">IF(A291="","",IFERROR(INDEX('Asset Detail'!C:C,_xlfn.XMATCH(A291,'Asset Detail'!A:A,3)),"—"))</f>
        <v/>
      </c>
      <c r="G291" s="32" t="str" cm="1">
        <f t="array" ref="G291">IF(A291="","",IFERROR(INDEX('Asset Detail'!E:E,_xlfn.XMATCH(A291,'Asset Detail'!A:A,3)),"—"))</f>
        <v/>
      </c>
      <c r="H291" s="34"/>
      <c r="I291" s="39"/>
    </row>
    <row r="292" spans="1:9" x14ac:dyDescent="0.25">
      <c r="A292" s="23" t="str">
        <f t="shared" si="4"/>
        <v/>
      </c>
      <c r="B292" s="38"/>
      <c r="C292" s="34"/>
      <c r="D292" s="180" t="s">
        <v>4</v>
      </c>
      <c r="E292" s="32" t="str">
        <f>IF(A292="","",IF(COUNTIF('Asset Detail'!A:A,A292)&gt;0,"✓ Found","✗ Not Found"))</f>
        <v/>
      </c>
      <c r="F292" s="31" t="str" cm="1">
        <f t="array" ref="F292">IF(A292="","",IFERROR(INDEX('Asset Detail'!C:C,_xlfn.XMATCH(A292,'Asset Detail'!A:A,3)),"—"))</f>
        <v/>
      </c>
      <c r="G292" s="32" t="str" cm="1">
        <f t="array" ref="G292">IF(A292="","",IFERROR(INDEX('Asset Detail'!E:E,_xlfn.XMATCH(A292,'Asset Detail'!A:A,3)),"—"))</f>
        <v/>
      </c>
      <c r="H292" s="34"/>
      <c r="I292" s="39"/>
    </row>
    <row r="293" spans="1:9" x14ac:dyDescent="0.25">
      <c r="A293" s="23" t="str">
        <f t="shared" si="4"/>
        <v/>
      </c>
      <c r="B293" s="38"/>
      <c r="C293" s="34"/>
      <c r="D293" s="180" t="s">
        <v>4</v>
      </c>
      <c r="E293" s="32" t="str">
        <f>IF(A293="","",IF(COUNTIF('Asset Detail'!A:A,A293)&gt;0,"✓ Found","✗ Not Found"))</f>
        <v/>
      </c>
      <c r="F293" s="31" t="str" cm="1">
        <f t="array" ref="F293">IF(A293="","",IFERROR(INDEX('Asset Detail'!C:C,_xlfn.XMATCH(A293,'Asset Detail'!A:A,3)),"—"))</f>
        <v/>
      </c>
      <c r="G293" s="32" t="str" cm="1">
        <f t="array" ref="G293">IF(A293="","",IFERROR(INDEX('Asset Detail'!E:E,_xlfn.XMATCH(A293,'Asset Detail'!A:A,3)),"—"))</f>
        <v/>
      </c>
      <c r="H293" s="34"/>
      <c r="I293" s="39"/>
    </row>
    <row r="294" spans="1:9" x14ac:dyDescent="0.25">
      <c r="A294" s="23" t="str">
        <f t="shared" si="4"/>
        <v/>
      </c>
      <c r="B294" s="38"/>
      <c r="C294" s="34"/>
      <c r="D294" s="180" t="s">
        <v>4</v>
      </c>
      <c r="E294" s="32" t="str">
        <f>IF(A294="","",IF(COUNTIF('Asset Detail'!A:A,A294)&gt;0,"✓ Found","✗ Not Found"))</f>
        <v/>
      </c>
      <c r="F294" s="31" t="str" cm="1">
        <f t="array" ref="F294">IF(A294="","",IFERROR(INDEX('Asset Detail'!C:C,_xlfn.XMATCH(A294,'Asset Detail'!A:A,3)),"—"))</f>
        <v/>
      </c>
      <c r="G294" s="32" t="str" cm="1">
        <f t="array" ref="G294">IF(A294="","",IFERROR(INDEX('Asset Detail'!E:E,_xlfn.XMATCH(A294,'Asset Detail'!A:A,3)),"—"))</f>
        <v/>
      </c>
      <c r="H294" s="34"/>
      <c r="I294" s="39"/>
    </row>
    <row r="295" spans="1:9" x14ac:dyDescent="0.25">
      <c r="A295" s="23" t="str">
        <f t="shared" si="4"/>
        <v/>
      </c>
      <c r="B295" s="38"/>
      <c r="C295" s="34"/>
      <c r="D295" s="180" t="s">
        <v>4</v>
      </c>
      <c r="E295" s="32" t="str">
        <f>IF(A295="","",IF(COUNTIF('Asset Detail'!A:A,A295)&gt;0,"✓ Found","✗ Not Found"))</f>
        <v/>
      </c>
      <c r="F295" s="31" t="str" cm="1">
        <f t="array" ref="F295">IF(A295="","",IFERROR(INDEX('Asset Detail'!C:C,_xlfn.XMATCH(A295,'Asset Detail'!A:A,3)),"—"))</f>
        <v/>
      </c>
      <c r="G295" s="32" t="str" cm="1">
        <f t="array" ref="G295">IF(A295="","",IFERROR(INDEX('Asset Detail'!E:E,_xlfn.XMATCH(A295,'Asset Detail'!A:A,3)),"—"))</f>
        <v/>
      </c>
      <c r="H295" s="34"/>
      <c r="I295" s="39"/>
    </row>
    <row r="296" spans="1:9" x14ac:dyDescent="0.25">
      <c r="A296" s="23" t="str">
        <f t="shared" si="4"/>
        <v/>
      </c>
      <c r="B296" s="38"/>
      <c r="C296" s="34"/>
      <c r="D296" s="180" t="s">
        <v>4</v>
      </c>
      <c r="E296" s="32" t="str">
        <f>IF(A296="","",IF(COUNTIF('Asset Detail'!A:A,A296)&gt;0,"✓ Found","✗ Not Found"))</f>
        <v/>
      </c>
      <c r="F296" s="31" t="str" cm="1">
        <f t="array" ref="F296">IF(A296="","",IFERROR(INDEX('Asset Detail'!C:C,_xlfn.XMATCH(A296,'Asset Detail'!A:A,3)),"—"))</f>
        <v/>
      </c>
      <c r="G296" s="32" t="str" cm="1">
        <f t="array" ref="G296">IF(A296="","",IFERROR(INDEX('Asset Detail'!E:E,_xlfn.XMATCH(A296,'Asset Detail'!A:A,3)),"—"))</f>
        <v/>
      </c>
      <c r="H296" s="34"/>
      <c r="I296" s="39"/>
    </row>
    <row r="297" spans="1:9" x14ac:dyDescent="0.25">
      <c r="A297" s="23" t="str">
        <f t="shared" si="4"/>
        <v/>
      </c>
      <c r="B297" s="38"/>
      <c r="C297" s="34"/>
      <c r="D297" s="180" t="s">
        <v>4</v>
      </c>
      <c r="E297" s="32" t="str">
        <f>IF(A297="","",IF(COUNTIF('Asset Detail'!A:A,A297)&gt;0,"✓ Found","✗ Not Found"))</f>
        <v/>
      </c>
      <c r="F297" s="31" t="str" cm="1">
        <f t="array" ref="F297">IF(A297="","",IFERROR(INDEX('Asset Detail'!C:C,_xlfn.XMATCH(A297,'Asset Detail'!A:A,3)),"—"))</f>
        <v/>
      </c>
      <c r="G297" s="32" t="str" cm="1">
        <f t="array" ref="G297">IF(A297="","",IFERROR(INDEX('Asset Detail'!E:E,_xlfn.XMATCH(A297,'Asset Detail'!A:A,3)),"—"))</f>
        <v/>
      </c>
      <c r="H297" s="34"/>
      <c r="I297" s="39"/>
    </row>
    <row r="298" spans="1:9" x14ac:dyDescent="0.25">
      <c r="A298" s="23" t="str">
        <f t="shared" si="4"/>
        <v/>
      </c>
      <c r="B298" s="38"/>
      <c r="C298" s="34"/>
      <c r="D298" s="180" t="s">
        <v>4</v>
      </c>
      <c r="E298" s="32" t="str">
        <f>IF(A298="","",IF(COUNTIF('Asset Detail'!A:A,A298)&gt;0,"✓ Found","✗ Not Found"))</f>
        <v/>
      </c>
      <c r="F298" s="31" t="str" cm="1">
        <f t="array" ref="F298">IF(A298="","",IFERROR(INDEX('Asset Detail'!C:C,_xlfn.XMATCH(A298,'Asset Detail'!A:A,3)),"—"))</f>
        <v/>
      </c>
      <c r="G298" s="32" t="str" cm="1">
        <f t="array" ref="G298">IF(A298="","",IFERROR(INDEX('Asset Detail'!E:E,_xlfn.XMATCH(A298,'Asset Detail'!A:A,3)),"—"))</f>
        <v/>
      </c>
      <c r="H298" s="34"/>
      <c r="I298" s="39"/>
    </row>
    <row r="299" spans="1:9" x14ac:dyDescent="0.25">
      <c r="A299" s="23" t="str">
        <f t="shared" si="4"/>
        <v/>
      </c>
      <c r="B299" s="38"/>
      <c r="C299" s="34"/>
      <c r="D299" s="180" t="s">
        <v>4</v>
      </c>
      <c r="E299" s="32" t="str">
        <f>IF(A299="","",IF(COUNTIF('Asset Detail'!A:A,A299)&gt;0,"✓ Found","✗ Not Found"))</f>
        <v/>
      </c>
      <c r="F299" s="31" t="str" cm="1">
        <f t="array" ref="F299">IF(A299="","",IFERROR(INDEX('Asset Detail'!C:C,_xlfn.XMATCH(A299,'Asset Detail'!A:A,3)),"—"))</f>
        <v/>
      </c>
      <c r="G299" s="32" t="str" cm="1">
        <f t="array" ref="G299">IF(A299="","",IFERROR(INDEX('Asset Detail'!E:E,_xlfn.XMATCH(A299,'Asset Detail'!A:A,3)),"—"))</f>
        <v/>
      </c>
      <c r="H299" s="34"/>
      <c r="I299" s="39"/>
    </row>
    <row r="300" spans="1:9" x14ac:dyDescent="0.25">
      <c r="A300" s="23" t="str">
        <f t="shared" si="4"/>
        <v/>
      </c>
      <c r="B300" s="38"/>
      <c r="C300" s="34"/>
      <c r="D300" s="180" t="s">
        <v>4</v>
      </c>
      <c r="E300" s="32" t="str">
        <f>IF(A300="","",IF(COUNTIF('Asset Detail'!A:A,A300)&gt;0,"✓ Found","✗ Not Found"))</f>
        <v/>
      </c>
      <c r="F300" s="31" t="str" cm="1">
        <f t="array" ref="F300">IF(A300="","",IFERROR(INDEX('Asset Detail'!C:C,_xlfn.XMATCH(A300,'Asset Detail'!A:A,3)),"—"))</f>
        <v/>
      </c>
      <c r="G300" s="32" t="str" cm="1">
        <f t="array" ref="G300">IF(A300="","",IFERROR(INDEX('Asset Detail'!E:E,_xlfn.XMATCH(A300,'Asset Detail'!A:A,3)),"—"))</f>
        <v/>
      </c>
      <c r="H300" s="34"/>
      <c r="I300" s="39"/>
    </row>
    <row r="301" spans="1:9" x14ac:dyDescent="0.25">
      <c r="A301" s="23" t="str">
        <f t="shared" si="4"/>
        <v/>
      </c>
      <c r="B301" s="38"/>
      <c r="C301" s="34"/>
      <c r="D301" s="180" t="s">
        <v>4</v>
      </c>
      <c r="E301" s="32" t="str">
        <f>IF(A301="","",IF(COUNTIF('Asset Detail'!A:A,A301)&gt;0,"✓ Found","✗ Not Found"))</f>
        <v/>
      </c>
      <c r="F301" s="31" t="str" cm="1">
        <f t="array" ref="F301">IF(A301="","",IFERROR(INDEX('Asset Detail'!C:C,_xlfn.XMATCH(A301,'Asset Detail'!A:A,3)),"—"))</f>
        <v/>
      </c>
      <c r="G301" s="32" t="str" cm="1">
        <f t="array" ref="G301">IF(A301="","",IFERROR(INDEX('Asset Detail'!E:E,_xlfn.XMATCH(A301,'Asset Detail'!A:A,3)),"—"))</f>
        <v/>
      </c>
      <c r="H301" s="34"/>
      <c r="I301" s="39"/>
    </row>
    <row r="302" spans="1:9" x14ac:dyDescent="0.25">
      <c r="A302" s="23" t="str">
        <f t="shared" si="4"/>
        <v/>
      </c>
      <c r="B302" s="38"/>
      <c r="C302" s="34"/>
      <c r="D302" s="180" t="s">
        <v>4</v>
      </c>
      <c r="E302" s="32" t="str">
        <f>IF(A302="","",IF(COUNTIF('Asset Detail'!A:A,A302)&gt;0,"✓ Found","✗ Not Found"))</f>
        <v/>
      </c>
      <c r="F302" s="31" t="str" cm="1">
        <f t="array" ref="F302">IF(A302="","",IFERROR(INDEX('Asset Detail'!C:C,_xlfn.XMATCH(A302,'Asset Detail'!A:A,3)),"—"))</f>
        <v/>
      </c>
      <c r="G302" s="32" t="str" cm="1">
        <f t="array" ref="G302">IF(A302="","",IFERROR(INDEX('Asset Detail'!E:E,_xlfn.XMATCH(A302,'Asset Detail'!A:A,3)),"—"))</f>
        <v/>
      </c>
      <c r="H302" s="34"/>
      <c r="I302" s="39"/>
    </row>
    <row r="303" spans="1:9" x14ac:dyDescent="0.25">
      <c r="A303" s="23" t="str">
        <f t="shared" si="4"/>
        <v/>
      </c>
      <c r="B303" s="38"/>
      <c r="C303" s="34"/>
      <c r="D303" s="180" t="s">
        <v>4</v>
      </c>
      <c r="E303" s="32" t="str">
        <f>IF(A303="","",IF(COUNTIF('Asset Detail'!A:A,A303)&gt;0,"✓ Found","✗ Not Found"))</f>
        <v/>
      </c>
      <c r="F303" s="31" t="str" cm="1">
        <f t="array" ref="F303">IF(A303="","",IFERROR(INDEX('Asset Detail'!C:C,_xlfn.XMATCH(A303,'Asset Detail'!A:A,3)),"—"))</f>
        <v/>
      </c>
      <c r="G303" s="32" t="str" cm="1">
        <f t="array" ref="G303">IF(A303="","",IFERROR(INDEX('Asset Detail'!E:E,_xlfn.XMATCH(A303,'Asset Detail'!A:A,3)),"—"))</f>
        <v/>
      </c>
      <c r="H303" s="34"/>
      <c r="I303" s="39"/>
    </row>
    <row r="304" spans="1:9" x14ac:dyDescent="0.25">
      <c r="A304" s="23" t="str">
        <f t="shared" si="4"/>
        <v/>
      </c>
      <c r="B304" s="38"/>
      <c r="C304" s="34"/>
      <c r="D304" s="180" t="s">
        <v>4</v>
      </c>
      <c r="E304" s="32" t="str">
        <f>IF(A304="","",IF(COUNTIF('Asset Detail'!A:A,A304)&gt;0,"✓ Found","✗ Not Found"))</f>
        <v/>
      </c>
      <c r="F304" s="31" t="str" cm="1">
        <f t="array" ref="F304">IF(A304="","",IFERROR(INDEX('Asset Detail'!C:C,_xlfn.XMATCH(A304,'Asset Detail'!A:A,3)),"—"))</f>
        <v/>
      </c>
      <c r="G304" s="32" t="str" cm="1">
        <f t="array" ref="G304">IF(A304="","",IFERROR(INDEX('Asset Detail'!E:E,_xlfn.XMATCH(A304,'Asset Detail'!A:A,3)),"—"))</f>
        <v/>
      </c>
      <c r="H304" s="34"/>
      <c r="I304" s="39"/>
    </row>
    <row r="305" spans="1:9" x14ac:dyDescent="0.25">
      <c r="A305" s="23" t="str">
        <f t="shared" si="4"/>
        <v/>
      </c>
      <c r="B305" s="38"/>
      <c r="C305" s="34"/>
      <c r="D305" s="180" t="s">
        <v>4</v>
      </c>
      <c r="E305" s="32" t="str">
        <f>IF(A305="","",IF(COUNTIF('Asset Detail'!A:A,A305)&gt;0,"✓ Found","✗ Not Found"))</f>
        <v/>
      </c>
      <c r="F305" s="31" t="str" cm="1">
        <f t="array" ref="F305">IF(A305="","",IFERROR(INDEX('Asset Detail'!C:C,_xlfn.XMATCH(A305,'Asset Detail'!A:A,3)),"—"))</f>
        <v/>
      </c>
      <c r="G305" s="32" t="str" cm="1">
        <f t="array" ref="G305">IF(A305="","",IFERROR(INDEX('Asset Detail'!E:E,_xlfn.XMATCH(A305,'Asset Detail'!A:A,3)),"—"))</f>
        <v/>
      </c>
      <c r="H305" s="34"/>
      <c r="I305" s="39"/>
    </row>
    <row r="306" spans="1:9" x14ac:dyDescent="0.25">
      <c r="A306" s="23" t="str">
        <f t="shared" si="4"/>
        <v/>
      </c>
      <c r="B306" s="38"/>
      <c r="C306" s="34"/>
      <c r="D306" s="180" t="s">
        <v>4</v>
      </c>
      <c r="E306" s="32" t="str">
        <f>IF(A306="","",IF(COUNTIF('Asset Detail'!A:A,A306)&gt;0,"✓ Found","✗ Not Found"))</f>
        <v/>
      </c>
      <c r="F306" s="31" t="str" cm="1">
        <f t="array" ref="F306">IF(A306="","",IFERROR(INDEX('Asset Detail'!C:C,_xlfn.XMATCH(A306,'Asset Detail'!A:A,3)),"—"))</f>
        <v/>
      </c>
      <c r="G306" s="32" t="str" cm="1">
        <f t="array" ref="G306">IF(A306="","",IFERROR(INDEX('Asset Detail'!E:E,_xlfn.XMATCH(A306,'Asset Detail'!A:A,3)),"—"))</f>
        <v/>
      </c>
      <c r="H306" s="34"/>
      <c r="I306" s="39"/>
    </row>
    <row r="307" spans="1:9" x14ac:dyDescent="0.25">
      <c r="A307" s="23" t="str">
        <f t="shared" si="4"/>
        <v/>
      </c>
      <c r="B307" s="38"/>
      <c r="C307" s="34"/>
      <c r="D307" s="180" t="s">
        <v>4</v>
      </c>
      <c r="E307" s="32" t="str">
        <f>IF(A307="","",IF(COUNTIF('Asset Detail'!A:A,A307)&gt;0,"✓ Found","✗ Not Found"))</f>
        <v/>
      </c>
      <c r="F307" s="31" t="str" cm="1">
        <f t="array" ref="F307">IF(A307="","",IFERROR(INDEX('Asset Detail'!C:C,_xlfn.XMATCH(A307,'Asset Detail'!A:A,3)),"—"))</f>
        <v/>
      </c>
      <c r="G307" s="32" t="str" cm="1">
        <f t="array" ref="G307">IF(A307="","",IFERROR(INDEX('Asset Detail'!E:E,_xlfn.XMATCH(A307,'Asset Detail'!A:A,3)),"—"))</f>
        <v/>
      </c>
      <c r="H307" s="34"/>
      <c r="I307" s="39"/>
    </row>
    <row r="308" spans="1:9" x14ac:dyDescent="0.25">
      <c r="A308" s="23" t="str">
        <f t="shared" si="4"/>
        <v/>
      </c>
      <c r="B308" s="38"/>
      <c r="C308" s="34"/>
      <c r="D308" s="180" t="s">
        <v>4</v>
      </c>
      <c r="E308" s="32" t="str">
        <f>IF(A308="","",IF(COUNTIF('Asset Detail'!A:A,A308)&gt;0,"✓ Found","✗ Not Found"))</f>
        <v/>
      </c>
      <c r="F308" s="31" t="str" cm="1">
        <f t="array" ref="F308">IF(A308="","",IFERROR(INDEX('Asset Detail'!C:C,_xlfn.XMATCH(A308,'Asset Detail'!A:A,3)),"—"))</f>
        <v/>
      </c>
      <c r="G308" s="32" t="str" cm="1">
        <f t="array" ref="G308">IF(A308="","",IFERROR(INDEX('Asset Detail'!E:E,_xlfn.XMATCH(A308,'Asset Detail'!A:A,3)),"—"))</f>
        <v/>
      </c>
      <c r="H308" s="34"/>
      <c r="I308" s="39"/>
    </row>
    <row r="309" spans="1:9" x14ac:dyDescent="0.25">
      <c r="A309" s="23" t="str">
        <f t="shared" si="4"/>
        <v/>
      </c>
      <c r="B309" s="38"/>
      <c r="C309" s="34"/>
      <c r="D309" s="180" t="s">
        <v>4</v>
      </c>
      <c r="E309" s="32" t="str">
        <f>IF(A309="","",IF(COUNTIF('Asset Detail'!A:A,A309)&gt;0,"✓ Found","✗ Not Found"))</f>
        <v/>
      </c>
      <c r="F309" s="31" t="str" cm="1">
        <f t="array" ref="F309">IF(A309="","",IFERROR(INDEX('Asset Detail'!C:C,_xlfn.XMATCH(A309,'Asset Detail'!A:A,3)),"—"))</f>
        <v/>
      </c>
      <c r="G309" s="32" t="str" cm="1">
        <f t="array" ref="G309">IF(A309="","",IFERROR(INDEX('Asset Detail'!E:E,_xlfn.XMATCH(A309,'Asset Detail'!A:A,3)),"—"))</f>
        <v/>
      </c>
      <c r="H309" s="34"/>
      <c r="I309" s="39"/>
    </row>
    <row r="310" spans="1:9" x14ac:dyDescent="0.25">
      <c r="A310" s="23" t="str">
        <f t="shared" si="4"/>
        <v/>
      </c>
      <c r="B310" s="38"/>
      <c r="C310" s="34"/>
      <c r="D310" s="180" t="s">
        <v>4</v>
      </c>
      <c r="E310" s="32" t="str">
        <f>IF(A310="","",IF(COUNTIF('Asset Detail'!A:A,A310)&gt;0,"✓ Found","✗ Not Found"))</f>
        <v/>
      </c>
      <c r="F310" s="31" t="str" cm="1">
        <f t="array" ref="F310">IF(A310="","",IFERROR(INDEX('Asset Detail'!C:C,_xlfn.XMATCH(A310,'Asset Detail'!A:A,3)),"—"))</f>
        <v/>
      </c>
      <c r="G310" s="32" t="str" cm="1">
        <f t="array" ref="G310">IF(A310="","",IFERROR(INDEX('Asset Detail'!E:E,_xlfn.XMATCH(A310,'Asset Detail'!A:A,3)),"—"))</f>
        <v/>
      </c>
      <c r="H310" s="34"/>
      <c r="I310" s="39"/>
    </row>
    <row r="311" spans="1:9" x14ac:dyDescent="0.25">
      <c r="A311" s="23" t="str">
        <f t="shared" si="4"/>
        <v/>
      </c>
      <c r="B311" s="38"/>
      <c r="C311" s="34"/>
      <c r="D311" s="180" t="s">
        <v>4</v>
      </c>
      <c r="E311" s="32" t="str">
        <f>IF(A311="","",IF(COUNTIF('Asset Detail'!A:A,A311)&gt;0,"✓ Found","✗ Not Found"))</f>
        <v/>
      </c>
      <c r="F311" s="31" t="str" cm="1">
        <f t="array" ref="F311">IF(A311="","",IFERROR(INDEX('Asset Detail'!C:C,_xlfn.XMATCH(A311,'Asset Detail'!A:A,3)),"—"))</f>
        <v/>
      </c>
      <c r="G311" s="32" t="str" cm="1">
        <f t="array" ref="G311">IF(A311="","",IFERROR(INDEX('Asset Detail'!E:E,_xlfn.XMATCH(A311,'Asset Detail'!A:A,3)),"—"))</f>
        <v/>
      </c>
      <c r="H311" s="34"/>
      <c r="I311" s="39"/>
    </row>
    <row r="312" spans="1:9" x14ac:dyDescent="0.25">
      <c r="A312" s="23" t="str">
        <f t="shared" si="4"/>
        <v/>
      </c>
      <c r="B312" s="38"/>
      <c r="C312" s="34"/>
      <c r="D312" s="180" t="s">
        <v>4</v>
      </c>
      <c r="E312" s="32" t="str">
        <f>IF(A312="","",IF(COUNTIF('Asset Detail'!A:A,A312)&gt;0,"✓ Found","✗ Not Found"))</f>
        <v/>
      </c>
      <c r="F312" s="31" t="str" cm="1">
        <f t="array" ref="F312">IF(A312="","",IFERROR(INDEX('Asset Detail'!C:C,_xlfn.XMATCH(A312,'Asset Detail'!A:A,3)),"—"))</f>
        <v/>
      </c>
      <c r="G312" s="32" t="str" cm="1">
        <f t="array" ref="G312">IF(A312="","",IFERROR(INDEX('Asset Detail'!E:E,_xlfn.XMATCH(A312,'Asset Detail'!A:A,3)),"—"))</f>
        <v/>
      </c>
      <c r="H312" s="34"/>
      <c r="I312" s="39"/>
    </row>
    <row r="313" spans="1:9" x14ac:dyDescent="0.25">
      <c r="A313" s="23" t="str">
        <f t="shared" si="4"/>
        <v/>
      </c>
      <c r="B313" s="38"/>
      <c r="C313" s="34"/>
      <c r="D313" s="180" t="s">
        <v>4</v>
      </c>
      <c r="E313" s="32" t="str">
        <f>IF(A313="","",IF(COUNTIF('Asset Detail'!A:A,A313)&gt;0,"✓ Found","✗ Not Found"))</f>
        <v/>
      </c>
      <c r="F313" s="31" t="str" cm="1">
        <f t="array" ref="F313">IF(A313="","",IFERROR(INDEX('Asset Detail'!C:C,_xlfn.XMATCH(A313,'Asset Detail'!A:A,3)),"—"))</f>
        <v/>
      </c>
      <c r="G313" s="32" t="str" cm="1">
        <f t="array" ref="G313">IF(A313="","",IFERROR(INDEX('Asset Detail'!E:E,_xlfn.XMATCH(A313,'Asset Detail'!A:A,3)),"—"))</f>
        <v/>
      </c>
      <c r="H313" s="34"/>
      <c r="I313" s="39"/>
    </row>
    <row r="314" spans="1:9" x14ac:dyDescent="0.25">
      <c r="A314" s="23" t="str">
        <f t="shared" si="4"/>
        <v/>
      </c>
      <c r="B314" s="38"/>
      <c r="C314" s="34"/>
      <c r="D314" s="180" t="s">
        <v>4</v>
      </c>
      <c r="E314" s="32" t="str">
        <f>IF(A314="","",IF(COUNTIF('Asset Detail'!A:A,A314)&gt;0,"✓ Found","✗ Not Found"))</f>
        <v/>
      </c>
      <c r="F314" s="31" t="str" cm="1">
        <f t="array" ref="F314">IF(A314="","",IFERROR(INDEX('Asset Detail'!C:C,_xlfn.XMATCH(A314,'Asset Detail'!A:A,3)),"—"))</f>
        <v/>
      </c>
      <c r="G314" s="32" t="str" cm="1">
        <f t="array" ref="G314">IF(A314="","",IFERROR(INDEX('Asset Detail'!E:E,_xlfn.XMATCH(A314,'Asset Detail'!A:A,3)),"—"))</f>
        <v/>
      </c>
      <c r="H314" s="34"/>
      <c r="I314" s="39"/>
    </row>
    <row r="315" spans="1:9" x14ac:dyDescent="0.25">
      <c r="A315" s="23" t="str">
        <f t="shared" si="4"/>
        <v/>
      </c>
      <c r="B315" s="38"/>
      <c r="C315" s="34"/>
      <c r="D315" s="180" t="s">
        <v>4</v>
      </c>
      <c r="E315" s="32" t="str">
        <f>IF(A315="","",IF(COUNTIF('Asset Detail'!A:A,A315)&gt;0,"✓ Found","✗ Not Found"))</f>
        <v/>
      </c>
      <c r="F315" s="31" t="str" cm="1">
        <f t="array" ref="F315">IF(A315="","",IFERROR(INDEX('Asset Detail'!C:C,_xlfn.XMATCH(A315,'Asset Detail'!A:A,3)),"—"))</f>
        <v/>
      </c>
      <c r="G315" s="32" t="str" cm="1">
        <f t="array" ref="G315">IF(A315="","",IFERROR(INDEX('Asset Detail'!E:E,_xlfn.XMATCH(A315,'Asset Detail'!A:A,3)),"—"))</f>
        <v/>
      </c>
      <c r="H315" s="34"/>
      <c r="I315" s="39"/>
    </row>
    <row r="316" spans="1:9" x14ac:dyDescent="0.25">
      <c r="A316" s="23" t="str">
        <f t="shared" si="4"/>
        <v/>
      </c>
      <c r="B316" s="38"/>
      <c r="C316" s="34"/>
      <c r="D316" s="180" t="s">
        <v>4</v>
      </c>
      <c r="E316" s="32" t="str">
        <f>IF(A316="","",IF(COUNTIF('Asset Detail'!A:A,A316)&gt;0,"✓ Found","✗ Not Found"))</f>
        <v/>
      </c>
      <c r="F316" s="31" t="str" cm="1">
        <f t="array" ref="F316">IF(A316="","",IFERROR(INDEX('Asset Detail'!C:C,_xlfn.XMATCH(A316,'Asset Detail'!A:A,3)),"—"))</f>
        <v/>
      </c>
      <c r="G316" s="32" t="str" cm="1">
        <f t="array" ref="G316">IF(A316="","",IFERROR(INDEX('Asset Detail'!E:E,_xlfn.XMATCH(A316,'Asset Detail'!A:A,3)),"—"))</f>
        <v/>
      </c>
      <c r="H316" s="34"/>
      <c r="I316" s="39"/>
    </row>
    <row r="317" spans="1:9" x14ac:dyDescent="0.25">
      <c r="A317" s="23" t="str">
        <f t="shared" si="4"/>
        <v/>
      </c>
      <c r="B317" s="38"/>
      <c r="C317" s="34"/>
      <c r="D317" s="180" t="s">
        <v>4</v>
      </c>
      <c r="E317" s="32" t="str">
        <f>IF(A317="","",IF(COUNTIF('Asset Detail'!A:A,A317)&gt;0,"✓ Found","✗ Not Found"))</f>
        <v/>
      </c>
      <c r="F317" s="31" t="str" cm="1">
        <f t="array" ref="F317">IF(A317="","",IFERROR(INDEX('Asset Detail'!C:C,_xlfn.XMATCH(A317,'Asset Detail'!A:A,3)),"—"))</f>
        <v/>
      </c>
      <c r="G317" s="32" t="str" cm="1">
        <f t="array" ref="G317">IF(A317="","",IFERROR(INDEX('Asset Detail'!E:E,_xlfn.XMATCH(A317,'Asset Detail'!A:A,3)),"—"))</f>
        <v/>
      </c>
      <c r="H317" s="34"/>
      <c r="I317" s="39"/>
    </row>
    <row r="318" spans="1:9" x14ac:dyDescent="0.25">
      <c r="A318" s="23" t="str">
        <f t="shared" si="4"/>
        <v/>
      </c>
      <c r="B318" s="38"/>
      <c r="C318" s="34"/>
      <c r="D318" s="180" t="s">
        <v>4</v>
      </c>
      <c r="E318" s="32" t="str">
        <f>IF(A318="","",IF(COUNTIF('Asset Detail'!A:A,A318)&gt;0,"✓ Found","✗ Not Found"))</f>
        <v/>
      </c>
      <c r="F318" s="31" t="str" cm="1">
        <f t="array" ref="F318">IF(A318="","",IFERROR(INDEX('Asset Detail'!C:C,_xlfn.XMATCH(A318,'Asset Detail'!A:A,3)),"—"))</f>
        <v/>
      </c>
      <c r="G318" s="32" t="str" cm="1">
        <f t="array" ref="G318">IF(A318="","",IFERROR(INDEX('Asset Detail'!E:E,_xlfn.XMATCH(A318,'Asset Detail'!A:A,3)),"—"))</f>
        <v/>
      </c>
      <c r="H318" s="34"/>
      <c r="I318" s="39"/>
    </row>
    <row r="319" spans="1:9" x14ac:dyDescent="0.25">
      <c r="A319" s="23" t="str">
        <f t="shared" si="4"/>
        <v/>
      </c>
      <c r="B319" s="38"/>
      <c r="C319" s="34"/>
      <c r="D319" s="180" t="s">
        <v>4</v>
      </c>
      <c r="E319" s="32" t="str">
        <f>IF(A319="","",IF(COUNTIF('Asset Detail'!A:A,A319)&gt;0,"✓ Found","✗ Not Found"))</f>
        <v/>
      </c>
      <c r="F319" s="31" t="str" cm="1">
        <f t="array" ref="F319">IF(A319="","",IFERROR(INDEX('Asset Detail'!C:C,_xlfn.XMATCH(A319,'Asset Detail'!A:A,3)),"—"))</f>
        <v/>
      </c>
      <c r="G319" s="32" t="str" cm="1">
        <f t="array" ref="G319">IF(A319="","",IFERROR(INDEX('Asset Detail'!E:E,_xlfn.XMATCH(A319,'Asset Detail'!A:A,3)),"—"))</f>
        <v/>
      </c>
      <c r="H319" s="34"/>
      <c r="I319" s="39"/>
    </row>
    <row r="320" spans="1:9" x14ac:dyDescent="0.25">
      <c r="A320" s="23" t="str">
        <f t="shared" si="4"/>
        <v/>
      </c>
      <c r="B320" s="38"/>
      <c r="C320" s="34"/>
      <c r="D320" s="180" t="s">
        <v>4</v>
      </c>
      <c r="E320" s="32" t="str">
        <f>IF(A320="","",IF(COUNTIF('Asset Detail'!A:A,A320)&gt;0,"✓ Found","✗ Not Found"))</f>
        <v/>
      </c>
      <c r="F320" s="31" t="str" cm="1">
        <f t="array" ref="F320">IF(A320="","",IFERROR(INDEX('Asset Detail'!C:C,_xlfn.XMATCH(A320,'Asset Detail'!A:A,3)),"—"))</f>
        <v/>
      </c>
      <c r="G320" s="32" t="str" cm="1">
        <f t="array" ref="G320">IF(A320="","",IFERROR(INDEX('Asset Detail'!E:E,_xlfn.XMATCH(A320,'Asset Detail'!A:A,3)),"—"))</f>
        <v/>
      </c>
      <c r="H320" s="34"/>
      <c r="I320" s="39"/>
    </row>
    <row r="321" spans="1:9" x14ac:dyDescent="0.25">
      <c r="A321" s="23" t="str">
        <f t="shared" si="4"/>
        <v/>
      </c>
      <c r="B321" s="38"/>
      <c r="C321" s="34"/>
      <c r="D321" s="180" t="s">
        <v>4</v>
      </c>
      <c r="E321" s="32" t="str">
        <f>IF(A321="","",IF(COUNTIF('Asset Detail'!A:A,A321)&gt;0,"✓ Found","✗ Not Found"))</f>
        <v/>
      </c>
      <c r="F321" s="31" t="str" cm="1">
        <f t="array" ref="F321">IF(A321="","",IFERROR(INDEX('Asset Detail'!C:C,_xlfn.XMATCH(A321,'Asset Detail'!A:A,3)),"—"))</f>
        <v/>
      </c>
      <c r="G321" s="32" t="str" cm="1">
        <f t="array" ref="G321">IF(A321="","",IFERROR(INDEX('Asset Detail'!E:E,_xlfn.XMATCH(A321,'Asset Detail'!A:A,3)),"—"))</f>
        <v/>
      </c>
      <c r="H321" s="34"/>
      <c r="I321" s="39"/>
    </row>
    <row r="322" spans="1:9" x14ac:dyDescent="0.25">
      <c r="A322" s="23" t="str">
        <f t="shared" si="4"/>
        <v/>
      </c>
      <c r="B322" s="38"/>
      <c r="C322" s="34"/>
      <c r="D322" s="180" t="s">
        <v>4</v>
      </c>
      <c r="E322" s="32" t="str">
        <f>IF(A322="","",IF(COUNTIF('Asset Detail'!A:A,A322)&gt;0,"✓ Found","✗ Not Found"))</f>
        <v/>
      </c>
      <c r="F322" s="31" t="str" cm="1">
        <f t="array" ref="F322">IF(A322="","",IFERROR(INDEX('Asset Detail'!C:C,_xlfn.XMATCH(A322,'Asset Detail'!A:A,3)),"—"))</f>
        <v/>
      </c>
      <c r="G322" s="32" t="str" cm="1">
        <f t="array" ref="G322">IF(A322="","",IFERROR(INDEX('Asset Detail'!E:E,_xlfn.XMATCH(A322,'Asset Detail'!A:A,3)),"—"))</f>
        <v/>
      </c>
      <c r="H322" s="34"/>
      <c r="I322" s="39"/>
    </row>
    <row r="323" spans="1:9" x14ac:dyDescent="0.25">
      <c r="A323" s="23" t="str">
        <f t="shared" si="4"/>
        <v/>
      </c>
      <c r="B323" s="38"/>
      <c r="C323" s="34"/>
      <c r="D323" s="180" t="s">
        <v>4</v>
      </c>
      <c r="E323" s="32" t="str">
        <f>IF(A323="","",IF(COUNTIF('Asset Detail'!A:A,A323)&gt;0,"✓ Found","✗ Not Found"))</f>
        <v/>
      </c>
      <c r="F323" s="31" t="str" cm="1">
        <f t="array" ref="F323">IF(A323="","",IFERROR(INDEX('Asset Detail'!C:C,_xlfn.XMATCH(A323,'Asset Detail'!A:A,3)),"—"))</f>
        <v/>
      </c>
      <c r="G323" s="32" t="str" cm="1">
        <f t="array" ref="G323">IF(A323="","",IFERROR(INDEX('Asset Detail'!E:E,_xlfn.XMATCH(A323,'Asset Detail'!A:A,3)),"—"))</f>
        <v/>
      </c>
      <c r="H323" s="34"/>
      <c r="I323" s="39"/>
    </row>
    <row r="324" spans="1:9" x14ac:dyDescent="0.25">
      <c r="A324" s="23" t="str">
        <f t="shared" si="4"/>
        <v/>
      </c>
      <c r="B324" s="38"/>
      <c r="C324" s="34"/>
      <c r="D324" s="180" t="s">
        <v>4</v>
      </c>
      <c r="E324" s="32" t="str">
        <f>IF(A324="","",IF(COUNTIF('Asset Detail'!A:A,A324)&gt;0,"✓ Found","✗ Not Found"))</f>
        <v/>
      </c>
      <c r="F324" s="31" t="str" cm="1">
        <f t="array" ref="F324">IF(A324="","",IFERROR(INDEX('Asset Detail'!C:C,_xlfn.XMATCH(A324,'Asset Detail'!A:A,3)),"—"))</f>
        <v/>
      </c>
      <c r="G324" s="32" t="str" cm="1">
        <f t="array" ref="G324">IF(A324="","",IFERROR(INDEX('Asset Detail'!E:E,_xlfn.XMATCH(A324,'Asset Detail'!A:A,3)),"—"))</f>
        <v/>
      </c>
      <c r="H324" s="34"/>
      <c r="I324" s="39"/>
    </row>
    <row r="325" spans="1:9" x14ac:dyDescent="0.25">
      <c r="A325" s="23" t="str">
        <f t="shared" si="4"/>
        <v/>
      </c>
      <c r="B325" s="38"/>
      <c r="C325" s="34"/>
      <c r="D325" s="180" t="s">
        <v>4</v>
      </c>
      <c r="E325" s="32" t="str">
        <f>IF(A325="","",IF(COUNTIF('Asset Detail'!A:A,A325)&gt;0,"✓ Found","✗ Not Found"))</f>
        <v/>
      </c>
      <c r="F325" s="31" t="str" cm="1">
        <f t="array" ref="F325">IF(A325="","",IFERROR(INDEX('Asset Detail'!C:C,_xlfn.XMATCH(A325,'Asset Detail'!A:A,3)),"—"))</f>
        <v/>
      </c>
      <c r="G325" s="32" t="str" cm="1">
        <f t="array" ref="G325">IF(A325="","",IFERROR(INDEX('Asset Detail'!E:E,_xlfn.XMATCH(A325,'Asset Detail'!A:A,3)),"—"))</f>
        <v/>
      </c>
      <c r="H325" s="34"/>
      <c r="I325" s="39"/>
    </row>
    <row r="326" spans="1:9" x14ac:dyDescent="0.25">
      <c r="A326" s="23" t="str">
        <f t="shared" si="4"/>
        <v/>
      </c>
      <c r="B326" s="38"/>
      <c r="C326" s="34"/>
      <c r="D326" s="180" t="s">
        <v>4</v>
      </c>
      <c r="E326" s="32" t="str">
        <f>IF(A326="","",IF(COUNTIF('Asset Detail'!A:A,A326)&gt;0,"✓ Found","✗ Not Found"))</f>
        <v/>
      </c>
      <c r="F326" s="31" t="str" cm="1">
        <f t="array" ref="F326">IF(A326="","",IFERROR(INDEX('Asset Detail'!C:C,_xlfn.XMATCH(A326,'Asset Detail'!A:A,3)),"—"))</f>
        <v/>
      </c>
      <c r="G326" s="32" t="str" cm="1">
        <f t="array" ref="G326">IF(A326="","",IFERROR(INDEX('Asset Detail'!E:E,_xlfn.XMATCH(A326,'Asset Detail'!A:A,3)),"—"))</f>
        <v/>
      </c>
      <c r="H326" s="34"/>
      <c r="I326" s="39"/>
    </row>
    <row r="327" spans="1:9" x14ac:dyDescent="0.25">
      <c r="A327" s="23" t="str">
        <f t="shared" si="4"/>
        <v/>
      </c>
      <c r="B327" s="38"/>
      <c r="C327" s="34"/>
      <c r="D327" s="180" t="s">
        <v>4</v>
      </c>
      <c r="E327" s="32" t="str">
        <f>IF(A327="","",IF(COUNTIF('Asset Detail'!A:A,A327)&gt;0,"✓ Found","✗ Not Found"))</f>
        <v/>
      </c>
      <c r="F327" s="31" t="str" cm="1">
        <f t="array" ref="F327">IF(A327="","",IFERROR(INDEX('Asset Detail'!C:C,_xlfn.XMATCH(A327,'Asset Detail'!A:A,3)),"—"))</f>
        <v/>
      </c>
      <c r="G327" s="32" t="str" cm="1">
        <f t="array" ref="G327">IF(A327="","",IFERROR(INDEX('Asset Detail'!E:E,_xlfn.XMATCH(A327,'Asset Detail'!A:A,3)),"—"))</f>
        <v/>
      </c>
      <c r="H327" s="34"/>
      <c r="I327" s="39"/>
    </row>
    <row r="328" spans="1:9" x14ac:dyDescent="0.25">
      <c r="A328" s="23" t="str">
        <f t="shared" si="4"/>
        <v/>
      </c>
      <c r="B328" s="38"/>
      <c r="C328" s="34"/>
      <c r="D328" s="180" t="s">
        <v>4</v>
      </c>
      <c r="E328" s="32" t="str">
        <f>IF(A328="","",IF(COUNTIF('Asset Detail'!A:A,A328)&gt;0,"✓ Found","✗ Not Found"))</f>
        <v/>
      </c>
      <c r="F328" s="31" t="str" cm="1">
        <f t="array" ref="F328">IF(A328="","",IFERROR(INDEX('Asset Detail'!C:C,_xlfn.XMATCH(A328,'Asset Detail'!A:A,3)),"—"))</f>
        <v/>
      </c>
      <c r="G328" s="32" t="str" cm="1">
        <f t="array" ref="G328">IF(A328="","",IFERROR(INDEX('Asset Detail'!E:E,_xlfn.XMATCH(A328,'Asset Detail'!A:A,3)),"—"))</f>
        <v/>
      </c>
      <c r="H328" s="34"/>
      <c r="I328" s="39"/>
    </row>
    <row r="329" spans="1:9" x14ac:dyDescent="0.25">
      <c r="A329" s="23" t="str">
        <f t="shared" ref="A329:A392" si="5">SUBSTITUTE(I329, "S", "")</f>
        <v/>
      </c>
      <c r="B329" s="38"/>
      <c r="C329" s="34"/>
      <c r="D329" s="180" t="s">
        <v>4</v>
      </c>
      <c r="E329" s="32" t="str">
        <f>IF(A329="","",IF(COUNTIF('Asset Detail'!A:A,A329)&gt;0,"✓ Found","✗ Not Found"))</f>
        <v/>
      </c>
      <c r="F329" s="31" t="str" cm="1">
        <f t="array" ref="F329">IF(A329="","",IFERROR(INDEX('Asset Detail'!C:C,_xlfn.XMATCH(A329,'Asset Detail'!A:A,3)),"—"))</f>
        <v/>
      </c>
      <c r="G329" s="32" t="str" cm="1">
        <f t="array" ref="G329">IF(A329="","",IFERROR(INDEX('Asset Detail'!E:E,_xlfn.XMATCH(A329,'Asset Detail'!A:A,3)),"—"))</f>
        <v/>
      </c>
      <c r="H329" s="34"/>
      <c r="I329" s="39"/>
    </row>
    <row r="330" spans="1:9" x14ac:dyDescent="0.25">
      <c r="A330" s="23" t="str">
        <f t="shared" si="5"/>
        <v/>
      </c>
      <c r="B330" s="38"/>
      <c r="C330" s="34"/>
      <c r="D330" s="180" t="s">
        <v>4</v>
      </c>
      <c r="E330" s="32" t="str">
        <f>IF(A330="","",IF(COUNTIF('Asset Detail'!A:A,A330)&gt;0,"✓ Found","✗ Not Found"))</f>
        <v/>
      </c>
      <c r="F330" s="31" t="str" cm="1">
        <f t="array" ref="F330">IF(A330="","",IFERROR(INDEX('Asset Detail'!C:C,_xlfn.XMATCH(A330,'Asset Detail'!A:A,3)),"—"))</f>
        <v/>
      </c>
      <c r="G330" s="32" t="str" cm="1">
        <f t="array" ref="G330">IF(A330="","",IFERROR(INDEX('Asset Detail'!E:E,_xlfn.XMATCH(A330,'Asset Detail'!A:A,3)),"—"))</f>
        <v/>
      </c>
      <c r="H330" s="34"/>
      <c r="I330" s="39"/>
    </row>
    <row r="331" spans="1:9" x14ac:dyDescent="0.25">
      <c r="A331" s="23" t="str">
        <f t="shared" si="5"/>
        <v/>
      </c>
      <c r="B331" s="38"/>
      <c r="C331" s="34"/>
      <c r="D331" s="180" t="s">
        <v>4</v>
      </c>
      <c r="E331" s="32" t="str">
        <f>IF(A331="","",IF(COUNTIF('Asset Detail'!A:A,A331)&gt;0,"✓ Found","✗ Not Found"))</f>
        <v/>
      </c>
      <c r="F331" s="31" t="str" cm="1">
        <f t="array" ref="F331">IF(A331="","",IFERROR(INDEX('Asset Detail'!C:C,_xlfn.XMATCH(A331,'Asset Detail'!A:A,3)),"—"))</f>
        <v/>
      </c>
      <c r="G331" s="32" t="str" cm="1">
        <f t="array" ref="G331">IF(A331="","",IFERROR(INDEX('Asset Detail'!E:E,_xlfn.XMATCH(A331,'Asset Detail'!A:A,3)),"—"))</f>
        <v/>
      </c>
      <c r="H331" s="34"/>
      <c r="I331" s="39"/>
    </row>
    <row r="332" spans="1:9" x14ac:dyDescent="0.25">
      <c r="A332" s="23" t="str">
        <f t="shared" si="5"/>
        <v/>
      </c>
      <c r="B332" s="38"/>
      <c r="C332" s="34"/>
      <c r="D332" s="180" t="s">
        <v>4</v>
      </c>
      <c r="E332" s="32" t="str">
        <f>IF(A332="","",IF(COUNTIF('Asset Detail'!A:A,A332)&gt;0,"✓ Found","✗ Not Found"))</f>
        <v/>
      </c>
      <c r="F332" s="31" t="str" cm="1">
        <f t="array" ref="F332">IF(A332="","",IFERROR(INDEX('Asset Detail'!C:C,_xlfn.XMATCH(A332,'Asset Detail'!A:A,3)),"—"))</f>
        <v/>
      </c>
      <c r="G332" s="32" t="str" cm="1">
        <f t="array" ref="G332">IF(A332="","",IFERROR(INDEX('Asset Detail'!E:E,_xlfn.XMATCH(A332,'Asset Detail'!A:A,3)),"—"))</f>
        <v/>
      </c>
      <c r="H332" s="34"/>
      <c r="I332" s="39"/>
    </row>
    <row r="333" spans="1:9" x14ac:dyDescent="0.25">
      <c r="A333" s="23" t="str">
        <f t="shared" si="5"/>
        <v/>
      </c>
      <c r="B333" s="38"/>
      <c r="C333" s="34"/>
      <c r="D333" s="180" t="s">
        <v>4</v>
      </c>
      <c r="E333" s="32" t="str">
        <f>IF(A333="","",IF(COUNTIF('Asset Detail'!A:A,A333)&gt;0,"✓ Found","✗ Not Found"))</f>
        <v/>
      </c>
      <c r="F333" s="31" t="str" cm="1">
        <f t="array" ref="F333">IF(A333="","",IFERROR(INDEX('Asset Detail'!C:C,_xlfn.XMATCH(A333,'Asset Detail'!A:A,3)),"—"))</f>
        <v/>
      </c>
      <c r="G333" s="32" t="str" cm="1">
        <f t="array" ref="G333">IF(A333="","",IFERROR(INDEX('Asset Detail'!E:E,_xlfn.XMATCH(A333,'Asset Detail'!A:A,3)),"—"))</f>
        <v/>
      </c>
      <c r="H333" s="34"/>
      <c r="I333" s="39"/>
    </row>
    <row r="334" spans="1:9" x14ac:dyDescent="0.25">
      <c r="A334" s="23" t="str">
        <f t="shared" si="5"/>
        <v/>
      </c>
      <c r="B334" s="38"/>
      <c r="C334" s="34"/>
      <c r="D334" s="180" t="s">
        <v>4</v>
      </c>
      <c r="E334" s="32" t="str">
        <f>IF(A334="","",IF(COUNTIF('Asset Detail'!A:A,A334)&gt;0,"✓ Found","✗ Not Found"))</f>
        <v/>
      </c>
      <c r="F334" s="31" t="str" cm="1">
        <f t="array" ref="F334">IF(A334="","",IFERROR(INDEX('Asset Detail'!C:C,_xlfn.XMATCH(A334,'Asset Detail'!A:A,3)),"—"))</f>
        <v/>
      </c>
      <c r="G334" s="32" t="str" cm="1">
        <f t="array" ref="G334">IF(A334="","",IFERROR(INDEX('Asset Detail'!E:E,_xlfn.XMATCH(A334,'Asset Detail'!A:A,3)),"—"))</f>
        <v/>
      </c>
      <c r="H334" s="34"/>
      <c r="I334" s="39"/>
    </row>
    <row r="335" spans="1:9" x14ac:dyDescent="0.25">
      <c r="A335" s="23" t="str">
        <f t="shared" si="5"/>
        <v/>
      </c>
      <c r="B335" s="38"/>
      <c r="C335" s="34"/>
      <c r="D335" s="180" t="s">
        <v>4</v>
      </c>
      <c r="E335" s="32" t="str">
        <f>IF(A335="","",IF(COUNTIF('Asset Detail'!A:A,A335)&gt;0,"✓ Found","✗ Not Found"))</f>
        <v/>
      </c>
      <c r="F335" s="31" t="str" cm="1">
        <f t="array" ref="F335">IF(A335="","",IFERROR(INDEX('Asset Detail'!C:C,_xlfn.XMATCH(A335,'Asset Detail'!A:A,3)),"—"))</f>
        <v/>
      </c>
      <c r="G335" s="32" t="str" cm="1">
        <f t="array" ref="G335">IF(A335="","",IFERROR(INDEX('Asset Detail'!E:E,_xlfn.XMATCH(A335,'Asset Detail'!A:A,3)),"—"))</f>
        <v/>
      </c>
      <c r="H335" s="34"/>
      <c r="I335" s="39"/>
    </row>
    <row r="336" spans="1:9" x14ac:dyDescent="0.25">
      <c r="A336" s="23" t="str">
        <f t="shared" si="5"/>
        <v/>
      </c>
      <c r="B336" s="38"/>
      <c r="C336" s="34"/>
      <c r="D336" s="180" t="s">
        <v>4</v>
      </c>
      <c r="E336" s="32" t="str">
        <f>IF(A336="","",IF(COUNTIF('Asset Detail'!A:A,A336)&gt;0,"✓ Found","✗ Not Found"))</f>
        <v/>
      </c>
      <c r="F336" s="31" t="str" cm="1">
        <f t="array" ref="F336">IF(A336="","",IFERROR(INDEX('Asset Detail'!C:C,_xlfn.XMATCH(A336,'Asset Detail'!A:A,3)),"—"))</f>
        <v/>
      </c>
      <c r="G336" s="32" t="str" cm="1">
        <f t="array" ref="G336">IF(A336="","",IFERROR(INDEX('Asset Detail'!E:E,_xlfn.XMATCH(A336,'Asset Detail'!A:A,3)),"—"))</f>
        <v/>
      </c>
      <c r="H336" s="34"/>
      <c r="I336" s="39"/>
    </row>
    <row r="337" spans="1:9" x14ac:dyDescent="0.25">
      <c r="A337" s="23" t="str">
        <f t="shared" si="5"/>
        <v/>
      </c>
      <c r="B337" s="38"/>
      <c r="C337" s="34"/>
      <c r="D337" s="180" t="s">
        <v>4</v>
      </c>
      <c r="E337" s="32" t="str">
        <f>IF(A337="","",IF(COUNTIF('Asset Detail'!A:A,A337)&gt;0,"✓ Found","✗ Not Found"))</f>
        <v/>
      </c>
      <c r="F337" s="31" t="str" cm="1">
        <f t="array" ref="F337">IF(A337="","",IFERROR(INDEX('Asset Detail'!C:C,_xlfn.XMATCH(A337,'Asset Detail'!A:A,3)),"—"))</f>
        <v/>
      </c>
      <c r="G337" s="32" t="str" cm="1">
        <f t="array" ref="G337">IF(A337="","",IFERROR(INDEX('Asset Detail'!E:E,_xlfn.XMATCH(A337,'Asset Detail'!A:A,3)),"—"))</f>
        <v/>
      </c>
      <c r="H337" s="34"/>
      <c r="I337" s="39"/>
    </row>
    <row r="338" spans="1:9" x14ac:dyDescent="0.25">
      <c r="A338" s="23" t="str">
        <f t="shared" si="5"/>
        <v/>
      </c>
      <c r="B338" s="38"/>
      <c r="C338" s="34"/>
      <c r="D338" s="180" t="s">
        <v>4</v>
      </c>
      <c r="E338" s="32" t="str">
        <f>IF(A338="","",IF(COUNTIF('Asset Detail'!A:A,A338)&gt;0,"✓ Found","✗ Not Found"))</f>
        <v/>
      </c>
      <c r="F338" s="31" t="str" cm="1">
        <f t="array" ref="F338">IF(A338="","",IFERROR(INDEX('Asset Detail'!C:C,_xlfn.XMATCH(A338,'Asset Detail'!A:A,3)),"—"))</f>
        <v/>
      </c>
      <c r="G338" s="32" t="str" cm="1">
        <f t="array" ref="G338">IF(A338="","",IFERROR(INDEX('Asset Detail'!E:E,_xlfn.XMATCH(A338,'Asset Detail'!A:A,3)),"—"))</f>
        <v/>
      </c>
      <c r="H338" s="34"/>
      <c r="I338" s="39"/>
    </row>
    <row r="339" spans="1:9" x14ac:dyDescent="0.25">
      <c r="A339" s="23" t="str">
        <f t="shared" si="5"/>
        <v/>
      </c>
      <c r="B339" s="38"/>
      <c r="C339" s="34"/>
      <c r="D339" s="180" t="s">
        <v>4</v>
      </c>
      <c r="E339" s="32" t="str">
        <f>IF(A339="","",IF(COUNTIF('Asset Detail'!A:A,A339)&gt;0,"✓ Found","✗ Not Found"))</f>
        <v/>
      </c>
      <c r="F339" s="31" t="str" cm="1">
        <f t="array" ref="F339">IF(A339="","",IFERROR(INDEX('Asset Detail'!C:C,_xlfn.XMATCH(A339,'Asset Detail'!A:A,3)),"—"))</f>
        <v/>
      </c>
      <c r="G339" s="32" t="str" cm="1">
        <f t="array" ref="G339">IF(A339="","",IFERROR(INDEX('Asset Detail'!E:E,_xlfn.XMATCH(A339,'Asset Detail'!A:A,3)),"—"))</f>
        <v/>
      </c>
      <c r="H339" s="34"/>
      <c r="I339" s="39"/>
    </row>
    <row r="340" spans="1:9" x14ac:dyDescent="0.25">
      <c r="A340" s="23" t="str">
        <f t="shared" si="5"/>
        <v/>
      </c>
      <c r="B340" s="38"/>
      <c r="C340" s="34"/>
      <c r="D340" s="180" t="s">
        <v>4</v>
      </c>
      <c r="E340" s="32" t="str">
        <f>IF(A340="","",IF(COUNTIF('Asset Detail'!A:A,A340)&gt;0,"✓ Found","✗ Not Found"))</f>
        <v/>
      </c>
      <c r="F340" s="31" t="str" cm="1">
        <f t="array" ref="F340">IF(A340="","",IFERROR(INDEX('Asset Detail'!C:C,_xlfn.XMATCH(A340,'Asset Detail'!A:A,3)),"—"))</f>
        <v/>
      </c>
      <c r="G340" s="32" t="str" cm="1">
        <f t="array" ref="G340">IF(A340="","",IFERROR(INDEX('Asset Detail'!E:E,_xlfn.XMATCH(A340,'Asset Detail'!A:A,3)),"—"))</f>
        <v/>
      </c>
      <c r="H340" s="34"/>
      <c r="I340" s="39"/>
    </row>
    <row r="341" spans="1:9" x14ac:dyDescent="0.25">
      <c r="A341" s="23" t="str">
        <f t="shared" si="5"/>
        <v/>
      </c>
      <c r="B341" s="38"/>
      <c r="C341" s="34"/>
      <c r="D341" s="180" t="s">
        <v>4</v>
      </c>
      <c r="E341" s="32" t="str">
        <f>IF(A341="","",IF(COUNTIF('Asset Detail'!A:A,A341)&gt;0,"✓ Found","✗ Not Found"))</f>
        <v/>
      </c>
      <c r="F341" s="31" t="str" cm="1">
        <f t="array" ref="F341">IF(A341="","",IFERROR(INDEX('Asset Detail'!C:C,_xlfn.XMATCH(A341,'Asset Detail'!A:A,3)),"—"))</f>
        <v/>
      </c>
      <c r="G341" s="32" t="str" cm="1">
        <f t="array" ref="G341">IF(A341="","",IFERROR(INDEX('Asset Detail'!E:E,_xlfn.XMATCH(A341,'Asset Detail'!A:A,3)),"—"))</f>
        <v/>
      </c>
      <c r="H341" s="34"/>
      <c r="I341" s="39"/>
    </row>
    <row r="342" spans="1:9" x14ac:dyDescent="0.25">
      <c r="A342" s="23" t="str">
        <f t="shared" si="5"/>
        <v/>
      </c>
      <c r="B342" s="38"/>
      <c r="C342" s="34"/>
      <c r="D342" s="180" t="s">
        <v>4</v>
      </c>
      <c r="E342" s="32" t="str">
        <f>IF(A342="","",IF(COUNTIF('Asset Detail'!A:A,A342)&gt;0,"✓ Found","✗ Not Found"))</f>
        <v/>
      </c>
      <c r="F342" s="31" t="str" cm="1">
        <f t="array" ref="F342">IF(A342="","",IFERROR(INDEX('Asset Detail'!C:C,_xlfn.XMATCH(A342,'Asset Detail'!A:A,3)),"—"))</f>
        <v/>
      </c>
      <c r="G342" s="32" t="str" cm="1">
        <f t="array" ref="G342">IF(A342="","",IFERROR(INDEX('Asset Detail'!E:E,_xlfn.XMATCH(A342,'Asset Detail'!A:A,3)),"—"))</f>
        <v/>
      </c>
      <c r="H342" s="34"/>
      <c r="I342" s="39"/>
    </row>
    <row r="343" spans="1:9" x14ac:dyDescent="0.25">
      <c r="A343" s="23" t="str">
        <f t="shared" si="5"/>
        <v/>
      </c>
      <c r="B343" s="38"/>
      <c r="C343" s="34"/>
      <c r="D343" s="180" t="s">
        <v>4</v>
      </c>
      <c r="E343" s="32" t="str">
        <f>IF(A343="","",IF(COUNTIF('Asset Detail'!A:A,A343)&gt;0,"✓ Found","✗ Not Found"))</f>
        <v/>
      </c>
      <c r="F343" s="31" t="str" cm="1">
        <f t="array" ref="F343">IF(A343="","",IFERROR(INDEX('Asset Detail'!C:C,_xlfn.XMATCH(A343,'Asset Detail'!A:A,3)),"—"))</f>
        <v/>
      </c>
      <c r="G343" s="32" t="str" cm="1">
        <f t="array" ref="G343">IF(A343="","",IFERROR(INDEX('Asset Detail'!E:E,_xlfn.XMATCH(A343,'Asset Detail'!A:A,3)),"—"))</f>
        <v/>
      </c>
      <c r="H343" s="34"/>
      <c r="I343" s="39"/>
    </row>
    <row r="344" spans="1:9" x14ac:dyDescent="0.25">
      <c r="A344" s="23" t="str">
        <f t="shared" si="5"/>
        <v/>
      </c>
      <c r="B344" s="38"/>
      <c r="C344" s="34"/>
      <c r="D344" s="180" t="s">
        <v>4</v>
      </c>
      <c r="E344" s="32" t="str">
        <f>IF(A344="","",IF(COUNTIF('Asset Detail'!A:A,A344)&gt;0,"✓ Found","✗ Not Found"))</f>
        <v/>
      </c>
      <c r="F344" s="31" t="str" cm="1">
        <f t="array" ref="F344">IF(A344="","",IFERROR(INDEX('Asset Detail'!C:C,_xlfn.XMATCH(A344,'Asset Detail'!A:A,3)),"—"))</f>
        <v/>
      </c>
      <c r="G344" s="32" t="str" cm="1">
        <f t="array" ref="G344">IF(A344="","",IFERROR(INDEX('Asset Detail'!E:E,_xlfn.XMATCH(A344,'Asset Detail'!A:A,3)),"—"))</f>
        <v/>
      </c>
      <c r="H344" s="34"/>
      <c r="I344" s="39"/>
    </row>
    <row r="345" spans="1:9" x14ac:dyDescent="0.25">
      <c r="A345" s="23" t="str">
        <f t="shared" si="5"/>
        <v/>
      </c>
      <c r="B345" s="38"/>
      <c r="C345" s="34"/>
      <c r="D345" s="180" t="s">
        <v>4</v>
      </c>
      <c r="E345" s="32" t="str">
        <f>IF(A345="","",IF(COUNTIF('Asset Detail'!A:A,A345)&gt;0,"✓ Found","✗ Not Found"))</f>
        <v/>
      </c>
      <c r="F345" s="31" t="str" cm="1">
        <f t="array" ref="F345">IF(A345="","",IFERROR(INDEX('Asset Detail'!C:C,_xlfn.XMATCH(A345,'Asset Detail'!A:A,3)),"—"))</f>
        <v/>
      </c>
      <c r="G345" s="32" t="str" cm="1">
        <f t="array" ref="G345">IF(A345="","",IFERROR(INDEX('Asset Detail'!E:E,_xlfn.XMATCH(A345,'Asset Detail'!A:A,3)),"—"))</f>
        <v/>
      </c>
      <c r="H345" s="34"/>
      <c r="I345" s="39"/>
    </row>
    <row r="346" spans="1:9" x14ac:dyDescent="0.25">
      <c r="A346" s="23" t="str">
        <f t="shared" si="5"/>
        <v/>
      </c>
      <c r="B346" s="38"/>
      <c r="C346" s="34"/>
      <c r="D346" s="180" t="s">
        <v>4</v>
      </c>
      <c r="E346" s="32" t="str">
        <f>IF(A346="","",IF(COUNTIF('Asset Detail'!A:A,A346)&gt;0,"✓ Found","✗ Not Found"))</f>
        <v/>
      </c>
      <c r="F346" s="31" t="str" cm="1">
        <f t="array" ref="F346">IF(A346="","",IFERROR(INDEX('Asset Detail'!C:C,_xlfn.XMATCH(A346,'Asset Detail'!A:A,3)),"—"))</f>
        <v/>
      </c>
      <c r="G346" s="32" t="str" cm="1">
        <f t="array" ref="G346">IF(A346="","",IFERROR(INDEX('Asset Detail'!E:E,_xlfn.XMATCH(A346,'Asset Detail'!A:A,3)),"—"))</f>
        <v/>
      </c>
      <c r="H346" s="34"/>
      <c r="I346" s="39"/>
    </row>
    <row r="347" spans="1:9" x14ac:dyDescent="0.25">
      <c r="A347" s="23" t="str">
        <f t="shared" si="5"/>
        <v/>
      </c>
      <c r="B347" s="38"/>
      <c r="C347" s="34"/>
      <c r="D347" s="180" t="s">
        <v>4</v>
      </c>
      <c r="E347" s="32" t="str">
        <f>IF(A347="","",IF(COUNTIF('Asset Detail'!A:A,A347)&gt;0,"✓ Found","✗ Not Found"))</f>
        <v/>
      </c>
      <c r="F347" s="31" t="str" cm="1">
        <f t="array" ref="F347">IF(A347="","",IFERROR(INDEX('Asset Detail'!C:C,_xlfn.XMATCH(A347,'Asset Detail'!A:A,3)),"—"))</f>
        <v/>
      </c>
      <c r="G347" s="32" t="str" cm="1">
        <f t="array" ref="G347">IF(A347="","",IFERROR(INDEX('Asset Detail'!E:E,_xlfn.XMATCH(A347,'Asset Detail'!A:A,3)),"—"))</f>
        <v/>
      </c>
      <c r="H347" s="34"/>
      <c r="I347" s="39"/>
    </row>
    <row r="348" spans="1:9" x14ac:dyDescent="0.25">
      <c r="A348" s="23" t="str">
        <f t="shared" si="5"/>
        <v/>
      </c>
      <c r="B348" s="38"/>
      <c r="C348" s="34"/>
      <c r="D348" s="180" t="s">
        <v>4</v>
      </c>
      <c r="E348" s="32" t="str">
        <f>IF(A348="","",IF(COUNTIF('Asset Detail'!A:A,A348)&gt;0,"✓ Found","✗ Not Found"))</f>
        <v/>
      </c>
      <c r="F348" s="31" t="str" cm="1">
        <f t="array" ref="F348">IF(A348="","",IFERROR(INDEX('Asset Detail'!C:C,_xlfn.XMATCH(A348,'Asset Detail'!A:A,3)),"—"))</f>
        <v/>
      </c>
      <c r="G348" s="32" t="str" cm="1">
        <f t="array" ref="G348">IF(A348="","",IFERROR(INDEX('Asset Detail'!E:E,_xlfn.XMATCH(A348,'Asset Detail'!A:A,3)),"—"))</f>
        <v/>
      </c>
      <c r="H348" s="34"/>
      <c r="I348" s="39"/>
    </row>
    <row r="349" spans="1:9" x14ac:dyDescent="0.25">
      <c r="A349" s="23" t="str">
        <f t="shared" si="5"/>
        <v/>
      </c>
      <c r="B349" s="38"/>
      <c r="C349" s="34"/>
      <c r="D349" s="180" t="s">
        <v>4</v>
      </c>
      <c r="E349" s="32" t="str">
        <f>IF(A349="","",IF(COUNTIF('Asset Detail'!A:A,A349)&gt;0,"✓ Found","✗ Not Found"))</f>
        <v/>
      </c>
      <c r="F349" s="31" t="str" cm="1">
        <f t="array" ref="F349">IF(A349="","",IFERROR(INDEX('Asset Detail'!C:C,_xlfn.XMATCH(A349,'Asset Detail'!A:A,3)),"—"))</f>
        <v/>
      </c>
      <c r="G349" s="32" t="str" cm="1">
        <f t="array" ref="G349">IF(A349="","",IFERROR(INDEX('Asset Detail'!E:E,_xlfn.XMATCH(A349,'Asset Detail'!A:A,3)),"—"))</f>
        <v/>
      </c>
      <c r="H349" s="34"/>
      <c r="I349" s="39"/>
    </row>
    <row r="350" spans="1:9" x14ac:dyDescent="0.25">
      <c r="A350" s="23" t="str">
        <f t="shared" si="5"/>
        <v/>
      </c>
      <c r="B350" s="38"/>
      <c r="C350" s="34"/>
      <c r="D350" s="180" t="s">
        <v>4</v>
      </c>
      <c r="E350" s="32" t="str">
        <f>IF(A350="","",IF(COUNTIF('Asset Detail'!A:A,A350)&gt;0,"✓ Found","✗ Not Found"))</f>
        <v/>
      </c>
      <c r="F350" s="31" t="str" cm="1">
        <f t="array" ref="F350">IF(A350="","",IFERROR(INDEX('Asset Detail'!C:C,_xlfn.XMATCH(A350,'Asset Detail'!A:A,3)),"—"))</f>
        <v/>
      </c>
      <c r="G350" s="32" t="str" cm="1">
        <f t="array" ref="G350">IF(A350="","",IFERROR(INDEX('Asset Detail'!E:E,_xlfn.XMATCH(A350,'Asset Detail'!A:A,3)),"—"))</f>
        <v/>
      </c>
      <c r="H350" s="34"/>
      <c r="I350" s="39"/>
    </row>
    <row r="351" spans="1:9" x14ac:dyDescent="0.25">
      <c r="A351" s="23" t="str">
        <f t="shared" si="5"/>
        <v/>
      </c>
      <c r="B351" s="38"/>
      <c r="C351" s="34"/>
      <c r="D351" s="180" t="s">
        <v>4</v>
      </c>
      <c r="E351" s="32" t="str">
        <f>IF(A351="","",IF(COUNTIF('Asset Detail'!A:A,A351)&gt;0,"✓ Found","✗ Not Found"))</f>
        <v/>
      </c>
      <c r="F351" s="31" t="str" cm="1">
        <f t="array" ref="F351">IF(A351="","",IFERROR(INDEX('Asset Detail'!C:C,_xlfn.XMATCH(A351,'Asset Detail'!A:A,3)),"—"))</f>
        <v/>
      </c>
      <c r="G351" s="32" t="str" cm="1">
        <f t="array" ref="G351">IF(A351="","",IFERROR(INDEX('Asset Detail'!E:E,_xlfn.XMATCH(A351,'Asset Detail'!A:A,3)),"—"))</f>
        <v/>
      </c>
      <c r="H351" s="34"/>
      <c r="I351" s="39"/>
    </row>
    <row r="352" spans="1:9" x14ac:dyDescent="0.25">
      <c r="A352" s="23" t="str">
        <f t="shared" si="5"/>
        <v/>
      </c>
      <c r="B352" s="38"/>
      <c r="C352" s="34"/>
      <c r="D352" s="180" t="s">
        <v>4</v>
      </c>
      <c r="E352" s="32" t="str">
        <f>IF(A352="","",IF(COUNTIF('Asset Detail'!A:A,A352)&gt;0,"✓ Found","✗ Not Found"))</f>
        <v/>
      </c>
      <c r="F352" s="31" t="str" cm="1">
        <f t="array" ref="F352">IF(A352="","",IFERROR(INDEX('Asset Detail'!C:C,_xlfn.XMATCH(A352,'Asset Detail'!A:A,3)),"—"))</f>
        <v/>
      </c>
      <c r="G352" s="32" t="str" cm="1">
        <f t="array" ref="G352">IF(A352="","",IFERROR(INDEX('Asset Detail'!E:E,_xlfn.XMATCH(A352,'Asset Detail'!A:A,3)),"—"))</f>
        <v/>
      </c>
      <c r="H352" s="34"/>
      <c r="I352" s="39"/>
    </row>
    <row r="353" spans="1:9" x14ac:dyDescent="0.25">
      <c r="A353" s="23" t="str">
        <f t="shared" si="5"/>
        <v/>
      </c>
      <c r="B353" s="38"/>
      <c r="C353" s="34"/>
      <c r="D353" s="180" t="s">
        <v>4</v>
      </c>
      <c r="E353" s="32" t="str">
        <f>IF(A353="","",IF(COUNTIF('Asset Detail'!A:A,A353)&gt;0,"✓ Found","✗ Not Found"))</f>
        <v/>
      </c>
      <c r="F353" s="31" t="str" cm="1">
        <f t="array" ref="F353">IF(A353="","",IFERROR(INDEX('Asset Detail'!C:C,_xlfn.XMATCH(A353,'Asset Detail'!A:A,3)),"—"))</f>
        <v/>
      </c>
      <c r="G353" s="32" t="str" cm="1">
        <f t="array" ref="G353">IF(A353="","",IFERROR(INDEX('Asset Detail'!E:E,_xlfn.XMATCH(A353,'Asset Detail'!A:A,3)),"—"))</f>
        <v/>
      </c>
      <c r="H353" s="34"/>
      <c r="I353" s="39"/>
    </row>
    <row r="354" spans="1:9" x14ac:dyDescent="0.25">
      <c r="A354" s="23" t="str">
        <f t="shared" si="5"/>
        <v/>
      </c>
      <c r="B354" s="38"/>
      <c r="C354" s="34"/>
      <c r="D354" s="180" t="s">
        <v>4</v>
      </c>
      <c r="E354" s="32" t="str">
        <f>IF(A354="","",IF(COUNTIF('Asset Detail'!A:A,A354)&gt;0,"✓ Found","✗ Not Found"))</f>
        <v/>
      </c>
      <c r="F354" s="31" t="str" cm="1">
        <f t="array" ref="F354">IF(A354="","",IFERROR(INDEX('Asset Detail'!C:C,_xlfn.XMATCH(A354,'Asset Detail'!A:A,3)),"—"))</f>
        <v/>
      </c>
      <c r="G354" s="32" t="str" cm="1">
        <f t="array" ref="G354">IF(A354="","",IFERROR(INDEX('Asset Detail'!E:E,_xlfn.XMATCH(A354,'Asset Detail'!A:A,3)),"—"))</f>
        <v/>
      </c>
      <c r="H354" s="34"/>
      <c r="I354" s="39"/>
    </row>
    <row r="355" spans="1:9" x14ac:dyDescent="0.25">
      <c r="A355" s="23" t="str">
        <f t="shared" si="5"/>
        <v/>
      </c>
      <c r="B355" s="38"/>
      <c r="C355" s="34"/>
      <c r="D355" s="180" t="s">
        <v>4</v>
      </c>
      <c r="E355" s="32" t="str">
        <f>IF(A355="","",IF(COUNTIF('Asset Detail'!A:A,A355)&gt;0,"✓ Found","✗ Not Found"))</f>
        <v/>
      </c>
      <c r="F355" s="31" t="str" cm="1">
        <f t="array" ref="F355">IF(A355="","",IFERROR(INDEX('Asset Detail'!C:C,_xlfn.XMATCH(A355,'Asset Detail'!A:A,3)),"—"))</f>
        <v/>
      </c>
      <c r="G355" s="32" t="str" cm="1">
        <f t="array" ref="G355">IF(A355="","",IFERROR(INDEX('Asset Detail'!E:E,_xlfn.XMATCH(A355,'Asset Detail'!A:A,3)),"—"))</f>
        <v/>
      </c>
      <c r="H355" s="34"/>
      <c r="I355" s="39"/>
    </row>
    <row r="356" spans="1:9" x14ac:dyDescent="0.25">
      <c r="A356" s="23" t="str">
        <f t="shared" si="5"/>
        <v/>
      </c>
      <c r="B356" s="38"/>
      <c r="C356" s="34"/>
      <c r="D356" s="180" t="s">
        <v>4</v>
      </c>
      <c r="E356" s="32" t="str">
        <f>IF(A356="","",IF(COUNTIF('Asset Detail'!A:A,A356)&gt;0,"✓ Found","✗ Not Found"))</f>
        <v/>
      </c>
      <c r="F356" s="31" t="str" cm="1">
        <f t="array" ref="F356">IF(A356="","",IFERROR(INDEX('Asset Detail'!C:C,_xlfn.XMATCH(A356,'Asset Detail'!A:A,3)),"—"))</f>
        <v/>
      </c>
      <c r="G356" s="32" t="str" cm="1">
        <f t="array" ref="G356">IF(A356="","",IFERROR(INDEX('Asset Detail'!E:E,_xlfn.XMATCH(A356,'Asset Detail'!A:A,3)),"—"))</f>
        <v/>
      </c>
      <c r="H356" s="34"/>
      <c r="I356" s="39"/>
    </row>
    <row r="357" spans="1:9" x14ac:dyDescent="0.25">
      <c r="A357" s="23" t="str">
        <f t="shared" si="5"/>
        <v/>
      </c>
      <c r="B357" s="38"/>
      <c r="C357" s="34"/>
      <c r="D357" s="180" t="s">
        <v>4</v>
      </c>
      <c r="E357" s="32" t="str">
        <f>IF(A357="","",IF(COUNTIF('Asset Detail'!A:A,A357)&gt;0,"✓ Found","✗ Not Found"))</f>
        <v/>
      </c>
      <c r="F357" s="31" t="str" cm="1">
        <f t="array" ref="F357">IF(A357="","",IFERROR(INDEX('Asset Detail'!C:C,_xlfn.XMATCH(A357,'Asset Detail'!A:A,3)),"—"))</f>
        <v/>
      </c>
      <c r="G357" s="32" t="str" cm="1">
        <f t="array" ref="G357">IF(A357="","",IFERROR(INDEX('Asset Detail'!E:E,_xlfn.XMATCH(A357,'Asset Detail'!A:A,3)),"—"))</f>
        <v/>
      </c>
      <c r="H357" s="34"/>
      <c r="I357" s="39"/>
    </row>
    <row r="358" spans="1:9" x14ac:dyDescent="0.25">
      <c r="A358" s="23" t="str">
        <f t="shared" si="5"/>
        <v/>
      </c>
      <c r="B358" s="38"/>
      <c r="C358" s="34"/>
      <c r="D358" s="180" t="s">
        <v>4</v>
      </c>
      <c r="E358" s="32" t="str">
        <f>IF(A358="","",IF(COUNTIF('Asset Detail'!A:A,A358)&gt;0,"✓ Found","✗ Not Found"))</f>
        <v/>
      </c>
      <c r="F358" s="31" t="str" cm="1">
        <f t="array" ref="F358">IF(A358="","",IFERROR(INDEX('Asset Detail'!C:C,_xlfn.XMATCH(A358,'Asset Detail'!A:A,3)),"—"))</f>
        <v/>
      </c>
      <c r="G358" s="32" t="str" cm="1">
        <f t="array" ref="G358">IF(A358="","",IFERROR(INDEX('Asset Detail'!E:E,_xlfn.XMATCH(A358,'Asset Detail'!A:A,3)),"—"))</f>
        <v/>
      </c>
      <c r="H358" s="34"/>
      <c r="I358" s="39"/>
    </row>
    <row r="359" spans="1:9" x14ac:dyDescent="0.25">
      <c r="A359" s="23" t="str">
        <f t="shared" si="5"/>
        <v/>
      </c>
      <c r="B359" s="38"/>
      <c r="C359" s="34"/>
      <c r="D359" s="180" t="s">
        <v>4</v>
      </c>
      <c r="E359" s="32" t="str">
        <f>IF(A359="","",IF(COUNTIF('Asset Detail'!A:A,A359)&gt;0,"✓ Found","✗ Not Found"))</f>
        <v/>
      </c>
      <c r="F359" s="31" t="str" cm="1">
        <f t="array" ref="F359">IF(A359="","",IFERROR(INDEX('Asset Detail'!C:C,_xlfn.XMATCH(A359,'Asset Detail'!A:A,3)),"—"))</f>
        <v/>
      </c>
      <c r="G359" s="32" t="str" cm="1">
        <f t="array" ref="G359">IF(A359="","",IFERROR(INDEX('Asset Detail'!E:E,_xlfn.XMATCH(A359,'Asset Detail'!A:A,3)),"—"))</f>
        <v/>
      </c>
      <c r="H359" s="34"/>
      <c r="I359" s="39"/>
    </row>
    <row r="360" spans="1:9" x14ac:dyDescent="0.25">
      <c r="A360" s="23" t="str">
        <f t="shared" si="5"/>
        <v/>
      </c>
      <c r="B360" s="38"/>
      <c r="C360" s="34"/>
      <c r="D360" s="180" t="s">
        <v>4</v>
      </c>
      <c r="E360" s="32" t="str">
        <f>IF(A360="","",IF(COUNTIF('Asset Detail'!A:A,A360)&gt;0,"✓ Found","✗ Not Found"))</f>
        <v/>
      </c>
      <c r="F360" s="31" t="str" cm="1">
        <f t="array" ref="F360">IF(A360="","",IFERROR(INDEX('Asset Detail'!C:C,_xlfn.XMATCH(A360,'Asset Detail'!A:A,3)),"—"))</f>
        <v/>
      </c>
      <c r="G360" s="32" t="str" cm="1">
        <f t="array" ref="G360">IF(A360="","",IFERROR(INDEX('Asset Detail'!E:E,_xlfn.XMATCH(A360,'Asset Detail'!A:A,3)),"—"))</f>
        <v/>
      </c>
      <c r="H360" s="34"/>
      <c r="I360" s="39"/>
    </row>
    <row r="361" spans="1:9" x14ac:dyDescent="0.25">
      <c r="A361" s="23" t="str">
        <f t="shared" si="5"/>
        <v/>
      </c>
      <c r="B361" s="38"/>
      <c r="C361" s="34"/>
      <c r="D361" s="180" t="s">
        <v>4</v>
      </c>
      <c r="E361" s="32" t="str">
        <f>IF(A361="","",IF(COUNTIF('Asset Detail'!A:A,A361)&gt;0,"✓ Found","✗ Not Found"))</f>
        <v/>
      </c>
      <c r="F361" s="31" t="str" cm="1">
        <f t="array" ref="F361">IF(A361="","",IFERROR(INDEX('Asset Detail'!C:C,_xlfn.XMATCH(A361,'Asset Detail'!A:A,3)),"—"))</f>
        <v/>
      </c>
      <c r="G361" s="32" t="str" cm="1">
        <f t="array" ref="G361">IF(A361="","",IFERROR(INDEX('Asset Detail'!E:E,_xlfn.XMATCH(A361,'Asset Detail'!A:A,3)),"—"))</f>
        <v/>
      </c>
      <c r="H361" s="34"/>
      <c r="I361" s="39"/>
    </row>
    <row r="362" spans="1:9" x14ac:dyDescent="0.25">
      <c r="A362" s="23" t="str">
        <f t="shared" si="5"/>
        <v/>
      </c>
      <c r="B362" s="38"/>
      <c r="C362" s="34"/>
      <c r="D362" s="180" t="s">
        <v>4</v>
      </c>
      <c r="E362" s="32" t="str">
        <f>IF(A362="","",IF(COUNTIF('Asset Detail'!A:A,A362)&gt;0,"✓ Found","✗ Not Found"))</f>
        <v/>
      </c>
      <c r="F362" s="31" t="str" cm="1">
        <f t="array" ref="F362">IF(A362="","",IFERROR(INDEX('Asset Detail'!C:C,_xlfn.XMATCH(A362,'Asset Detail'!A:A,3)),"—"))</f>
        <v/>
      </c>
      <c r="G362" s="32" t="str" cm="1">
        <f t="array" ref="G362">IF(A362="","",IFERROR(INDEX('Asset Detail'!E:E,_xlfn.XMATCH(A362,'Asset Detail'!A:A,3)),"—"))</f>
        <v/>
      </c>
      <c r="H362" s="34"/>
      <c r="I362" s="39"/>
    </row>
    <row r="363" spans="1:9" x14ac:dyDescent="0.25">
      <c r="A363" s="23" t="str">
        <f t="shared" si="5"/>
        <v/>
      </c>
      <c r="B363" s="38"/>
      <c r="C363" s="34"/>
      <c r="D363" s="180" t="s">
        <v>4</v>
      </c>
      <c r="E363" s="32" t="str">
        <f>IF(A363="","",IF(COUNTIF('Asset Detail'!A:A,A363)&gt;0,"✓ Found","✗ Not Found"))</f>
        <v/>
      </c>
      <c r="F363" s="31" t="str" cm="1">
        <f t="array" ref="F363">IF(A363="","",IFERROR(INDEX('Asset Detail'!C:C,_xlfn.XMATCH(A363,'Asset Detail'!A:A,3)),"—"))</f>
        <v/>
      </c>
      <c r="G363" s="32" t="str" cm="1">
        <f t="array" ref="G363">IF(A363="","",IFERROR(INDEX('Asset Detail'!E:E,_xlfn.XMATCH(A363,'Asset Detail'!A:A,3)),"—"))</f>
        <v/>
      </c>
      <c r="H363" s="34"/>
      <c r="I363" s="39"/>
    </row>
    <row r="364" spans="1:9" x14ac:dyDescent="0.25">
      <c r="A364" s="23" t="str">
        <f t="shared" si="5"/>
        <v/>
      </c>
      <c r="B364" s="38"/>
      <c r="C364" s="34"/>
      <c r="D364" s="180" t="s">
        <v>4</v>
      </c>
      <c r="E364" s="32" t="str">
        <f>IF(A364="","",IF(COUNTIF('Asset Detail'!A:A,A364)&gt;0,"✓ Found","✗ Not Found"))</f>
        <v/>
      </c>
      <c r="F364" s="31" t="str" cm="1">
        <f t="array" ref="F364">IF(A364="","",IFERROR(INDEX('Asset Detail'!C:C,_xlfn.XMATCH(A364,'Asset Detail'!A:A,3)),"—"))</f>
        <v/>
      </c>
      <c r="G364" s="32" t="str" cm="1">
        <f t="array" ref="G364">IF(A364="","",IFERROR(INDEX('Asset Detail'!E:E,_xlfn.XMATCH(A364,'Asset Detail'!A:A,3)),"—"))</f>
        <v/>
      </c>
      <c r="H364" s="34"/>
      <c r="I364" s="39"/>
    </row>
    <row r="365" spans="1:9" x14ac:dyDescent="0.25">
      <c r="A365" s="23" t="str">
        <f t="shared" si="5"/>
        <v/>
      </c>
      <c r="B365" s="38"/>
      <c r="C365" s="34"/>
      <c r="D365" s="180" t="s">
        <v>4</v>
      </c>
      <c r="E365" s="32" t="str">
        <f>IF(A365="","",IF(COUNTIF('Asset Detail'!A:A,A365)&gt;0,"✓ Found","✗ Not Found"))</f>
        <v/>
      </c>
      <c r="F365" s="31" t="str" cm="1">
        <f t="array" ref="F365">IF(A365="","",IFERROR(INDEX('Asset Detail'!C:C,_xlfn.XMATCH(A365,'Asset Detail'!A:A,3)),"—"))</f>
        <v/>
      </c>
      <c r="G365" s="32" t="str" cm="1">
        <f t="array" ref="G365">IF(A365="","",IFERROR(INDEX('Asset Detail'!E:E,_xlfn.XMATCH(A365,'Asset Detail'!A:A,3)),"—"))</f>
        <v/>
      </c>
      <c r="H365" s="34"/>
      <c r="I365" s="39"/>
    </row>
    <row r="366" spans="1:9" x14ac:dyDescent="0.25">
      <c r="A366" s="23" t="str">
        <f t="shared" si="5"/>
        <v/>
      </c>
      <c r="B366" s="38"/>
      <c r="C366" s="34"/>
      <c r="D366" s="180" t="s">
        <v>4</v>
      </c>
      <c r="E366" s="32" t="str">
        <f>IF(A366="","",IF(COUNTIF('Asset Detail'!A:A,A366)&gt;0,"✓ Found","✗ Not Found"))</f>
        <v/>
      </c>
      <c r="F366" s="31" t="str" cm="1">
        <f t="array" ref="F366">IF(A366="","",IFERROR(INDEX('Asset Detail'!C:C,_xlfn.XMATCH(A366,'Asset Detail'!A:A,3)),"—"))</f>
        <v/>
      </c>
      <c r="G366" s="32" t="str" cm="1">
        <f t="array" ref="G366">IF(A366="","",IFERROR(INDEX('Asset Detail'!E:E,_xlfn.XMATCH(A366,'Asset Detail'!A:A,3)),"—"))</f>
        <v/>
      </c>
      <c r="H366" s="34"/>
      <c r="I366" s="39"/>
    </row>
    <row r="367" spans="1:9" x14ac:dyDescent="0.25">
      <c r="A367" s="23" t="str">
        <f t="shared" si="5"/>
        <v/>
      </c>
      <c r="B367" s="38"/>
      <c r="C367" s="34"/>
      <c r="D367" s="180" t="s">
        <v>4</v>
      </c>
      <c r="E367" s="32" t="str">
        <f>IF(A367="","",IF(COUNTIF('Asset Detail'!A:A,A367)&gt;0,"✓ Found","✗ Not Found"))</f>
        <v/>
      </c>
      <c r="F367" s="31" t="str" cm="1">
        <f t="array" ref="F367">IF(A367="","",IFERROR(INDEX('Asset Detail'!C:C,_xlfn.XMATCH(A367,'Asset Detail'!A:A,3)),"—"))</f>
        <v/>
      </c>
      <c r="G367" s="32" t="str" cm="1">
        <f t="array" ref="G367">IF(A367="","",IFERROR(INDEX('Asset Detail'!E:E,_xlfn.XMATCH(A367,'Asset Detail'!A:A,3)),"—"))</f>
        <v/>
      </c>
      <c r="H367" s="34"/>
      <c r="I367" s="39"/>
    </row>
    <row r="368" spans="1:9" x14ac:dyDescent="0.25">
      <c r="A368" s="23" t="str">
        <f t="shared" si="5"/>
        <v/>
      </c>
      <c r="B368" s="38"/>
      <c r="C368" s="34"/>
      <c r="D368" s="180" t="s">
        <v>4</v>
      </c>
      <c r="E368" s="32" t="str">
        <f>IF(A368="","",IF(COUNTIF('Asset Detail'!A:A,A368)&gt;0,"✓ Found","✗ Not Found"))</f>
        <v/>
      </c>
      <c r="F368" s="31" t="str" cm="1">
        <f t="array" ref="F368">IF(A368="","",IFERROR(INDEX('Asset Detail'!C:C,_xlfn.XMATCH(A368,'Asset Detail'!A:A,3)),"—"))</f>
        <v/>
      </c>
      <c r="G368" s="32" t="str" cm="1">
        <f t="array" ref="G368">IF(A368="","",IFERROR(INDEX('Asset Detail'!E:E,_xlfn.XMATCH(A368,'Asset Detail'!A:A,3)),"—"))</f>
        <v/>
      </c>
      <c r="H368" s="34"/>
      <c r="I368" s="39"/>
    </row>
    <row r="369" spans="1:9" x14ac:dyDescent="0.25">
      <c r="A369" s="23" t="str">
        <f t="shared" si="5"/>
        <v/>
      </c>
      <c r="B369" s="38"/>
      <c r="C369" s="34"/>
      <c r="D369" s="180" t="s">
        <v>4</v>
      </c>
      <c r="E369" s="32" t="str">
        <f>IF(A369="","",IF(COUNTIF('Asset Detail'!A:A,A369)&gt;0,"✓ Found","✗ Not Found"))</f>
        <v/>
      </c>
      <c r="F369" s="31" t="str" cm="1">
        <f t="array" ref="F369">IF(A369="","",IFERROR(INDEX('Asset Detail'!C:C,_xlfn.XMATCH(A369,'Asset Detail'!A:A,3)),"—"))</f>
        <v/>
      </c>
      <c r="G369" s="32" t="str" cm="1">
        <f t="array" ref="G369">IF(A369="","",IFERROR(INDEX('Asset Detail'!E:E,_xlfn.XMATCH(A369,'Asset Detail'!A:A,3)),"—"))</f>
        <v/>
      </c>
      <c r="H369" s="34"/>
      <c r="I369" s="39"/>
    </row>
    <row r="370" spans="1:9" x14ac:dyDescent="0.25">
      <c r="A370" s="23" t="str">
        <f t="shared" si="5"/>
        <v/>
      </c>
      <c r="B370" s="38"/>
      <c r="C370" s="34"/>
      <c r="D370" s="180" t="s">
        <v>4</v>
      </c>
      <c r="E370" s="32" t="str">
        <f>IF(A370="","",IF(COUNTIF('Asset Detail'!A:A,A370)&gt;0,"✓ Found","✗ Not Found"))</f>
        <v/>
      </c>
      <c r="F370" s="31" t="str" cm="1">
        <f t="array" ref="F370">IF(A370="","",IFERROR(INDEX('Asset Detail'!C:C,_xlfn.XMATCH(A370,'Asset Detail'!A:A,3)),"—"))</f>
        <v/>
      </c>
      <c r="G370" s="32" t="str" cm="1">
        <f t="array" ref="G370">IF(A370="","",IFERROR(INDEX('Asset Detail'!E:E,_xlfn.XMATCH(A370,'Asset Detail'!A:A,3)),"—"))</f>
        <v/>
      </c>
      <c r="H370" s="34"/>
      <c r="I370" s="39"/>
    </row>
    <row r="371" spans="1:9" x14ac:dyDescent="0.25">
      <c r="A371" s="23" t="str">
        <f t="shared" si="5"/>
        <v/>
      </c>
      <c r="B371" s="38"/>
      <c r="C371" s="34"/>
      <c r="D371" s="180" t="s">
        <v>4</v>
      </c>
      <c r="E371" s="32" t="str">
        <f>IF(A371="","",IF(COUNTIF('Asset Detail'!A:A,A371)&gt;0,"✓ Found","✗ Not Found"))</f>
        <v/>
      </c>
      <c r="F371" s="31" t="str" cm="1">
        <f t="array" ref="F371">IF(A371="","",IFERROR(INDEX('Asset Detail'!C:C,_xlfn.XMATCH(A371,'Asset Detail'!A:A,3)),"—"))</f>
        <v/>
      </c>
      <c r="G371" s="32" t="str" cm="1">
        <f t="array" ref="G371">IF(A371="","",IFERROR(INDEX('Asset Detail'!E:E,_xlfn.XMATCH(A371,'Asset Detail'!A:A,3)),"—"))</f>
        <v/>
      </c>
      <c r="H371" s="34"/>
      <c r="I371" s="39"/>
    </row>
    <row r="372" spans="1:9" x14ac:dyDescent="0.25">
      <c r="A372" s="23" t="str">
        <f t="shared" si="5"/>
        <v/>
      </c>
      <c r="B372" s="38"/>
      <c r="C372" s="34"/>
      <c r="D372" s="180" t="s">
        <v>4</v>
      </c>
      <c r="E372" s="32" t="str">
        <f>IF(A372="","",IF(COUNTIF('Asset Detail'!A:A,A372)&gt;0,"✓ Found","✗ Not Found"))</f>
        <v/>
      </c>
      <c r="F372" s="31" t="str" cm="1">
        <f t="array" ref="F372">IF(A372="","",IFERROR(INDEX('Asset Detail'!C:C,_xlfn.XMATCH(A372,'Asset Detail'!A:A,3)),"—"))</f>
        <v/>
      </c>
      <c r="G372" s="32" t="str" cm="1">
        <f t="array" ref="G372">IF(A372="","",IFERROR(INDEX('Asset Detail'!E:E,_xlfn.XMATCH(A372,'Asset Detail'!A:A,3)),"—"))</f>
        <v/>
      </c>
      <c r="H372" s="34"/>
      <c r="I372" s="39"/>
    </row>
    <row r="373" spans="1:9" x14ac:dyDescent="0.25">
      <c r="A373" s="23" t="str">
        <f t="shared" si="5"/>
        <v/>
      </c>
      <c r="B373" s="38"/>
      <c r="C373" s="34"/>
      <c r="D373" s="180" t="s">
        <v>4</v>
      </c>
      <c r="E373" s="32" t="str">
        <f>IF(A373="","",IF(COUNTIF('Asset Detail'!A:A,A373)&gt;0,"✓ Found","✗ Not Found"))</f>
        <v/>
      </c>
      <c r="F373" s="31" t="str" cm="1">
        <f t="array" ref="F373">IF(A373="","",IFERROR(INDEX('Asset Detail'!C:C,_xlfn.XMATCH(A373,'Asset Detail'!A:A,3)),"—"))</f>
        <v/>
      </c>
      <c r="G373" s="32" t="str" cm="1">
        <f t="array" ref="G373">IF(A373="","",IFERROR(INDEX('Asset Detail'!E:E,_xlfn.XMATCH(A373,'Asset Detail'!A:A,3)),"—"))</f>
        <v/>
      </c>
      <c r="H373" s="34"/>
      <c r="I373" s="39"/>
    </row>
    <row r="374" spans="1:9" x14ac:dyDescent="0.25">
      <c r="A374" s="23" t="str">
        <f t="shared" si="5"/>
        <v/>
      </c>
      <c r="B374" s="38"/>
      <c r="C374" s="34"/>
      <c r="D374" s="180" t="s">
        <v>4</v>
      </c>
      <c r="E374" s="32" t="str">
        <f>IF(A374="","",IF(COUNTIF('Asset Detail'!A:A,A374)&gt;0,"✓ Found","✗ Not Found"))</f>
        <v/>
      </c>
      <c r="F374" s="31" t="str" cm="1">
        <f t="array" ref="F374">IF(A374="","",IFERROR(INDEX('Asset Detail'!C:C,_xlfn.XMATCH(A374,'Asset Detail'!A:A,3)),"—"))</f>
        <v/>
      </c>
      <c r="G374" s="32" t="str" cm="1">
        <f t="array" ref="G374">IF(A374="","",IFERROR(INDEX('Asset Detail'!E:E,_xlfn.XMATCH(A374,'Asset Detail'!A:A,3)),"—"))</f>
        <v/>
      </c>
      <c r="H374" s="34"/>
      <c r="I374" s="39"/>
    </row>
    <row r="375" spans="1:9" x14ac:dyDescent="0.25">
      <c r="A375" s="23" t="str">
        <f t="shared" si="5"/>
        <v/>
      </c>
      <c r="B375" s="38"/>
      <c r="C375" s="34"/>
      <c r="D375" s="180" t="s">
        <v>4</v>
      </c>
      <c r="E375" s="32" t="str">
        <f>IF(A375="","",IF(COUNTIF('Asset Detail'!A:A,A375)&gt;0,"✓ Found","✗ Not Found"))</f>
        <v/>
      </c>
      <c r="F375" s="31" t="str" cm="1">
        <f t="array" ref="F375">IF(A375="","",IFERROR(INDEX('Asset Detail'!C:C,_xlfn.XMATCH(A375,'Asset Detail'!A:A,3)),"—"))</f>
        <v/>
      </c>
      <c r="G375" s="32" t="str" cm="1">
        <f t="array" ref="G375">IF(A375="","",IFERROR(INDEX('Asset Detail'!E:E,_xlfn.XMATCH(A375,'Asset Detail'!A:A,3)),"—"))</f>
        <v/>
      </c>
      <c r="H375" s="34"/>
      <c r="I375" s="39"/>
    </row>
    <row r="376" spans="1:9" x14ac:dyDescent="0.25">
      <c r="A376" s="23" t="str">
        <f t="shared" si="5"/>
        <v/>
      </c>
      <c r="B376" s="38"/>
      <c r="C376" s="34"/>
      <c r="D376" s="180" t="s">
        <v>4</v>
      </c>
      <c r="E376" s="32" t="str">
        <f>IF(A376="","",IF(COUNTIF('Asset Detail'!A:A,A376)&gt;0,"✓ Found","✗ Not Found"))</f>
        <v/>
      </c>
      <c r="F376" s="31" t="str" cm="1">
        <f t="array" ref="F376">IF(A376="","",IFERROR(INDEX('Asset Detail'!C:C,_xlfn.XMATCH(A376,'Asset Detail'!A:A,3)),"—"))</f>
        <v/>
      </c>
      <c r="G376" s="32" t="str" cm="1">
        <f t="array" ref="G376">IF(A376="","",IFERROR(INDEX('Asset Detail'!E:E,_xlfn.XMATCH(A376,'Asset Detail'!A:A,3)),"—"))</f>
        <v/>
      </c>
      <c r="H376" s="34"/>
      <c r="I376" s="39"/>
    </row>
    <row r="377" spans="1:9" x14ac:dyDescent="0.25">
      <c r="A377" s="23" t="str">
        <f t="shared" si="5"/>
        <v/>
      </c>
      <c r="B377" s="38"/>
      <c r="C377" s="34"/>
      <c r="D377" s="180" t="s">
        <v>4</v>
      </c>
      <c r="E377" s="32" t="str">
        <f>IF(A377="","",IF(COUNTIF('Asset Detail'!A:A,A377)&gt;0,"✓ Found","✗ Not Found"))</f>
        <v/>
      </c>
      <c r="F377" s="31" t="str" cm="1">
        <f t="array" ref="F377">IF(A377="","",IFERROR(INDEX('Asset Detail'!C:C,_xlfn.XMATCH(A377,'Asset Detail'!A:A,3)),"—"))</f>
        <v/>
      </c>
      <c r="G377" s="32" t="str" cm="1">
        <f t="array" ref="G377">IF(A377="","",IFERROR(INDEX('Asset Detail'!E:E,_xlfn.XMATCH(A377,'Asset Detail'!A:A,3)),"—"))</f>
        <v/>
      </c>
      <c r="H377" s="34"/>
      <c r="I377" s="39"/>
    </row>
    <row r="378" spans="1:9" x14ac:dyDescent="0.25">
      <c r="A378" s="23" t="str">
        <f t="shared" si="5"/>
        <v/>
      </c>
      <c r="B378" s="38"/>
      <c r="C378" s="34"/>
      <c r="D378" s="180" t="s">
        <v>4</v>
      </c>
      <c r="E378" s="32" t="str">
        <f>IF(A378="","",IF(COUNTIF('Asset Detail'!A:A,A378)&gt;0,"✓ Found","✗ Not Found"))</f>
        <v/>
      </c>
      <c r="F378" s="31" t="str" cm="1">
        <f t="array" ref="F378">IF(A378="","",IFERROR(INDEX('Asset Detail'!C:C,_xlfn.XMATCH(A378,'Asset Detail'!A:A,3)),"—"))</f>
        <v/>
      </c>
      <c r="G378" s="32" t="str" cm="1">
        <f t="array" ref="G378">IF(A378="","",IFERROR(INDEX('Asset Detail'!E:E,_xlfn.XMATCH(A378,'Asset Detail'!A:A,3)),"—"))</f>
        <v/>
      </c>
      <c r="H378" s="34"/>
      <c r="I378" s="39"/>
    </row>
    <row r="379" spans="1:9" x14ac:dyDescent="0.25">
      <c r="A379" s="23" t="str">
        <f t="shared" si="5"/>
        <v/>
      </c>
      <c r="B379" s="38"/>
      <c r="C379" s="34"/>
      <c r="D379" s="180" t="s">
        <v>4</v>
      </c>
      <c r="E379" s="32" t="str">
        <f>IF(A379="","",IF(COUNTIF('Asset Detail'!A:A,A379)&gt;0,"✓ Found","✗ Not Found"))</f>
        <v/>
      </c>
      <c r="F379" s="31" t="str" cm="1">
        <f t="array" ref="F379">IF(A379="","",IFERROR(INDEX('Asset Detail'!C:C,_xlfn.XMATCH(A379,'Asset Detail'!A:A,3)),"—"))</f>
        <v/>
      </c>
      <c r="G379" s="32" t="str" cm="1">
        <f t="array" ref="G379">IF(A379="","",IFERROR(INDEX('Asset Detail'!E:E,_xlfn.XMATCH(A379,'Asset Detail'!A:A,3)),"—"))</f>
        <v/>
      </c>
      <c r="H379" s="34"/>
      <c r="I379" s="39"/>
    </row>
    <row r="380" spans="1:9" x14ac:dyDescent="0.25">
      <c r="A380" s="23" t="str">
        <f t="shared" si="5"/>
        <v/>
      </c>
      <c r="B380" s="38"/>
      <c r="C380" s="34"/>
      <c r="D380" s="180" t="s">
        <v>4</v>
      </c>
      <c r="E380" s="32" t="str">
        <f>IF(A380="","",IF(COUNTIF('Asset Detail'!A:A,A380)&gt;0,"✓ Found","✗ Not Found"))</f>
        <v/>
      </c>
      <c r="F380" s="31" t="str" cm="1">
        <f t="array" ref="F380">IF(A380="","",IFERROR(INDEX('Asset Detail'!C:C,_xlfn.XMATCH(A380,'Asset Detail'!A:A,3)),"—"))</f>
        <v/>
      </c>
      <c r="G380" s="32" t="str" cm="1">
        <f t="array" ref="G380">IF(A380="","",IFERROR(INDEX('Asset Detail'!E:E,_xlfn.XMATCH(A380,'Asset Detail'!A:A,3)),"—"))</f>
        <v/>
      </c>
      <c r="H380" s="34"/>
      <c r="I380" s="39"/>
    </row>
    <row r="381" spans="1:9" x14ac:dyDescent="0.25">
      <c r="A381" s="23" t="str">
        <f t="shared" si="5"/>
        <v/>
      </c>
      <c r="B381" s="38"/>
      <c r="C381" s="34"/>
      <c r="D381" s="180" t="s">
        <v>4</v>
      </c>
      <c r="E381" s="32" t="str">
        <f>IF(A381="","",IF(COUNTIF('Asset Detail'!A:A,A381)&gt;0,"✓ Found","✗ Not Found"))</f>
        <v/>
      </c>
      <c r="F381" s="31" t="str" cm="1">
        <f t="array" ref="F381">IF(A381="","",IFERROR(INDEX('Asset Detail'!C:C,_xlfn.XMATCH(A381,'Asset Detail'!A:A,3)),"—"))</f>
        <v/>
      </c>
      <c r="G381" s="32" t="str" cm="1">
        <f t="array" ref="G381">IF(A381="","",IFERROR(INDEX('Asset Detail'!E:E,_xlfn.XMATCH(A381,'Asset Detail'!A:A,3)),"—"))</f>
        <v/>
      </c>
      <c r="H381" s="34"/>
      <c r="I381" s="39"/>
    </row>
    <row r="382" spans="1:9" x14ac:dyDescent="0.25">
      <c r="A382" s="23" t="str">
        <f t="shared" si="5"/>
        <v/>
      </c>
      <c r="B382" s="38"/>
      <c r="C382" s="34"/>
      <c r="D382" s="180" t="s">
        <v>4</v>
      </c>
      <c r="E382" s="32" t="str">
        <f>IF(A382="","",IF(COUNTIF('Asset Detail'!A:A,A382)&gt;0,"✓ Found","✗ Not Found"))</f>
        <v/>
      </c>
      <c r="F382" s="31" t="str" cm="1">
        <f t="array" ref="F382">IF(A382="","",IFERROR(INDEX('Asset Detail'!C:C,_xlfn.XMATCH(A382,'Asset Detail'!A:A,3)),"—"))</f>
        <v/>
      </c>
      <c r="G382" s="32" t="str" cm="1">
        <f t="array" ref="G382">IF(A382="","",IFERROR(INDEX('Asset Detail'!E:E,_xlfn.XMATCH(A382,'Asset Detail'!A:A,3)),"—"))</f>
        <v/>
      </c>
      <c r="H382" s="34"/>
      <c r="I382" s="39"/>
    </row>
    <row r="383" spans="1:9" x14ac:dyDescent="0.25">
      <c r="A383" s="23" t="str">
        <f t="shared" si="5"/>
        <v/>
      </c>
      <c r="B383" s="38"/>
      <c r="C383" s="34"/>
      <c r="D383" s="180" t="s">
        <v>4</v>
      </c>
      <c r="E383" s="32" t="str">
        <f>IF(A383="","",IF(COUNTIF('Asset Detail'!A:A,A383)&gt;0,"✓ Found","✗ Not Found"))</f>
        <v/>
      </c>
      <c r="F383" s="31" t="str" cm="1">
        <f t="array" ref="F383">IF(A383="","",IFERROR(INDEX('Asset Detail'!C:C,_xlfn.XMATCH(A383,'Asset Detail'!A:A,3)),"—"))</f>
        <v/>
      </c>
      <c r="G383" s="32" t="str" cm="1">
        <f t="array" ref="G383">IF(A383="","",IFERROR(INDEX('Asset Detail'!E:E,_xlfn.XMATCH(A383,'Asset Detail'!A:A,3)),"—"))</f>
        <v/>
      </c>
      <c r="H383" s="34"/>
      <c r="I383" s="39"/>
    </row>
    <row r="384" spans="1:9" x14ac:dyDescent="0.25">
      <c r="A384" s="23" t="str">
        <f t="shared" si="5"/>
        <v/>
      </c>
      <c r="B384" s="38"/>
      <c r="C384" s="34"/>
      <c r="D384" s="180" t="s">
        <v>4</v>
      </c>
      <c r="E384" s="32" t="str">
        <f>IF(A384="","",IF(COUNTIF('Asset Detail'!A:A,A384)&gt;0,"✓ Found","✗ Not Found"))</f>
        <v/>
      </c>
      <c r="F384" s="31" t="str" cm="1">
        <f t="array" ref="F384">IF(A384="","",IFERROR(INDEX('Asset Detail'!C:C,_xlfn.XMATCH(A384,'Asset Detail'!A:A,3)),"—"))</f>
        <v/>
      </c>
      <c r="G384" s="32" t="str" cm="1">
        <f t="array" ref="G384">IF(A384="","",IFERROR(INDEX('Asset Detail'!E:E,_xlfn.XMATCH(A384,'Asset Detail'!A:A,3)),"—"))</f>
        <v/>
      </c>
      <c r="H384" s="34"/>
      <c r="I384" s="39"/>
    </row>
    <row r="385" spans="1:9" x14ac:dyDescent="0.25">
      <c r="A385" s="23" t="str">
        <f t="shared" si="5"/>
        <v/>
      </c>
      <c r="B385" s="38"/>
      <c r="C385" s="34"/>
      <c r="D385" s="180" t="s">
        <v>4</v>
      </c>
      <c r="E385" s="32" t="str">
        <f>IF(A385="","",IF(COUNTIF('Asset Detail'!A:A,A385)&gt;0,"✓ Found","✗ Not Found"))</f>
        <v/>
      </c>
      <c r="F385" s="31" t="str" cm="1">
        <f t="array" ref="F385">IF(A385="","",IFERROR(INDEX('Asset Detail'!C:C,_xlfn.XMATCH(A385,'Asset Detail'!A:A,3)),"—"))</f>
        <v/>
      </c>
      <c r="G385" s="32" t="str" cm="1">
        <f t="array" ref="G385">IF(A385="","",IFERROR(INDEX('Asset Detail'!E:E,_xlfn.XMATCH(A385,'Asset Detail'!A:A,3)),"—"))</f>
        <v/>
      </c>
      <c r="H385" s="34"/>
      <c r="I385" s="39"/>
    </row>
    <row r="386" spans="1:9" x14ac:dyDescent="0.25">
      <c r="A386" s="23" t="str">
        <f t="shared" si="5"/>
        <v/>
      </c>
      <c r="B386" s="38"/>
      <c r="C386" s="34"/>
      <c r="D386" s="180" t="s">
        <v>4</v>
      </c>
      <c r="E386" s="32" t="str">
        <f>IF(A386="","",IF(COUNTIF('Asset Detail'!A:A,A386)&gt;0,"✓ Found","✗ Not Found"))</f>
        <v/>
      </c>
      <c r="F386" s="31" t="str" cm="1">
        <f t="array" ref="F386">IF(A386="","",IFERROR(INDEX('Asset Detail'!C:C,_xlfn.XMATCH(A386,'Asset Detail'!A:A,3)),"—"))</f>
        <v/>
      </c>
      <c r="G386" s="32" t="str" cm="1">
        <f t="array" ref="G386">IF(A386="","",IFERROR(INDEX('Asset Detail'!E:E,_xlfn.XMATCH(A386,'Asset Detail'!A:A,3)),"—"))</f>
        <v/>
      </c>
      <c r="H386" s="34"/>
      <c r="I386" s="39"/>
    </row>
    <row r="387" spans="1:9" x14ac:dyDescent="0.25">
      <c r="A387" s="23" t="str">
        <f t="shared" si="5"/>
        <v/>
      </c>
      <c r="B387" s="38"/>
      <c r="C387" s="34"/>
      <c r="D387" s="180" t="s">
        <v>4</v>
      </c>
      <c r="E387" s="32" t="str">
        <f>IF(A387="","",IF(COUNTIF('Asset Detail'!A:A,A387)&gt;0,"✓ Found","✗ Not Found"))</f>
        <v/>
      </c>
      <c r="F387" s="31" t="str" cm="1">
        <f t="array" ref="F387">IF(A387="","",IFERROR(INDEX('Asset Detail'!C:C,_xlfn.XMATCH(A387,'Asset Detail'!A:A,3)),"—"))</f>
        <v/>
      </c>
      <c r="G387" s="32" t="str" cm="1">
        <f t="array" ref="G387">IF(A387="","",IFERROR(INDEX('Asset Detail'!E:E,_xlfn.XMATCH(A387,'Asset Detail'!A:A,3)),"—"))</f>
        <v/>
      </c>
      <c r="H387" s="34"/>
      <c r="I387" s="39"/>
    </row>
    <row r="388" spans="1:9" x14ac:dyDescent="0.25">
      <c r="A388" s="23" t="str">
        <f t="shared" si="5"/>
        <v/>
      </c>
      <c r="B388" s="38"/>
      <c r="C388" s="34"/>
      <c r="D388" s="180" t="s">
        <v>4</v>
      </c>
      <c r="E388" s="32" t="str">
        <f>IF(A388="","",IF(COUNTIF('Asset Detail'!A:A,A388)&gt;0,"✓ Found","✗ Not Found"))</f>
        <v/>
      </c>
      <c r="F388" s="31" t="str" cm="1">
        <f t="array" ref="F388">IF(A388="","",IFERROR(INDEX('Asset Detail'!C:C,_xlfn.XMATCH(A388,'Asset Detail'!A:A,3)),"—"))</f>
        <v/>
      </c>
      <c r="G388" s="32" t="str" cm="1">
        <f t="array" ref="G388">IF(A388="","",IFERROR(INDEX('Asset Detail'!E:E,_xlfn.XMATCH(A388,'Asset Detail'!A:A,3)),"—"))</f>
        <v/>
      </c>
      <c r="H388" s="34"/>
      <c r="I388" s="39"/>
    </row>
    <row r="389" spans="1:9" x14ac:dyDescent="0.25">
      <c r="A389" s="23" t="str">
        <f t="shared" si="5"/>
        <v/>
      </c>
      <c r="B389" s="38"/>
      <c r="C389" s="34"/>
      <c r="D389" s="180" t="s">
        <v>4</v>
      </c>
      <c r="E389" s="32" t="str">
        <f>IF(A389="","",IF(COUNTIF('Asset Detail'!A:A,A389)&gt;0,"✓ Found","✗ Not Found"))</f>
        <v/>
      </c>
      <c r="F389" s="31" t="str" cm="1">
        <f t="array" ref="F389">IF(A389="","",IFERROR(INDEX('Asset Detail'!C:C,_xlfn.XMATCH(A389,'Asset Detail'!A:A,3)),"—"))</f>
        <v/>
      </c>
      <c r="G389" s="32" t="str" cm="1">
        <f t="array" ref="G389">IF(A389="","",IFERROR(INDEX('Asset Detail'!E:E,_xlfn.XMATCH(A389,'Asset Detail'!A:A,3)),"—"))</f>
        <v/>
      </c>
      <c r="H389" s="34"/>
      <c r="I389" s="39"/>
    </row>
    <row r="390" spans="1:9" x14ac:dyDescent="0.25">
      <c r="A390" s="23" t="str">
        <f t="shared" si="5"/>
        <v/>
      </c>
      <c r="B390" s="38"/>
      <c r="C390" s="34"/>
      <c r="D390" s="180" t="s">
        <v>4</v>
      </c>
      <c r="E390" s="32" t="str">
        <f>IF(A390="","",IF(COUNTIF('Asset Detail'!A:A,A390)&gt;0,"✓ Found","✗ Not Found"))</f>
        <v/>
      </c>
      <c r="F390" s="31" t="str" cm="1">
        <f t="array" ref="F390">IF(A390="","",IFERROR(INDEX('Asset Detail'!C:C,_xlfn.XMATCH(A390,'Asset Detail'!A:A,3)),"—"))</f>
        <v/>
      </c>
      <c r="G390" s="32" t="str" cm="1">
        <f t="array" ref="G390">IF(A390="","",IFERROR(INDEX('Asset Detail'!E:E,_xlfn.XMATCH(A390,'Asset Detail'!A:A,3)),"—"))</f>
        <v/>
      </c>
      <c r="H390" s="34"/>
      <c r="I390" s="39"/>
    </row>
    <row r="391" spans="1:9" x14ac:dyDescent="0.25">
      <c r="A391" s="23" t="str">
        <f t="shared" si="5"/>
        <v/>
      </c>
      <c r="B391" s="38"/>
      <c r="C391" s="34"/>
      <c r="D391" s="180" t="s">
        <v>4</v>
      </c>
      <c r="E391" s="32" t="str">
        <f>IF(A391="","",IF(COUNTIF('Asset Detail'!A:A,A391)&gt;0,"✓ Found","✗ Not Found"))</f>
        <v/>
      </c>
      <c r="F391" s="31" t="str" cm="1">
        <f t="array" ref="F391">IF(A391="","",IFERROR(INDEX('Asset Detail'!C:C,_xlfn.XMATCH(A391,'Asset Detail'!A:A,3)),"—"))</f>
        <v/>
      </c>
      <c r="G391" s="32" t="str" cm="1">
        <f t="array" ref="G391">IF(A391="","",IFERROR(INDEX('Asset Detail'!E:E,_xlfn.XMATCH(A391,'Asset Detail'!A:A,3)),"—"))</f>
        <v/>
      </c>
      <c r="H391" s="34"/>
      <c r="I391" s="39"/>
    </row>
    <row r="392" spans="1:9" x14ac:dyDescent="0.25">
      <c r="A392" s="23" t="str">
        <f t="shared" si="5"/>
        <v/>
      </c>
      <c r="B392" s="38"/>
      <c r="C392" s="34"/>
      <c r="D392" s="180" t="s">
        <v>4</v>
      </c>
      <c r="E392" s="32" t="str">
        <f>IF(A392="","",IF(COUNTIF('Asset Detail'!A:A,A392)&gt;0,"✓ Found","✗ Not Found"))</f>
        <v/>
      </c>
      <c r="F392" s="31" t="str" cm="1">
        <f t="array" ref="F392">IF(A392="","",IFERROR(INDEX('Asset Detail'!C:C,_xlfn.XMATCH(A392,'Asset Detail'!A:A,3)),"—"))</f>
        <v/>
      </c>
      <c r="G392" s="32" t="str" cm="1">
        <f t="array" ref="G392">IF(A392="","",IFERROR(INDEX('Asset Detail'!E:E,_xlfn.XMATCH(A392,'Asset Detail'!A:A,3)),"—"))</f>
        <v/>
      </c>
      <c r="H392" s="34"/>
      <c r="I392" s="39"/>
    </row>
    <row r="393" spans="1:9" x14ac:dyDescent="0.25">
      <c r="A393" s="23" t="str">
        <f t="shared" ref="A393:A455" si="6">SUBSTITUTE(I393, "S", "")</f>
        <v/>
      </c>
      <c r="B393" s="38"/>
      <c r="C393" s="34"/>
      <c r="D393" s="180" t="s">
        <v>4</v>
      </c>
      <c r="E393" s="32" t="str">
        <f>IF(A393="","",IF(COUNTIF('Asset Detail'!A:A,A393)&gt;0,"✓ Found","✗ Not Found"))</f>
        <v/>
      </c>
      <c r="F393" s="31" t="str" cm="1">
        <f t="array" ref="F393">IF(A393="","",IFERROR(INDEX('Asset Detail'!C:C,_xlfn.XMATCH(A393,'Asset Detail'!A:A,3)),"—"))</f>
        <v/>
      </c>
      <c r="G393" s="32" t="str" cm="1">
        <f t="array" ref="G393">IF(A393="","",IFERROR(INDEX('Asset Detail'!E:E,_xlfn.XMATCH(A393,'Asset Detail'!A:A,3)),"—"))</f>
        <v/>
      </c>
      <c r="H393" s="34"/>
      <c r="I393" s="39"/>
    </row>
    <row r="394" spans="1:9" x14ac:dyDescent="0.25">
      <c r="A394" s="23" t="str">
        <f t="shared" si="6"/>
        <v/>
      </c>
      <c r="B394" s="38"/>
      <c r="C394" s="34"/>
      <c r="D394" s="180" t="s">
        <v>4</v>
      </c>
      <c r="E394" s="32" t="str">
        <f>IF(A394="","",IF(COUNTIF('Asset Detail'!A:A,A394)&gt;0,"✓ Found","✗ Not Found"))</f>
        <v/>
      </c>
      <c r="F394" s="31" t="str" cm="1">
        <f t="array" ref="F394">IF(A394="","",IFERROR(INDEX('Asset Detail'!C:C,_xlfn.XMATCH(A394,'Asset Detail'!A:A,3)),"—"))</f>
        <v/>
      </c>
      <c r="G394" s="32" t="str" cm="1">
        <f t="array" ref="G394">IF(A394="","",IFERROR(INDEX('Asset Detail'!E:E,_xlfn.XMATCH(A394,'Asset Detail'!A:A,3)),"—"))</f>
        <v/>
      </c>
      <c r="H394" s="34"/>
      <c r="I394" s="39"/>
    </row>
    <row r="395" spans="1:9" x14ac:dyDescent="0.25">
      <c r="A395" s="23" t="str">
        <f t="shared" si="6"/>
        <v/>
      </c>
      <c r="B395" s="38"/>
      <c r="C395" s="34"/>
      <c r="D395" s="180" t="s">
        <v>4</v>
      </c>
      <c r="E395" s="32" t="str">
        <f>IF(A395="","",IF(COUNTIF('Asset Detail'!A:A,A395)&gt;0,"✓ Found","✗ Not Found"))</f>
        <v/>
      </c>
      <c r="F395" s="31" t="str" cm="1">
        <f t="array" ref="F395">IF(A395="","",IFERROR(INDEX('Asset Detail'!C:C,_xlfn.XMATCH(A395,'Asset Detail'!A:A,3)),"—"))</f>
        <v/>
      </c>
      <c r="G395" s="32" t="str" cm="1">
        <f t="array" ref="G395">IF(A395="","",IFERROR(INDEX('Asset Detail'!E:E,_xlfn.XMATCH(A395,'Asset Detail'!A:A,3)),"—"))</f>
        <v/>
      </c>
      <c r="H395" s="34"/>
      <c r="I395" s="39"/>
    </row>
    <row r="396" spans="1:9" x14ac:dyDescent="0.25">
      <c r="A396" s="23" t="str">
        <f t="shared" si="6"/>
        <v/>
      </c>
      <c r="B396" s="38"/>
      <c r="C396" s="34"/>
      <c r="D396" s="180" t="s">
        <v>4</v>
      </c>
      <c r="E396" s="32" t="str">
        <f>IF(A396="","",IF(COUNTIF('Asset Detail'!A:A,A396)&gt;0,"✓ Found","✗ Not Found"))</f>
        <v/>
      </c>
      <c r="F396" s="31" t="str" cm="1">
        <f t="array" ref="F396">IF(A396="","",IFERROR(INDEX('Asset Detail'!C:C,_xlfn.XMATCH(A396,'Asset Detail'!A:A,3)),"—"))</f>
        <v/>
      </c>
      <c r="G396" s="32" t="str" cm="1">
        <f t="array" ref="G396">IF(A396="","",IFERROR(INDEX('Asset Detail'!E:E,_xlfn.XMATCH(A396,'Asset Detail'!A:A,3)),"—"))</f>
        <v/>
      </c>
      <c r="H396" s="34"/>
      <c r="I396" s="39"/>
    </row>
    <row r="397" spans="1:9" x14ac:dyDescent="0.25">
      <c r="A397" s="23" t="str">
        <f t="shared" si="6"/>
        <v/>
      </c>
      <c r="B397" s="38"/>
      <c r="C397" s="34"/>
      <c r="D397" s="180" t="s">
        <v>4</v>
      </c>
      <c r="E397" s="32" t="str">
        <f>IF(A397="","",IF(COUNTIF('Asset Detail'!A:A,A397)&gt;0,"✓ Found","✗ Not Found"))</f>
        <v/>
      </c>
      <c r="F397" s="31" t="str" cm="1">
        <f t="array" ref="F397">IF(A397="","",IFERROR(INDEX('Asset Detail'!C:C,_xlfn.XMATCH(A397,'Asset Detail'!A:A,3)),"—"))</f>
        <v/>
      </c>
      <c r="G397" s="32" t="str" cm="1">
        <f t="array" ref="G397">IF(A397="","",IFERROR(INDEX('Asset Detail'!E:E,_xlfn.XMATCH(A397,'Asset Detail'!A:A,3)),"—"))</f>
        <v/>
      </c>
      <c r="H397" s="34"/>
      <c r="I397" s="39"/>
    </row>
    <row r="398" spans="1:9" x14ac:dyDescent="0.25">
      <c r="A398" s="23" t="str">
        <f t="shared" si="6"/>
        <v/>
      </c>
      <c r="B398" s="38"/>
      <c r="C398" s="34"/>
      <c r="D398" s="180" t="s">
        <v>4</v>
      </c>
      <c r="E398" s="32" t="str">
        <f>IF(A398="","",IF(COUNTIF('Asset Detail'!A:A,A398)&gt;0,"✓ Found","✗ Not Found"))</f>
        <v/>
      </c>
      <c r="F398" s="31" t="str" cm="1">
        <f t="array" ref="F398">IF(A398="","",IFERROR(INDEX('Asset Detail'!C:C,_xlfn.XMATCH(A398,'Asset Detail'!A:A,3)),"—"))</f>
        <v/>
      </c>
      <c r="G398" s="32" t="str" cm="1">
        <f t="array" ref="G398">IF(A398="","",IFERROR(INDEX('Asset Detail'!E:E,_xlfn.XMATCH(A398,'Asset Detail'!A:A,3)),"—"))</f>
        <v/>
      </c>
      <c r="H398" s="34"/>
      <c r="I398" s="39"/>
    </row>
    <row r="399" spans="1:9" x14ac:dyDescent="0.25">
      <c r="A399" s="23" t="str">
        <f t="shared" si="6"/>
        <v/>
      </c>
      <c r="B399" s="38"/>
      <c r="C399" s="34"/>
      <c r="D399" s="180" t="s">
        <v>4</v>
      </c>
      <c r="E399" s="32" t="str">
        <f>IF(A399="","",IF(COUNTIF('Asset Detail'!A:A,A399)&gt;0,"✓ Found","✗ Not Found"))</f>
        <v/>
      </c>
      <c r="F399" s="31" t="str" cm="1">
        <f t="array" ref="F399">IF(A399="","",IFERROR(INDEX('Asset Detail'!C:C,_xlfn.XMATCH(A399,'Asset Detail'!A:A,3)),"—"))</f>
        <v/>
      </c>
      <c r="G399" s="32" t="str" cm="1">
        <f t="array" ref="G399">IF(A399="","",IFERROR(INDEX('Asset Detail'!E:E,_xlfn.XMATCH(A399,'Asset Detail'!A:A,3)),"—"))</f>
        <v/>
      </c>
      <c r="H399" s="34"/>
      <c r="I399" s="39"/>
    </row>
    <row r="400" spans="1:9" x14ac:dyDescent="0.25">
      <c r="A400" s="23" t="str">
        <f t="shared" si="6"/>
        <v/>
      </c>
      <c r="B400" s="38"/>
      <c r="C400" s="34"/>
      <c r="D400" s="180" t="s">
        <v>4</v>
      </c>
      <c r="E400" s="32" t="str">
        <f>IF(A400="","",IF(COUNTIF('Asset Detail'!A:A,A400)&gt;0,"✓ Found","✗ Not Found"))</f>
        <v/>
      </c>
      <c r="F400" s="31" t="str" cm="1">
        <f t="array" ref="F400">IF(A400="","",IFERROR(INDEX('Asset Detail'!C:C,_xlfn.XMATCH(A400,'Asset Detail'!A:A,3)),"—"))</f>
        <v/>
      </c>
      <c r="G400" s="32" t="str" cm="1">
        <f t="array" ref="G400">IF(A400="","",IFERROR(INDEX('Asset Detail'!E:E,_xlfn.XMATCH(A400,'Asset Detail'!A:A,3)),"—"))</f>
        <v/>
      </c>
      <c r="H400" s="34"/>
      <c r="I400" s="39"/>
    </row>
    <row r="401" spans="1:9" x14ac:dyDescent="0.25">
      <c r="A401" s="23" t="str">
        <f t="shared" si="6"/>
        <v/>
      </c>
      <c r="B401" s="38"/>
      <c r="C401" s="34"/>
      <c r="D401" s="180" t="s">
        <v>4</v>
      </c>
      <c r="E401" s="32" t="str">
        <f>IF(A401="","",IF(COUNTIF('Asset Detail'!A:A,A401)&gt;0,"✓ Found","✗ Not Found"))</f>
        <v/>
      </c>
      <c r="F401" s="31" t="str" cm="1">
        <f t="array" ref="F401">IF(A401="","",IFERROR(INDEX('Asset Detail'!C:C,_xlfn.XMATCH(A401,'Asset Detail'!A:A,3)),"—"))</f>
        <v/>
      </c>
      <c r="G401" s="32" t="str" cm="1">
        <f t="array" ref="G401">IF(A401="","",IFERROR(INDEX('Asset Detail'!E:E,_xlfn.XMATCH(A401,'Asset Detail'!A:A,3)),"—"))</f>
        <v/>
      </c>
      <c r="H401" s="34"/>
      <c r="I401" s="39"/>
    </row>
    <row r="402" spans="1:9" x14ac:dyDescent="0.25">
      <c r="A402" s="23" t="str">
        <f t="shared" si="6"/>
        <v/>
      </c>
      <c r="B402" s="38"/>
      <c r="C402" s="34"/>
      <c r="D402" s="180" t="s">
        <v>4</v>
      </c>
      <c r="E402" s="32" t="str">
        <f>IF(A402="","",IF(COUNTIF('Asset Detail'!A:A,A402)&gt;0,"✓ Found","✗ Not Found"))</f>
        <v/>
      </c>
      <c r="F402" s="31" t="str" cm="1">
        <f t="array" ref="F402">IF(A402="","",IFERROR(INDEX('Asset Detail'!C:C,_xlfn.XMATCH(A402,'Asset Detail'!A:A,3)),"—"))</f>
        <v/>
      </c>
      <c r="G402" s="32" t="str" cm="1">
        <f t="array" ref="G402">IF(A402="","",IFERROR(INDEX('Asset Detail'!E:E,_xlfn.XMATCH(A402,'Asset Detail'!A:A,3)),"—"))</f>
        <v/>
      </c>
      <c r="H402" s="34"/>
      <c r="I402" s="39"/>
    </row>
    <row r="403" spans="1:9" x14ac:dyDescent="0.25">
      <c r="A403" s="23" t="str">
        <f t="shared" si="6"/>
        <v/>
      </c>
      <c r="B403" s="38"/>
      <c r="C403" s="34"/>
      <c r="D403" s="180" t="s">
        <v>4</v>
      </c>
      <c r="E403" s="32" t="str">
        <f>IF(A403="","",IF(COUNTIF('Asset Detail'!A:A,A403)&gt;0,"✓ Found","✗ Not Found"))</f>
        <v/>
      </c>
      <c r="F403" s="31" t="str" cm="1">
        <f t="array" ref="F403">IF(A403="","",IFERROR(INDEX('Asset Detail'!C:C,_xlfn.XMATCH(A403,'Asset Detail'!A:A,3)),"—"))</f>
        <v/>
      </c>
      <c r="G403" s="32" t="str" cm="1">
        <f t="array" ref="G403">IF(A403="","",IFERROR(INDEX('Asset Detail'!E:E,_xlfn.XMATCH(A403,'Asset Detail'!A:A,3)),"—"))</f>
        <v/>
      </c>
      <c r="H403" s="34"/>
      <c r="I403" s="39"/>
    </row>
    <row r="404" spans="1:9" x14ac:dyDescent="0.25">
      <c r="A404" s="23" t="str">
        <f t="shared" si="6"/>
        <v/>
      </c>
      <c r="B404" s="38"/>
      <c r="C404" s="34"/>
      <c r="D404" s="180" t="s">
        <v>4</v>
      </c>
      <c r="E404" s="32" t="str">
        <f>IF(A404="","",IF(COUNTIF('Asset Detail'!A:A,A404)&gt;0,"✓ Found","✗ Not Found"))</f>
        <v/>
      </c>
      <c r="F404" s="31" t="str" cm="1">
        <f t="array" ref="F404">IF(A404="","",IFERROR(INDEX('Asset Detail'!C:C,_xlfn.XMATCH(A404,'Asset Detail'!A:A,3)),"—"))</f>
        <v/>
      </c>
      <c r="G404" s="32" t="str" cm="1">
        <f t="array" ref="G404">IF(A404="","",IFERROR(INDEX('Asset Detail'!E:E,_xlfn.XMATCH(A404,'Asset Detail'!A:A,3)),"—"))</f>
        <v/>
      </c>
      <c r="H404" s="34"/>
      <c r="I404" s="39"/>
    </row>
    <row r="405" spans="1:9" x14ac:dyDescent="0.25">
      <c r="A405" s="23" t="str">
        <f t="shared" si="6"/>
        <v/>
      </c>
      <c r="B405" s="38"/>
      <c r="C405" s="34"/>
      <c r="D405" s="180" t="s">
        <v>4</v>
      </c>
      <c r="E405" s="32" t="str">
        <f>IF(A405="","",IF(COUNTIF('Asset Detail'!A:A,A405)&gt;0,"✓ Found","✗ Not Found"))</f>
        <v/>
      </c>
      <c r="F405" s="31" t="str" cm="1">
        <f t="array" ref="F405">IF(A405="","",IFERROR(INDEX('Asset Detail'!C:C,_xlfn.XMATCH(A405,'Asset Detail'!A:A,3)),"—"))</f>
        <v/>
      </c>
      <c r="G405" s="32" t="str" cm="1">
        <f t="array" ref="G405">IF(A405="","",IFERROR(INDEX('Asset Detail'!E:E,_xlfn.XMATCH(A405,'Asset Detail'!A:A,3)),"—"))</f>
        <v/>
      </c>
      <c r="H405" s="34"/>
      <c r="I405" s="39"/>
    </row>
    <row r="406" spans="1:9" x14ac:dyDescent="0.25">
      <c r="A406" s="23" t="str">
        <f t="shared" si="6"/>
        <v/>
      </c>
      <c r="B406" s="38"/>
      <c r="C406" s="34"/>
      <c r="D406" s="180" t="s">
        <v>4</v>
      </c>
      <c r="E406" s="32" t="str">
        <f>IF(A406="","",IF(COUNTIF('Asset Detail'!A:A,A406)&gt;0,"✓ Found","✗ Not Found"))</f>
        <v/>
      </c>
      <c r="F406" s="31" t="str" cm="1">
        <f t="array" ref="F406">IF(A406="","",IFERROR(INDEX('Asset Detail'!C:C,_xlfn.XMATCH(A406,'Asset Detail'!A:A,3)),"—"))</f>
        <v/>
      </c>
      <c r="G406" s="32" t="str" cm="1">
        <f t="array" ref="G406">IF(A406="","",IFERROR(INDEX('Asset Detail'!E:E,_xlfn.XMATCH(A406,'Asset Detail'!A:A,3)),"—"))</f>
        <v/>
      </c>
      <c r="H406" s="34"/>
      <c r="I406" s="39"/>
    </row>
    <row r="407" spans="1:9" x14ac:dyDescent="0.25">
      <c r="A407" s="23" t="str">
        <f t="shared" si="6"/>
        <v/>
      </c>
      <c r="B407" s="38"/>
      <c r="C407" s="34"/>
      <c r="D407" s="180" t="s">
        <v>4</v>
      </c>
      <c r="E407" s="32" t="str">
        <f>IF(A407="","",IF(COUNTIF('Asset Detail'!A:A,A407)&gt;0,"✓ Found","✗ Not Found"))</f>
        <v/>
      </c>
      <c r="F407" s="31" t="str" cm="1">
        <f t="array" ref="F407">IF(A407="","",IFERROR(INDEX('Asset Detail'!C:C,_xlfn.XMATCH(A407,'Asset Detail'!A:A,3)),"—"))</f>
        <v/>
      </c>
      <c r="G407" s="32" t="str" cm="1">
        <f t="array" ref="G407">IF(A407="","",IFERROR(INDEX('Asset Detail'!E:E,_xlfn.XMATCH(A407,'Asset Detail'!A:A,3)),"—"))</f>
        <v/>
      </c>
      <c r="H407" s="34"/>
      <c r="I407" s="39"/>
    </row>
    <row r="408" spans="1:9" x14ac:dyDescent="0.25">
      <c r="A408" s="23" t="str">
        <f t="shared" si="6"/>
        <v/>
      </c>
      <c r="B408" s="38"/>
      <c r="C408" s="34"/>
      <c r="D408" s="180" t="s">
        <v>4</v>
      </c>
      <c r="E408" s="32" t="str">
        <f>IF(A408="","",IF(COUNTIF('Asset Detail'!A:A,A408)&gt;0,"✓ Found","✗ Not Found"))</f>
        <v/>
      </c>
      <c r="F408" s="31" t="str" cm="1">
        <f t="array" ref="F408">IF(A408="","",IFERROR(INDEX('Asset Detail'!C:C,_xlfn.XMATCH(A408,'Asset Detail'!A:A,3)),"—"))</f>
        <v/>
      </c>
      <c r="G408" s="32" t="str" cm="1">
        <f t="array" ref="G408">IF(A408="","",IFERROR(INDEX('Asset Detail'!E:E,_xlfn.XMATCH(A408,'Asset Detail'!A:A,3)),"—"))</f>
        <v/>
      </c>
      <c r="H408" s="34"/>
      <c r="I408" s="39"/>
    </row>
    <row r="409" spans="1:9" x14ac:dyDescent="0.25">
      <c r="A409" s="23" t="str">
        <f t="shared" si="6"/>
        <v/>
      </c>
      <c r="B409" s="38"/>
      <c r="C409" s="34"/>
      <c r="D409" s="180" t="s">
        <v>4</v>
      </c>
      <c r="E409" s="32" t="str">
        <f>IF(A409="","",IF(COUNTIF('Asset Detail'!A:A,A409)&gt;0,"✓ Found","✗ Not Found"))</f>
        <v/>
      </c>
      <c r="F409" s="31" t="str" cm="1">
        <f t="array" ref="F409">IF(A409="","",IFERROR(INDEX('Asset Detail'!C:C,_xlfn.XMATCH(A409,'Asset Detail'!A:A,3)),"—"))</f>
        <v/>
      </c>
      <c r="G409" s="32" t="str" cm="1">
        <f t="array" ref="G409">IF(A409="","",IFERROR(INDEX('Asset Detail'!E:E,_xlfn.XMATCH(A409,'Asset Detail'!A:A,3)),"—"))</f>
        <v/>
      </c>
      <c r="H409" s="34"/>
      <c r="I409" s="39"/>
    </row>
    <row r="410" spans="1:9" x14ac:dyDescent="0.25">
      <c r="A410" s="23" t="str">
        <f t="shared" si="6"/>
        <v/>
      </c>
      <c r="B410" s="38"/>
      <c r="C410" s="34"/>
      <c r="D410" s="180" t="s">
        <v>4</v>
      </c>
      <c r="E410" s="32" t="str">
        <f>IF(A410="","",IF(COUNTIF('Asset Detail'!A:A,A410)&gt;0,"✓ Found","✗ Not Found"))</f>
        <v/>
      </c>
      <c r="F410" s="31" t="str" cm="1">
        <f t="array" ref="F410">IF(A410="","",IFERROR(INDEX('Asset Detail'!C:C,_xlfn.XMATCH(A410,'Asset Detail'!A:A,3)),"—"))</f>
        <v/>
      </c>
      <c r="G410" s="32" t="str" cm="1">
        <f t="array" ref="G410">IF(A410="","",IFERROR(INDEX('Asset Detail'!E:E,_xlfn.XMATCH(A410,'Asset Detail'!A:A,3)),"—"))</f>
        <v/>
      </c>
      <c r="H410" s="34"/>
      <c r="I410" s="39"/>
    </row>
    <row r="411" spans="1:9" x14ac:dyDescent="0.25">
      <c r="A411" s="23" t="str">
        <f t="shared" si="6"/>
        <v/>
      </c>
      <c r="B411" s="38"/>
      <c r="C411" s="34"/>
      <c r="D411" s="180" t="s">
        <v>4</v>
      </c>
      <c r="E411" s="32" t="str">
        <f>IF(A411="","",IF(COUNTIF('Asset Detail'!A:A,A411)&gt;0,"✓ Found","✗ Not Found"))</f>
        <v/>
      </c>
      <c r="F411" s="31" t="str" cm="1">
        <f t="array" ref="F411">IF(A411="","",IFERROR(INDEX('Asset Detail'!C:C,_xlfn.XMATCH(A411,'Asset Detail'!A:A,3)),"—"))</f>
        <v/>
      </c>
      <c r="G411" s="32" t="str" cm="1">
        <f t="array" ref="G411">IF(A411="","",IFERROR(INDEX('Asset Detail'!E:E,_xlfn.XMATCH(A411,'Asset Detail'!A:A,3)),"—"))</f>
        <v/>
      </c>
      <c r="H411" s="34"/>
      <c r="I411" s="39"/>
    </row>
    <row r="412" spans="1:9" x14ac:dyDescent="0.25">
      <c r="A412" s="23" t="str">
        <f t="shared" si="6"/>
        <v/>
      </c>
      <c r="B412" s="38"/>
      <c r="C412" s="34"/>
      <c r="D412" s="180" t="s">
        <v>4</v>
      </c>
      <c r="E412" s="32" t="str">
        <f>IF(A412="","",IF(COUNTIF('Asset Detail'!A:A,A412)&gt;0,"✓ Found","✗ Not Found"))</f>
        <v/>
      </c>
      <c r="F412" s="31" t="str" cm="1">
        <f t="array" ref="F412">IF(A412="","",IFERROR(INDEX('Asset Detail'!C:C,_xlfn.XMATCH(A412,'Asset Detail'!A:A,3)),"—"))</f>
        <v/>
      </c>
      <c r="G412" s="32" t="str" cm="1">
        <f t="array" ref="G412">IF(A412="","",IFERROR(INDEX('Asset Detail'!E:E,_xlfn.XMATCH(A412,'Asset Detail'!A:A,3)),"—"))</f>
        <v/>
      </c>
      <c r="H412" s="34"/>
      <c r="I412" s="39"/>
    </row>
    <row r="413" spans="1:9" x14ac:dyDescent="0.25">
      <c r="A413" s="23" t="str">
        <f t="shared" si="6"/>
        <v/>
      </c>
      <c r="B413" s="38"/>
      <c r="C413" s="34"/>
      <c r="D413" s="180" t="s">
        <v>4</v>
      </c>
      <c r="E413" s="32" t="str">
        <f>IF(A413="","",IF(COUNTIF('Asset Detail'!A:A,A413)&gt;0,"✓ Found","✗ Not Found"))</f>
        <v/>
      </c>
      <c r="F413" s="31" t="str" cm="1">
        <f t="array" ref="F413">IF(A413="","",IFERROR(INDEX('Asset Detail'!C:C,_xlfn.XMATCH(A413,'Asset Detail'!A:A,3)),"—"))</f>
        <v/>
      </c>
      <c r="G413" s="32" t="str" cm="1">
        <f t="array" ref="G413">IF(A413="","",IFERROR(INDEX('Asset Detail'!E:E,_xlfn.XMATCH(A413,'Asset Detail'!A:A,3)),"—"))</f>
        <v/>
      </c>
      <c r="H413" s="34"/>
      <c r="I413" s="39"/>
    </row>
    <row r="414" spans="1:9" x14ac:dyDescent="0.25">
      <c r="A414" s="23" t="str">
        <f t="shared" si="6"/>
        <v/>
      </c>
      <c r="B414" s="38"/>
      <c r="C414" s="34"/>
      <c r="D414" s="180" t="s">
        <v>4</v>
      </c>
      <c r="E414" s="32" t="str">
        <f>IF(A414="","",IF(COUNTIF('Asset Detail'!A:A,A414)&gt;0,"✓ Found","✗ Not Found"))</f>
        <v/>
      </c>
      <c r="F414" s="31" t="str" cm="1">
        <f t="array" ref="F414">IF(A414="","",IFERROR(INDEX('Asset Detail'!C:C,_xlfn.XMATCH(A414,'Asset Detail'!A:A,3)),"—"))</f>
        <v/>
      </c>
      <c r="G414" s="32" t="str" cm="1">
        <f t="array" ref="G414">IF(A414="","",IFERROR(INDEX('Asset Detail'!E:E,_xlfn.XMATCH(A414,'Asset Detail'!A:A,3)),"—"))</f>
        <v/>
      </c>
      <c r="H414" s="34"/>
      <c r="I414" s="39"/>
    </row>
    <row r="415" spans="1:9" x14ac:dyDescent="0.25">
      <c r="A415" s="23" t="str">
        <f t="shared" si="6"/>
        <v/>
      </c>
      <c r="B415" s="38"/>
      <c r="C415" s="34"/>
      <c r="D415" s="180" t="s">
        <v>4</v>
      </c>
      <c r="E415" s="32" t="str">
        <f>IF(A415="","",IF(COUNTIF('Asset Detail'!A:A,A415)&gt;0,"✓ Found","✗ Not Found"))</f>
        <v/>
      </c>
      <c r="F415" s="31" t="str" cm="1">
        <f t="array" ref="F415">IF(A415="","",IFERROR(INDEX('Asset Detail'!C:C,_xlfn.XMATCH(A415,'Asset Detail'!A:A,3)),"—"))</f>
        <v/>
      </c>
      <c r="G415" s="32" t="str" cm="1">
        <f t="array" ref="G415">IF(A415="","",IFERROR(INDEX('Asset Detail'!E:E,_xlfn.XMATCH(A415,'Asset Detail'!A:A,3)),"—"))</f>
        <v/>
      </c>
      <c r="H415" s="34"/>
      <c r="I415" s="39"/>
    </row>
    <row r="416" spans="1:9" x14ac:dyDescent="0.25">
      <c r="A416" s="23" t="str">
        <f t="shared" si="6"/>
        <v/>
      </c>
      <c r="B416" s="38"/>
      <c r="C416" s="34"/>
      <c r="D416" s="180" t="s">
        <v>4</v>
      </c>
      <c r="E416" s="32" t="str">
        <f>IF(A416="","",IF(COUNTIF('Asset Detail'!A:A,A416)&gt;0,"✓ Found","✗ Not Found"))</f>
        <v/>
      </c>
      <c r="F416" s="31" t="str" cm="1">
        <f t="array" ref="F416">IF(A416="","",IFERROR(INDEX('Asset Detail'!C:C,_xlfn.XMATCH(A416,'Asset Detail'!A:A,3)),"—"))</f>
        <v/>
      </c>
      <c r="G416" s="32" t="str" cm="1">
        <f t="array" ref="G416">IF(A416="","",IFERROR(INDEX('Asset Detail'!E:E,_xlfn.XMATCH(A416,'Asset Detail'!A:A,3)),"—"))</f>
        <v/>
      </c>
      <c r="H416" s="34"/>
      <c r="I416" s="39"/>
    </row>
    <row r="417" spans="1:9" x14ac:dyDescent="0.25">
      <c r="A417" s="23" t="str">
        <f t="shared" si="6"/>
        <v/>
      </c>
      <c r="B417" s="38"/>
      <c r="C417" s="34"/>
      <c r="D417" s="180" t="s">
        <v>4</v>
      </c>
      <c r="E417" s="32" t="str">
        <f>IF(A417="","",IF(COUNTIF('Asset Detail'!A:A,A417)&gt;0,"✓ Found","✗ Not Found"))</f>
        <v/>
      </c>
      <c r="F417" s="31" t="str" cm="1">
        <f t="array" ref="F417">IF(A417="","",IFERROR(INDEX('Asset Detail'!C:C,_xlfn.XMATCH(A417,'Asset Detail'!A:A,3)),"—"))</f>
        <v/>
      </c>
      <c r="G417" s="32" t="str" cm="1">
        <f t="array" ref="G417">IF(A417="","",IFERROR(INDEX('Asset Detail'!E:E,_xlfn.XMATCH(A417,'Asset Detail'!A:A,3)),"—"))</f>
        <v/>
      </c>
      <c r="H417" s="34"/>
      <c r="I417" s="39"/>
    </row>
    <row r="418" spans="1:9" x14ac:dyDescent="0.25">
      <c r="A418" s="23" t="str">
        <f t="shared" si="6"/>
        <v/>
      </c>
      <c r="B418" s="38"/>
      <c r="C418" s="34"/>
      <c r="D418" s="180" t="s">
        <v>4</v>
      </c>
      <c r="E418" s="32" t="str">
        <f>IF(A418="","",IF(COUNTIF('Asset Detail'!A:A,A418)&gt;0,"✓ Found","✗ Not Found"))</f>
        <v/>
      </c>
      <c r="F418" s="31" t="str" cm="1">
        <f t="array" ref="F418">IF(A418="","",IFERROR(INDEX('Asset Detail'!C:C,_xlfn.XMATCH(A418,'Asset Detail'!A:A,3)),"—"))</f>
        <v/>
      </c>
      <c r="G418" s="32" t="str" cm="1">
        <f t="array" ref="G418">IF(A418="","",IFERROR(INDEX('Asset Detail'!E:E,_xlfn.XMATCH(A418,'Asset Detail'!A:A,3)),"—"))</f>
        <v/>
      </c>
      <c r="H418" s="34"/>
      <c r="I418" s="39"/>
    </row>
    <row r="419" spans="1:9" x14ac:dyDescent="0.25">
      <c r="A419" s="23" t="str">
        <f t="shared" si="6"/>
        <v/>
      </c>
      <c r="B419" s="38"/>
      <c r="C419" s="34"/>
      <c r="D419" s="180" t="s">
        <v>4</v>
      </c>
      <c r="E419" s="32" t="str">
        <f>IF(A419="","",IF(COUNTIF('Asset Detail'!A:A,A419)&gt;0,"✓ Found","✗ Not Found"))</f>
        <v/>
      </c>
      <c r="F419" s="31" t="str" cm="1">
        <f t="array" ref="F419">IF(A419="","",IFERROR(INDEX('Asset Detail'!C:C,_xlfn.XMATCH(A419,'Asset Detail'!A:A,3)),"—"))</f>
        <v/>
      </c>
      <c r="G419" s="32" t="str" cm="1">
        <f t="array" ref="G419">IF(A419="","",IFERROR(INDEX('Asset Detail'!E:E,_xlfn.XMATCH(A419,'Asset Detail'!A:A,3)),"—"))</f>
        <v/>
      </c>
      <c r="H419" s="34"/>
      <c r="I419" s="39"/>
    </row>
    <row r="420" spans="1:9" x14ac:dyDescent="0.25">
      <c r="A420" s="23" t="str">
        <f t="shared" si="6"/>
        <v/>
      </c>
      <c r="B420" s="38"/>
      <c r="C420" s="34"/>
      <c r="D420" s="180" t="s">
        <v>4</v>
      </c>
      <c r="E420" s="32" t="str">
        <f>IF(A420="","",IF(COUNTIF('Asset Detail'!A:A,A420)&gt;0,"✓ Found","✗ Not Found"))</f>
        <v/>
      </c>
      <c r="F420" s="31" t="str" cm="1">
        <f t="array" ref="F420">IF(A420="","",IFERROR(INDEX('Asset Detail'!C:C,_xlfn.XMATCH(A420,'Asset Detail'!A:A,3)),"—"))</f>
        <v/>
      </c>
      <c r="G420" s="32" t="str" cm="1">
        <f t="array" ref="G420">IF(A420="","",IFERROR(INDEX('Asset Detail'!E:E,_xlfn.XMATCH(A420,'Asset Detail'!A:A,3)),"—"))</f>
        <v/>
      </c>
      <c r="H420" s="34"/>
      <c r="I420" s="39"/>
    </row>
    <row r="421" spans="1:9" x14ac:dyDescent="0.25">
      <c r="A421" s="23" t="str">
        <f t="shared" si="6"/>
        <v/>
      </c>
      <c r="B421" s="38"/>
      <c r="C421" s="34"/>
      <c r="D421" s="180" t="s">
        <v>4</v>
      </c>
      <c r="E421" s="32" t="str">
        <f>IF(A421="","",IF(COUNTIF('Asset Detail'!A:A,A421)&gt;0,"✓ Found","✗ Not Found"))</f>
        <v/>
      </c>
      <c r="F421" s="31" t="str" cm="1">
        <f t="array" ref="F421">IF(A421="","",IFERROR(INDEX('Asset Detail'!C:C,_xlfn.XMATCH(A421,'Asset Detail'!A:A,3)),"—"))</f>
        <v/>
      </c>
      <c r="G421" s="32" t="str" cm="1">
        <f t="array" ref="G421">IF(A421="","",IFERROR(INDEX('Asset Detail'!E:E,_xlfn.XMATCH(A421,'Asset Detail'!A:A,3)),"—"))</f>
        <v/>
      </c>
      <c r="H421" s="34"/>
      <c r="I421" s="39"/>
    </row>
    <row r="422" spans="1:9" x14ac:dyDescent="0.25">
      <c r="A422" s="23" t="str">
        <f t="shared" si="6"/>
        <v/>
      </c>
      <c r="B422" s="38"/>
      <c r="C422" s="34"/>
      <c r="D422" s="180" t="s">
        <v>4</v>
      </c>
      <c r="E422" s="32" t="str">
        <f>IF(A422="","",IF(COUNTIF('Asset Detail'!A:A,A422)&gt;0,"✓ Found","✗ Not Found"))</f>
        <v/>
      </c>
      <c r="F422" s="31" t="str" cm="1">
        <f t="array" ref="F422">IF(A422="","",IFERROR(INDEX('Asset Detail'!C:C,_xlfn.XMATCH(A422,'Asset Detail'!A:A,3)),"—"))</f>
        <v/>
      </c>
      <c r="G422" s="32" t="str" cm="1">
        <f t="array" ref="G422">IF(A422="","",IFERROR(INDEX('Asset Detail'!E:E,_xlfn.XMATCH(A422,'Asset Detail'!A:A,3)),"—"))</f>
        <v/>
      </c>
      <c r="H422" s="34"/>
      <c r="I422" s="39"/>
    </row>
    <row r="423" spans="1:9" x14ac:dyDescent="0.25">
      <c r="A423" s="23" t="str">
        <f t="shared" si="6"/>
        <v/>
      </c>
      <c r="B423" s="38"/>
      <c r="C423" s="34"/>
      <c r="D423" s="180" t="s">
        <v>4</v>
      </c>
      <c r="E423" s="32" t="str">
        <f>IF(A423="","",IF(COUNTIF('Asset Detail'!A:A,A423)&gt;0,"✓ Found","✗ Not Found"))</f>
        <v/>
      </c>
      <c r="F423" s="31" t="str" cm="1">
        <f t="array" ref="F423">IF(A423="","",IFERROR(INDEX('Asset Detail'!C:C,_xlfn.XMATCH(A423,'Asset Detail'!A:A,3)),"—"))</f>
        <v/>
      </c>
      <c r="G423" s="32" t="str" cm="1">
        <f t="array" ref="G423">IF(A423="","",IFERROR(INDEX('Asset Detail'!E:E,_xlfn.XMATCH(A423,'Asset Detail'!A:A,3)),"—"))</f>
        <v/>
      </c>
      <c r="H423" s="34"/>
      <c r="I423" s="39"/>
    </row>
    <row r="424" spans="1:9" x14ac:dyDescent="0.25">
      <c r="A424" s="23" t="str">
        <f t="shared" si="6"/>
        <v/>
      </c>
      <c r="B424" s="38"/>
      <c r="C424" s="34"/>
      <c r="D424" s="180" t="s">
        <v>4</v>
      </c>
      <c r="E424" s="32" t="str">
        <f>IF(A424="","",IF(COUNTIF('Asset Detail'!A:A,A424)&gt;0,"✓ Found","✗ Not Found"))</f>
        <v/>
      </c>
      <c r="F424" s="31" t="str" cm="1">
        <f t="array" ref="F424">IF(A424="","",IFERROR(INDEX('Asset Detail'!C:C,_xlfn.XMATCH(A424,'Asset Detail'!A:A,3)),"—"))</f>
        <v/>
      </c>
      <c r="G424" s="32" t="str" cm="1">
        <f t="array" ref="G424">IF(A424="","",IFERROR(INDEX('Asset Detail'!E:E,_xlfn.XMATCH(A424,'Asset Detail'!A:A,3)),"—"))</f>
        <v/>
      </c>
      <c r="H424" s="34"/>
      <c r="I424" s="39"/>
    </row>
    <row r="425" spans="1:9" x14ac:dyDescent="0.25">
      <c r="A425" s="23" t="str">
        <f t="shared" si="6"/>
        <v/>
      </c>
      <c r="B425" s="38"/>
      <c r="C425" s="34"/>
      <c r="D425" s="180" t="s">
        <v>4</v>
      </c>
      <c r="E425" s="32" t="str">
        <f>IF(A425="","",IF(COUNTIF('Asset Detail'!A:A,A425)&gt;0,"✓ Found","✗ Not Found"))</f>
        <v/>
      </c>
      <c r="F425" s="31" t="str" cm="1">
        <f t="array" ref="F425">IF(A425="","",IFERROR(INDEX('Asset Detail'!C:C,_xlfn.XMATCH(A425,'Asset Detail'!A:A,3)),"—"))</f>
        <v/>
      </c>
      <c r="G425" s="32" t="str" cm="1">
        <f t="array" ref="G425">IF(A425="","",IFERROR(INDEX('Asset Detail'!E:E,_xlfn.XMATCH(A425,'Asset Detail'!A:A,3)),"—"))</f>
        <v/>
      </c>
      <c r="H425" s="34"/>
      <c r="I425" s="39"/>
    </row>
    <row r="426" spans="1:9" x14ac:dyDescent="0.25">
      <c r="A426" s="23" t="str">
        <f t="shared" si="6"/>
        <v/>
      </c>
      <c r="B426" s="38"/>
      <c r="C426" s="34"/>
      <c r="D426" s="180" t="s">
        <v>4</v>
      </c>
      <c r="E426" s="32" t="str">
        <f>IF(A426="","",IF(COUNTIF('Asset Detail'!A:A,A426)&gt;0,"✓ Found","✗ Not Found"))</f>
        <v/>
      </c>
      <c r="F426" s="31" t="str" cm="1">
        <f t="array" ref="F426">IF(A426="","",IFERROR(INDEX('Asset Detail'!C:C,_xlfn.XMATCH(A426,'Asset Detail'!A:A,3)),"—"))</f>
        <v/>
      </c>
      <c r="G426" s="32" t="str" cm="1">
        <f t="array" ref="G426">IF(A426="","",IFERROR(INDEX('Asset Detail'!E:E,_xlfn.XMATCH(A426,'Asset Detail'!A:A,3)),"—"))</f>
        <v/>
      </c>
      <c r="H426" s="34"/>
      <c r="I426" s="39"/>
    </row>
    <row r="427" spans="1:9" x14ac:dyDescent="0.25">
      <c r="A427" s="23" t="str">
        <f t="shared" si="6"/>
        <v/>
      </c>
      <c r="B427" s="38"/>
      <c r="C427" s="34"/>
      <c r="D427" s="180" t="s">
        <v>4</v>
      </c>
      <c r="E427" s="32" t="str">
        <f>IF(A427="","",IF(COUNTIF('Asset Detail'!A:A,A427)&gt;0,"✓ Found","✗ Not Found"))</f>
        <v/>
      </c>
      <c r="F427" s="31" t="str" cm="1">
        <f t="array" ref="F427">IF(A427="","",IFERROR(INDEX('Asset Detail'!C:C,_xlfn.XMATCH(A427,'Asset Detail'!A:A,3)),"—"))</f>
        <v/>
      </c>
      <c r="G427" s="32" t="str" cm="1">
        <f t="array" ref="G427">IF(A427="","",IFERROR(INDEX('Asset Detail'!E:E,_xlfn.XMATCH(A427,'Asset Detail'!A:A,3)),"—"))</f>
        <v/>
      </c>
      <c r="H427" s="34"/>
      <c r="I427" s="39"/>
    </row>
    <row r="428" spans="1:9" x14ac:dyDescent="0.25">
      <c r="A428" s="23" t="str">
        <f t="shared" si="6"/>
        <v/>
      </c>
      <c r="B428" s="38"/>
      <c r="C428" s="34"/>
      <c r="D428" s="180" t="s">
        <v>4</v>
      </c>
      <c r="E428" s="32" t="str">
        <f>IF(A428="","",IF(COUNTIF('Asset Detail'!A:A,A428)&gt;0,"✓ Found","✗ Not Found"))</f>
        <v/>
      </c>
      <c r="F428" s="31" t="str" cm="1">
        <f t="array" ref="F428">IF(A428="","",IFERROR(INDEX('Asset Detail'!C:C,_xlfn.XMATCH(A428,'Asset Detail'!A:A,3)),"—"))</f>
        <v/>
      </c>
      <c r="G428" s="32" t="str" cm="1">
        <f t="array" ref="G428">IF(A428="","",IFERROR(INDEX('Asset Detail'!E:E,_xlfn.XMATCH(A428,'Asset Detail'!A:A,3)),"—"))</f>
        <v/>
      </c>
      <c r="H428" s="34"/>
      <c r="I428" s="39"/>
    </row>
    <row r="429" spans="1:9" x14ac:dyDescent="0.25">
      <c r="A429" s="23" t="str">
        <f t="shared" si="6"/>
        <v/>
      </c>
      <c r="B429" s="38"/>
      <c r="C429" s="34"/>
      <c r="D429" s="180" t="s">
        <v>4</v>
      </c>
      <c r="E429" s="32" t="str">
        <f>IF(A429="","",IF(COUNTIF('Asset Detail'!A:A,A429)&gt;0,"✓ Found","✗ Not Found"))</f>
        <v/>
      </c>
      <c r="F429" s="31" t="str" cm="1">
        <f t="array" ref="F429">IF(A429="","",IFERROR(INDEX('Asset Detail'!C:C,_xlfn.XMATCH(A429,'Asset Detail'!A:A,3)),"—"))</f>
        <v/>
      </c>
      <c r="G429" s="32" t="str" cm="1">
        <f t="array" ref="G429">IF(A429="","",IFERROR(INDEX('Asset Detail'!E:E,_xlfn.XMATCH(A429,'Asset Detail'!A:A,3)),"—"))</f>
        <v/>
      </c>
      <c r="H429" s="34"/>
      <c r="I429" s="39"/>
    </row>
    <row r="430" spans="1:9" x14ac:dyDescent="0.25">
      <c r="A430" s="23" t="str">
        <f t="shared" si="6"/>
        <v/>
      </c>
      <c r="B430" s="38"/>
      <c r="C430" s="34"/>
      <c r="D430" s="180" t="s">
        <v>4</v>
      </c>
      <c r="E430" s="32" t="str">
        <f>IF(A430="","",IF(COUNTIF('Asset Detail'!A:A,A430)&gt;0,"✓ Found","✗ Not Found"))</f>
        <v/>
      </c>
      <c r="F430" s="31" t="str" cm="1">
        <f t="array" ref="F430">IF(A430="","",IFERROR(INDEX('Asset Detail'!C:C,_xlfn.XMATCH(A430,'Asset Detail'!A:A,3)),"—"))</f>
        <v/>
      </c>
      <c r="G430" s="32" t="str" cm="1">
        <f t="array" ref="G430">IF(A430="","",IFERROR(INDEX('Asset Detail'!E:E,_xlfn.XMATCH(A430,'Asset Detail'!A:A,3)),"—"))</f>
        <v/>
      </c>
      <c r="H430" s="34"/>
      <c r="I430" s="39"/>
    </row>
    <row r="431" spans="1:9" x14ac:dyDescent="0.25">
      <c r="A431" s="23" t="str">
        <f t="shared" si="6"/>
        <v/>
      </c>
      <c r="B431" s="38"/>
      <c r="C431" s="34"/>
      <c r="D431" s="180" t="s">
        <v>4</v>
      </c>
      <c r="E431" s="32" t="str">
        <f>IF(A431="","",IF(COUNTIF('Asset Detail'!A:A,A431)&gt;0,"✓ Found","✗ Not Found"))</f>
        <v/>
      </c>
      <c r="F431" s="31" t="str" cm="1">
        <f t="array" ref="F431">IF(A431="","",IFERROR(INDEX('Asset Detail'!C:C,_xlfn.XMATCH(A431,'Asset Detail'!A:A,3)),"—"))</f>
        <v/>
      </c>
      <c r="G431" s="32" t="str" cm="1">
        <f t="array" ref="G431">IF(A431="","",IFERROR(INDEX('Asset Detail'!E:E,_xlfn.XMATCH(A431,'Asset Detail'!A:A,3)),"—"))</f>
        <v/>
      </c>
      <c r="H431" s="34"/>
      <c r="I431" s="39"/>
    </row>
    <row r="432" spans="1:9" x14ac:dyDescent="0.25">
      <c r="A432" s="23" t="str">
        <f t="shared" si="6"/>
        <v/>
      </c>
      <c r="B432" s="38"/>
      <c r="C432" s="34"/>
      <c r="D432" s="180" t="s">
        <v>4</v>
      </c>
      <c r="E432" s="32" t="str">
        <f>IF(A432="","",IF(COUNTIF('Asset Detail'!A:A,A432)&gt;0,"✓ Found","✗ Not Found"))</f>
        <v/>
      </c>
      <c r="F432" s="31" t="str" cm="1">
        <f t="array" ref="F432">IF(A432="","",IFERROR(INDEX('Asset Detail'!C:C,_xlfn.XMATCH(A432,'Asset Detail'!A:A,3)),"—"))</f>
        <v/>
      </c>
      <c r="G432" s="32" t="str" cm="1">
        <f t="array" ref="G432">IF(A432="","",IFERROR(INDEX('Asset Detail'!E:E,_xlfn.XMATCH(A432,'Asset Detail'!A:A,3)),"—"))</f>
        <v/>
      </c>
      <c r="H432" s="34"/>
      <c r="I432" s="39"/>
    </row>
    <row r="433" spans="1:9" x14ac:dyDescent="0.25">
      <c r="A433" s="23" t="str">
        <f t="shared" si="6"/>
        <v/>
      </c>
      <c r="B433" s="38"/>
      <c r="C433" s="34"/>
      <c r="D433" s="180" t="s">
        <v>4</v>
      </c>
      <c r="E433" s="32" t="str">
        <f>IF(A433="","",IF(COUNTIF('Asset Detail'!A:A,A433)&gt;0,"✓ Found","✗ Not Found"))</f>
        <v/>
      </c>
      <c r="F433" s="31" t="str" cm="1">
        <f t="array" ref="F433">IF(A433="","",IFERROR(INDEX('Asset Detail'!C:C,_xlfn.XMATCH(A433,'Asset Detail'!A:A,3)),"—"))</f>
        <v/>
      </c>
      <c r="G433" s="32" t="str" cm="1">
        <f t="array" ref="G433">IF(A433="","",IFERROR(INDEX('Asset Detail'!E:E,_xlfn.XMATCH(A433,'Asset Detail'!A:A,3)),"—"))</f>
        <v/>
      </c>
      <c r="H433" s="34"/>
      <c r="I433" s="39"/>
    </row>
    <row r="434" spans="1:9" x14ac:dyDescent="0.25">
      <c r="A434" s="23" t="str">
        <f t="shared" si="6"/>
        <v/>
      </c>
      <c r="B434" s="38"/>
      <c r="C434" s="34"/>
      <c r="D434" s="180" t="s">
        <v>4</v>
      </c>
      <c r="E434" s="32" t="str">
        <f>IF(A434="","",IF(COUNTIF('Asset Detail'!A:A,A434)&gt;0,"✓ Found","✗ Not Found"))</f>
        <v/>
      </c>
      <c r="F434" s="31" t="str" cm="1">
        <f t="array" ref="F434">IF(A434="","",IFERROR(INDEX('Asset Detail'!C:C,_xlfn.XMATCH(A434,'Asset Detail'!A:A,3)),"—"))</f>
        <v/>
      </c>
      <c r="G434" s="32" t="str" cm="1">
        <f t="array" ref="G434">IF(A434="","",IFERROR(INDEX('Asset Detail'!E:E,_xlfn.XMATCH(A434,'Asset Detail'!A:A,3)),"—"))</f>
        <v/>
      </c>
      <c r="H434" s="34"/>
      <c r="I434" s="39"/>
    </row>
    <row r="435" spans="1:9" x14ac:dyDescent="0.25">
      <c r="A435" s="23" t="str">
        <f t="shared" si="6"/>
        <v/>
      </c>
      <c r="B435" s="38"/>
      <c r="C435" s="34"/>
      <c r="D435" s="180" t="s">
        <v>4</v>
      </c>
      <c r="E435" s="32" t="str">
        <f>IF(A435="","",IF(COUNTIF('Asset Detail'!A:A,A435)&gt;0,"✓ Found","✗ Not Found"))</f>
        <v/>
      </c>
      <c r="F435" s="31" t="str" cm="1">
        <f t="array" ref="F435">IF(A435="","",IFERROR(INDEX('Asset Detail'!C:C,_xlfn.XMATCH(A435,'Asset Detail'!A:A,3)),"—"))</f>
        <v/>
      </c>
      <c r="G435" s="32" t="str" cm="1">
        <f t="array" ref="G435">IF(A435="","",IFERROR(INDEX('Asset Detail'!E:E,_xlfn.XMATCH(A435,'Asset Detail'!A:A,3)),"—"))</f>
        <v/>
      </c>
      <c r="H435" s="34"/>
      <c r="I435" s="39"/>
    </row>
    <row r="436" spans="1:9" x14ac:dyDescent="0.25">
      <c r="A436" s="23" t="str">
        <f t="shared" si="6"/>
        <v/>
      </c>
      <c r="B436" s="38"/>
      <c r="C436" s="34"/>
      <c r="D436" s="180" t="s">
        <v>4</v>
      </c>
      <c r="E436" s="32" t="str">
        <f>IF(A436="","",IF(COUNTIF('Asset Detail'!A:A,A436)&gt;0,"✓ Found","✗ Not Found"))</f>
        <v/>
      </c>
      <c r="F436" s="31" t="str" cm="1">
        <f t="array" ref="F436">IF(A436="","",IFERROR(INDEX('Asset Detail'!C:C,_xlfn.XMATCH(A436,'Asset Detail'!A:A,3)),"—"))</f>
        <v/>
      </c>
      <c r="G436" s="32" t="str" cm="1">
        <f t="array" ref="G436">IF(A436="","",IFERROR(INDEX('Asset Detail'!E:E,_xlfn.XMATCH(A436,'Asset Detail'!A:A,3)),"—"))</f>
        <v/>
      </c>
      <c r="H436" s="34"/>
      <c r="I436" s="39"/>
    </row>
    <row r="437" spans="1:9" x14ac:dyDescent="0.25">
      <c r="A437" s="23" t="str">
        <f t="shared" si="6"/>
        <v/>
      </c>
      <c r="B437" s="38"/>
      <c r="C437" s="34"/>
      <c r="D437" s="180" t="s">
        <v>4</v>
      </c>
      <c r="E437" s="32" t="str">
        <f>IF(A437="","",IF(COUNTIF('Asset Detail'!A:A,A437)&gt;0,"✓ Found","✗ Not Found"))</f>
        <v/>
      </c>
      <c r="F437" s="31" t="str" cm="1">
        <f t="array" ref="F437">IF(A437="","",IFERROR(INDEX('Asset Detail'!C:C,_xlfn.XMATCH(A437,'Asset Detail'!A:A,3)),"—"))</f>
        <v/>
      </c>
      <c r="G437" s="32" t="str" cm="1">
        <f t="array" ref="G437">IF(A437="","",IFERROR(INDEX('Asset Detail'!E:E,_xlfn.XMATCH(A437,'Asset Detail'!A:A,3)),"—"))</f>
        <v/>
      </c>
      <c r="H437" s="34"/>
      <c r="I437" s="39"/>
    </row>
    <row r="438" spans="1:9" x14ac:dyDescent="0.25">
      <c r="A438" s="23" t="str">
        <f t="shared" si="6"/>
        <v/>
      </c>
      <c r="B438" s="38"/>
      <c r="C438" s="34"/>
      <c r="D438" s="180" t="s">
        <v>4</v>
      </c>
      <c r="E438" s="32" t="str">
        <f>IF(A438="","",IF(COUNTIF('Asset Detail'!A:A,A438)&gt;0,"✓ Found","✗ Not Found"))</f>
        <v/>
      </c>
      <c r="F438" s="31" t="str" cm="1">
        <f t="array" ref="F438">IF(A438="","",IFERROR(INDEX('Asset Detail'!C:C,_xlfn.XMATCH(A438,'Asset Detail'!A:A,3)),"—"))</f>
        <v/>
      </c>
      <c r="G438" s="32" t="str" cm="1">
        <f t="array" ref="G438">IF(A438="","",IFERROR(INDEX('Asset Detail'!E:E,_xlfn.XMATCH(A438,'Asset Detail'!A:A,3)),"—"))</f>
        <v/>
      </c>
      <c r="H438" s="34"/>
      <c r="I438" s="39"/>
    </row>
    <row r="439" spans="1:9" x14ac:dyDescent="0.25">
      <c r="A439" s="23" t="str">
        <f t="shared" si="6"/>
        <v/>
      </c>
      <c r="B439" s="38"/>
      <c r="C439" s="34"/>
      <c r="D439" s="180" t="s">
        <v>4</v>
      </c>
      <c r="E439" s="32" t="str">
        <f>IF(A439="","",IF(COUNTIF('Asset Detail'!A:A,A439)&gt;0,"✓ Found","✗ Not Found"))</f>
        <v/>
      </c>
      <c r="F439" s="31" t="str" cm="1">
        <f t="array" ref="F439">IF(A439="","",IFERROR(INDEX('Asset Detail'!C:C,_xlfn.XMATCH(A439,'Asset Detail'!A:A,3)),"—"))</f>
        <v/>
      </c>
      <c r="G439" s="32" t="str" cm="1">
        <f t="array" ref="G439">IF(A439="","",IFERROR(INDEX('Asset Detail'!E:E,_xlfn.XMATCH(A439,'Asset Detail'!A:A,3)),"—"))</f>
        <v/>
      </c>
      <c r="H439" s="34"/>
      <c r="I439" s="39"/>
    </row>
    <row r="440" spans="1:9" x14ac:dyDescent="0.25">
      <c r="A440" s="23" t="str">
        <f t="shared" si="6"/>
        <v/>
      </c>
      <c r="B440" s="38"/>
      <c r="C440" s="34"/>
      <c r="D440" s="180" t="s">
        <v>4</v>
      </c>
      <c r="E440" s="32" t="str">
        <f>IF(A440="","",IF(COUNTIF('Asset Detail'!A:A,A440)&gt;0,"✓ Found","✗ Not Found"))</f>
        <v/>
      </c>
      <c r="F440" s="31" t="str" cm="1">
        <f t="array" ref="F440">IF(A440="","",IFERROR(INDEX('Asset Detail'!C:C,_xlfn.XMATCH(A440,'Asset Detail'!A:A,3)),"—"))</f>
        <v/>
      </c>
      <c r="G440" s="32" t="str" cm="1">
        <f t="array" ref="G440">IF(A440="","",IFERROR(INDEX('Asset Detail'!E:E,_xlfn.XMATCH(A440,'Asset Detail'!A:A,3)),"—"))</f>
        <v/>
      </c>
      <c r="H440" s="34"/>
      <c r="I440" s="39"/>
    </row>
    <row r="441" spans="1:9" x14ac:dyDescent="0.25">
      <c r="A441" s="23" t="str">
        <f t="shared" si="6"/>
        <v/>
      </c>
      <c r="B441" s="38"/>
      <c r="C441" s="34"/>
      <c r="D441" s="180" t="s">
        <v>4</v>
      </c>
      <c r="E441" s="32" t="str">
        <f>IF(A441="","",IF(COUNTIF('Asset Detail'!A:A,A441)&gt;0,"✓ Found","✗ Not Found"))</f>
        <v/>
      </c>
      <c r="F441" s="31" t="str" cm="1">
        <f t="array" ref="F441">IF(A441="","",IFERROR(INDEX('Asset Detail'!C:C,_xlfn.XMATCH(A441,'Asset Detail'!A:A,3)),"—"))</f>
        <v/>
      </c>
      <c r="G441" s="32" t="str" cm="1">
        <f t="array" ref="G441">IF(A441="","",IFERROR(INDEX('Asset Detail'!E:E,_xlfn.XMATCH(A441,'Asset Detail'!A:A,3)),"—"))</f>
        <v/>
      </c>
      <c r="H441" s="34"/>
      <c r="I441" s="39"/>
    </row>
    <row r="442" spans="1:9" x14ac:dyDescent="0.25">
      <c r="A442" s="23" t="str">
        <f t="shared" si="6"/>
        <v/>
      </c>
      <c r="B442" s="38"/>
      <c r="C442" s="34"/>
      <c r="D442" s="180" t="s">
        <v>4</v>
      </c>
      <c r="E442" s="32" t="str">
        <f>IF(A442="","",IF(COUNTIF('Asset Detail'!A:A,A442)&gt;0,"✓ Found","✗ Not Found"))</f>
        <v/>
      </c>
      <c r="F442" s="31" t="str" cm="1">
        <f t="array" ref="F442">IF(A442="","",IFERROR(INDEX('Asset Detail'!C:C,_xlfn.XMATCH(A442,'Asset Detail'!A:A,3)),"—"))</f>
        <v/>
      </c>
      <c r="G442" s="32" t="str" cm="1">
        <f t="array" ref="G442">IF(A442="","",IFERROR(INDEX('Asset Detail'!E:E,_xlfn.XMATCH(A442,'Asset Detail'!A:A,3)),"—"))</f>
        <v/>
      </c>
      <c r="H442" s="34"/>
      <c r="I442" s="39"/>
    </row>
    <row r="443" spans="1:9" x14ac:dyDescent="0.25">
      <c r="A443" s="23" t="str">
        <f t="shared" si="6"/>
        <v/>
      </c>
      <c r="B443" s="38"/>
      <c r="C443" s="34"/>
      <c r="D443" s="180" t="s">
        <v>4</v>
      </c>
      <c r="E443" s="32" t="str">
        <f>IF(A443="","",IF(COUNTIF('Asset Detail'!A:A,A443)&gt;0,"✓ Found","✗ Not Found"))</f>
        <v/>
      </c>
      <c r="F443" s="31" t="str" cm="1">
        <f t="array" ref="F443">IF(A443="","",IFERROR(INDEX('Asset Detail'!C:C,_xlfn.XMATCH(A443,'Asset Detail'!A:A,3)),"—"))</f>
        <v/>
      </c>
      <c r="G443" s="32" t="str" cm="1">
        <f t="array" ref="G443">IF(A443="","",IFERROR(INDEX('Asset Detail'!E:E,_xlfn.XMATCH(A443,'Asset Detail'!A:A,3)),"—"))</f>
        <v/>
      </c>
      <c r="H443" s="34"/>
      <c r="I443" s="39"/>
    </row>
    <row r="444" spans="1:9" x14ac:dyDescent="0.25">
      <c r="A444" s="23" t="str">
        <f t="shared" si="6"/>
        <v/>
      </c>
      <c r="B444" s="38"/>
      <c r="C444" s="34"/>
      <c r="D444" s="180" t="s">
        <v>4</v>
      </c>
      <c r="E444" s="32" t="str">
        <f>IF(A444="","",IF(COUNTIF('Asset Detail'!A:A,A444)&gt;0,"✓ Found","✗ Not Found"))</f>
        <v/>
      </c>
      <c r="F444" s="31" t="str" cm="1">
        <f t="array" ref="F444">IF(A444="","",IFERROR(INDEX('Asset Detail'!C:C,_xlfn.XMATCH(A444,'Asset Detail'!A:A,3)),"—"))</f>
        <v/>
      </c>
      <c r="G444" s="32" t="str" cm="1">
        <f t="array" ref="G444">IF(A444="","",IFERROR(INDEX('Asset Detail'!E:E,_xlfn.XMATCH(A444,'Asset Detail'!A:A,3)),"—"))</f>
        <v/>
      </c>
      <c r="H444" s="34"/>
      <c r="I444" s="39"/>
    </row>
    <row r="445" spans="1:9" x14ac:dyDescent="0.25">
      <c r="A445" s="23" t="str">
        <f t="shared" si="6"/>
        <v/>
      </c>
      <c r="B445" s="38"/>
      <c r="C445" s="34"/>
      <c r="D445" s="180" t="s">
        <v>4</v>
      </c>
      <c r="E445" s="32" t="str">
        <f>IF(A445="","",IF(COUNTIF('Asset Detail'!A:A,A445)&gt;0,"✓ Found","✗ Not Found"))</f>
        <v/>
      </c>
      <c r="F445" s="31" t="str" cm="1">
        <f t="array" ref="F445">IF(A445="","",IFERROR(INDEX('Asset Detail'!C:C,_xlfn.XMATCH(A445,'Asset Detail'!A:A,3)),"—"))</f>
        <v/>
      </c>
      <c r="G445" s="32" t="str" cm="1">
        <f t="array" ref="G445">IF(A445="","",IFERROR(INDEX('Asset Detail'!E:E,_xlfn.XMATCH(A445,'Asset Detail'!A:A,3)),"—"))</f>
        <v/>
      </c>
      <c r="H445" s="34"/>
      <c r="I445" s="39"/>
    </row>
    <row r="446" spans="1:9" x14ac:dyDescent="0.25">
      <c r="A446" s="23" t="str">
        <f t="shared" si="6"/>
        <v/>
      </c>
      <c r="B446" s="38"/>
      <c r="C446" s="34"/>
      <c r="D446" s="180" t="s">
        <v>4</v>
      </c>
      <c r="E446" s="32" t="str">
        <f>IF(A446="","",IF(COUNTIF('Asset Detail'!A:A,A446)&gt;0,"✓ Found","✗ Not Found"))</f>
        <v/>
      </c>
      <c r="F446" s="31" t="str" cm="1">
        <f t="array" ref="F446">IF(A446="","",IFERROR(INDEX('Asset Detail'!C:C,_xlfn.XMATCH(A446,'Asset Detail'!A:A,3)),"—"))</f>
        <v/>
      </c>
      <c r="G446" s="32" t="str" cm="1">
        <f t="array" ref="G446">IF(A446="","",IFERROR(INDEX('Asset Detail'!E:E,_xlfn.XMATCH(A446,'Asset Detail'!A:A,3)),"—"))</f>
        <v/>
      </c>
      <c r="H446" s="34"/>
      <c r="I446" s="39"/>
    </row>
    <row r="447" spans="1:9" x14ac:dyDescent="0.25">
      <c r="A447" s="23" t="str">
        <f t="shared" si="6"/>
        <v/>
      </c>
      <c r="B447" s="38"/>
      <c r="C447" s="34"/>
      <c r="D447" s="180" t="s">
        <v>4</v>
      </c>
      <c r="E447" s="32" t="str">
        <f>IF(A447="","",IF(COUNTIF('Asset Detail'!A:A,A447)&gt;0,"✓ Found","✗ Not Found"))</f>
        <v/>
      </c>
      <c r="F447" s="31" t="str" cm="1">
        <f t="array" ref="F447">IF(A447="","",IFERROR(INDEX('Asset Detail'!C:C,_xlfn.XMATCH(A447,'Asset Detail'!A:A,3)),"—"))</f>
        <v/>
      </c>
      <c r="G447" s="32" t="str" cm="1">
        <f t="array" ref="G447">IF(A447="","",IFERROR(INDEX('Asset Detail'!E:E,_xlfn.XMATCH(A447,'Asset Detail'!A:A,3)),"—"))</f>
        <v/>
      </c>
      <c r="H447" s="34"/>
      <c r="I447" s="39"/>
    </row>
    <row r="448" spans="1:9" x14ac:dyDescent="0.25">
      <c r="A448" s="23" t="str">
        <f t="shared" si="6"/>
        <v/>
      </c>
      <c r="B448" s="38"/>
      <c r="C448" s="34"/>
      <c r="D448" s="180" t="s">
        <v>4</v>
      </c>
      <c r="E448" s="32" t="str">
        <f>IF(A448="","",IF(COUNTIF('Asset Detail'!A:A,A448)&gt;0,"✓ Found","✗ Not Found"))</f>
        <v/>
      </c>
      <c r="F448" s="31" t="str" cm="1">
        <f t="array" ref="F448">IF(A448="","",IFERROR(INDEX('Asset Detail'!C:C,_xlfn.XMATCH(A448,'Asset Detail'!A:A,3)),"—"))</f>
        <v/>
      </c>
      <c r="G448" s="32" t="str" cm="1">
        <f t="array" ref="G448">IF(A448="","",IFERROR(INDEX('Asset Detail'!E:E,_xlfn.XMATCH(A448,'Asset Detail'!A:A,3)),"—"))</f>
        <v/>
      </c>
      <c r="H448" s="34"/>
      <c r="I448" s="39"/>
    </row>
    <row r="449" spans="1:9" x14ac:dyDescent="0.25">
      <c r="A449" s="23" t="str">
        <f t="shared" si="6"/>
        <v/>
      </c>
      <c r="B449" s="38"/>
      <c r="C449" s="34"/>
      <c r="D449" s="180" t="s">
        <v>4</v>
      </c>
      <c r="E449" s="32" t="str">
        <f>IF(A449="","",IF(COUNTIF('Asset Detail'!A:A,A449)&gt;0,"✓ Found","✗ Not Found"))</f>
        <v/>
      </c>
      <c r="F449" s="31" t="str" cm="1">
        <f t="array" ref="F449">IF(A449="","",IFERROR(INDEX('Asset Detail'!C:C,_xlfn.XMATCH(A449,'Asset Detail'!A:A,3)),"—"))</f>
        <v/>
      </c>
      <c r="G449" s="32" t="str" cm="1">
        <f t="array" ref="G449">IF(A449="","",IFERROR(INDEX('Asset Detail'!E:E,_xlfn.XMATCH(A449,'Asset Detail'!A:A,3)),"—"))</f>
        <v/>
      </c>
      <c r="H449" s="34"/>
      <c r="I449" s="39"/>
    </row>
    <row r="450" spans="1:9" x14ac:dyDescent="0.25">
      <c r="A450" s="23" t="str">
        <f t="shared" si="6"/>
        <v/>
      </c>
      <c r="B450" s="38"/>
      <c r="C450" s="34"/>
      <c r="D450" s="180" t="s">
        <v>4</v>
      </c>
      <c r="E450" s="32" t="str">
        <f>IF(A450="","",IF(COUNTIF('Asset Detail'!A:A,A450)&gt;0,"✓ Found","✗ Not Found"))</f>
        <v/>
      </c>
      <c r="F450" s="31" t="str" cm="1">
        <f t="array" ref="F450">IF(A450="","",IFERROR(INDEX('Asset Detail'!C:C,_xlfn.XMATCH(A450,'Asset Detail'!A:A,3)),"—"))</f>
        <v/>
      </c>
      <c r="G450" s="32" t="str" cm="1">
        <f t="array" ref="G450">IF(A450="","",IFERROR(INDEX('Asset Detail'!E:E,_xlfn.XMATCH(A450,'Asset Detail'!A:A,3)),"—"))</f>
        <v/>
      </c>
      <c r="H450" s="34"/>
      <c r="I450" s="39"/>
    </row>
    <row r="451" spans="1:9" x14ac:dyDescent="0.25">
      <c r="A451" s="23" t="str">
        <f t="shared" si="6"/>
        <v/>
      </c>
      <c r="B451" s="38"/>
      <c r="C451" s="34"/>
      <c r="D451" s="180" t="s">
        <v>4</v>
      </c>
      <c r="E451" s="32" t="str">
        <f>IF(A451="","",IF(COUNTIF('Asset Detail'!A:A,A451)&gt;0,"✓ Found","✗ Not Found"))</f>
        <v/>
      </c>
      <c r="F451" s="31" t="str" cm="1">
        <f t="array" ref="F451">IF(A451="","",IFERROR(INDEX('Asset Detail'!C:C,_xlfn.XMATCH(A451,'Asset Detail'!A:A,3)),"—"))</f>
        <v/>
      </c>
      <c r="G451" s="32" t="str" cm="1">
        <f t="array" ref="G451">IF(A451="","",IFERROR(INDEX('Asset Detail'!E:E,_xlfn.XMATCH(A451,'Asset Detail'!A:A,3)),"—"))</f>
        <v/>
      </c>
      <c r="H451" s="34"/>
      <c r="I451" s="39"/>
    </row>
    <row r="452" spans="1:9" x14ac:dyDescent="0.25">
      <c r="A452" s="23" t="str">
        <f t="shared" si="6"/>
        <v/>
      </c>
      <c r="B452" s="38"/>
      <c r="C452" s="34"/>
      <c r="D452" s="180" t="s">
        <v>4</v>
      </c>
      <c r="E452" s="32" t="str">
        <f>IF(A452="","",IF(COUNTIF('Asset Detail'!A:A,A452)&gt;0,"✓ Found","✗ Not Found"))</f>
        <v/>
      </c>
      <c r="F452" s="31" t="str" cm="1">
        <f t="array" ref="F452">IF(A452="","",IFERROR(INDEX('Asset Detail'!C:C,_xlfn.XMATCH(A452,'Asset Detail'!A:A,3)),"—"))</f>
        <v/>
      </c>
      <c r="G452" s="32" t="str" cm="1">
        <f t="array" ref="G452">IF(A452="","",IFERROR(INDEX('Asset Detail'!E:E,_xlfn.XMATCH(A452,'Asset Detail'!A:A,3)),"—"))</f>
        <v/>
      </c>
      <c r="H452" s="34"/>
      <c r="I452" s="39"/>
    </row>
    <row r="453" spans="1:9" x14ac:dyDescent="0.25">
      <c r="A453" s="23" t="str">
        <f t="shared" si="6"/>
        <v/>
      </c>
      <c r="B453" s="38"/>
      <c r="C453" s="33"/>
      <c r="D453" s="180" t="s">
        <v>4</v>
      </c>
      <c r="E453" s="30" t="str">
        <f>IF(A453="","",IF(COUNTIF('Asset Detail'!A:A,A453)&gt;0,"✓ Found","✗ Not Found"))</f>
        <v/>
      </c>
      <c r="F453" s="31" t="str" cm="1">
        <f t="array" ref="F453">IF(A453="","",IFERROR(INDEX('Asset Detail'!C:C,_xlfn.XMATCH(A453,'Asset Detail'!A:A,3)),"—"))</f>
        <v/>
      </c>
      <c r="G453" s="32" t="str" cm="1">
        <f t="array" ref="G453">IF(A453="","",IFERROR(INDEX('Asset Detail'!E:E,_xlfn.XMATCH(A453,'Asset Detail'!A:A,3)),"—"))</f>
        <v/>
      </c>
      <c r="H453" s="34"/>
      <c r="I453" s="39"/>
    </row>
    <row r="454" spans="1:9" x14ac:dyDescent="0.25">
      <c r="A454" s="23" t="str">
        <f t="shared" si="6"/>
        <v/>
      </c>
      <c r="B454" s="38"/>
      <c r="C454" s="34"/>
      <c r="D454" s="180" t="s">
        <v>4</v>
      </c>
      <c r="E454" s="32" t="str">
        <f>IF(A454="","",IF(COUNTIF('Asset Detail'!A:A,A454)&gt;0,"✓ Found","✗ Not Found"))</f>
        <v/>
      </c>
      <c r="F454" s="31" t="str" cm="1">
        <f t="array" ref="F454">IF(A454="","",IFERROR(INDEX('Asset Detail'!C:C,_xlfn.XMATCH(A454,'Asset Detail'!A:A,3)),"—"))</f>
        <v/>
      </c>
      <c r="G454" s="32" t="str" cm="1">
        <f t="array" ref="G454">IF(A454="","",IFERROR(INDEX('Asset Detail'!E:E,_xlfn.XMATCH(A454,'Asset Detail'!A:A,3)),"—"))</f>
        <v/>
      </c>
      <c r="H454" s="34"/>
      <c r="I454" s="39"/>
    </row>
    <row r="455" spans="1:9" x14ac:dyDescent="0.25">
      <c r="A455" s="23" t="str">
        <f t="shared" si="6"/>
        <v/>
      </c>
      <c r="B455" s="38"/>
      <c r="C455" s="34"/>
      <c r="D455" s="180" t="s">
        <v>4</v>
      </c>
      <c r="E455" s="32" t="str">
        <f>IF(A455="","",IF(COUNTIF('Asset Detail'!A:A,A455)&gt;0,"✓ Found","✗ Not Found"))</f>
        <v/>
      </c>
      <c r="F455" s="31" t="str" cm="1">
        <f t="array" ref="F455">IF(A455="","",IFERROR(INDEX('Asset Detail'!C:C,_xlfn.XMATCH(A455,'Asset Detail'!A:A,3)),"—"))</f>
        <v/>
      </c>
      <c r="G455" s="32" t="str" cm="1">
        <f t="array" ref="G455">IF(A455="","",IFERROR(INDEX('Asset Detail'!E:E,_xlfn.XMATCH(A455,'Asset Detail'!A:A,3)),"—"))</f>
        <v/>
      </c>
      <c r="H455" s="34"/>
      <c r="I455" s="39"/>
    </row>
    <row r="456" spans="1:9" x14ac:dyDescent="0.25">
      <c r="A456" s="23" t="str">
        <f t="shared" ref="A456:A519" si="7">SUBSTITUTE(I456, "S", "")</f>
        <v/>
      </c>
      <c r="B456" s="38"/>
      <c r="C456" s="33"/>
      <c r="D456" s="180" t="s">
        <v>4</v>
      </c>
      <c r="E456" s="32" t="str">
        <f>IF(A456="","",IF(COUNTIF('Asset Detail'!A:A,A456)&gt;0,"✓ Found","✗ Not Found"))</f>
        <v/>
      </c>
      <c r="F456" s="31" t="str" cm="1">
        <f t="array" ref="F456">IF(A456="","",IFERROR(INDEX('Asset Detail'!C:C,_xlfn.XMATCH(A456,'Asset Detail'!A:A,3)),"—"))</f>
        <v/>
      </c>
      <c r="G456" s="32" t="str" cm="1">
        <f t="array" ref="G456">IF(A456="","",IFERROR(INDEX('Asset Detail'!E:E,_xlfn.XMATCH(A456,'Asset Detail'!A:A,3)),"—"))</f>
        <v/>
      </c>
      <c r="H456" s="34"/>
      <c r="I456" s="39"/>
    </row>
    <row r="457" spans="1:9" x14ac:dyDescent="0.25">
      <c r="A457" s="23" t="str">
        <f t="shared" si="7"/>
        <v/>
      </c>
      <c r="B457" s="38"/>
      <c r="C457" s="34"/>
      <c r="D457" s="180" t="s">
        <v>4</v>
      </c>
      <c r="E457" s="32" t="str">
        <f>IF(A457="","",IF(COUNTIF('Asset Detail'!A:A,A457)&gt;0,"✓ Found","✗ Not Found"))</f>
        <v/>
      </c>
      <c r="F457" s="31" t="str" cm="1">
        <f t="array" ref="F457">IF(A457="","",IFERROR(INDEX('Asset Detail'!C:C,_xlfn.XMATCH(A457,'Asset Detail'!A:A,3)),"—"))</f>
        <v/>
      </c>
      <c r="G457" s="32" t="str" cm="1">
        <f t="array" ref="G457">IF(A457="","",IFERROR(INDEX('Asset Detail'!E:E,_xlfn.XMATCH(A457,'Asset Detail'!A:A,3)),"—"))</f>
        <v/>
      </c>
      <c r="H457" s="34"/>
      <c r="I457" s="39"/>
    </row>
    <row r="458" spans="1:9" x14ac:dyDescent="0.25">
      <c r="A458" s="23" t="str">
        <f t="shared" si="7"/>
        <v/>
      </c>
      <c r="B458" s="38"/>
      <c r="C458" s="33"/>
      <c r="D458" s="180" t="s">
        <v>4</v>
      </c>
      <c r="E458" s="30" t="str">
        <f>IF(A458="","",IF(COUNTIF('Asset Detail'!A:A,A458)&gt;0,"✓ Found","✗ Not Found"))</f>
        <v/>
      </c>
      <c r="F458" s="31" t="str" cm="1">
        <f t="array" ref="F458">IF(A458="","",IFERROR(INDEX('Asset Detail'!C:C,_xlfn.XMATCH(A458,'Asset Detail'!A:A,3)),"—"))</f>
        <v/>
      </c>
      <c r="G458" s="32" t="str" cm="1">
        <f t="array" ref="G458">IF(A458="","",IFERROR(INDEX('Asset Detail'!E:E,_xlfn.XMATCH(A458,'Asset Detail'!A:A,3)),"—"))</f>
        <v/>
      </c>
      <c r="H458" s="34"/>
      <c r="I458" s="39"/>
    </row>
    <row r="459" spans="1:9" x14ac:dyDescent="0.25">
      <c r="A459" s="23" t="str">
        <f t="shared" si="7"/>
        <v/>
      </c>
      <c r="B459" s="38"/>
      <c r="C459" s="33"/>
      <c r="D459" s="180" t="s">
        <v>4</v>
      </c>
      <c r="E459" s="30" t="str">
        <f>IF(A459="","",IF(COUNTIF('Asset Detail'!A:A,A459)&gt;0,"✓ Found","✗ Not Found"))</f>
        <v/>
      </c>
      <c r="F459" s="31" t="str" cm="1">
        <f t="array" ref="F459">IF(A459="","",IFERROR(INDEX('Asset Detail'!C:C,_xlfn.XMATCH(A459,'Asset Detail'!A:A,3)),"—"))</f>
        <v/>
      </c>
      <c r="G459" s="32" t="str" cm="1">
        <f t="array" ref="G459">IF(A459="","",IFERROR(INDEX('Asset Detail'!E:E,_xlfn.XMATCH(A459,'Asset Detail'!A:A,3)),"—"))</f>
        <v/>
      </c>
      <c r="H459" s="34"/>
      <c r="I459" s="39"/>
    </row>
    <row r="460" spans="1:9" x14ac:dyDescent="0.25">
      <c r="A460" s="23" t="str">
        <f t="shared" si="7"/>
        <v/>
      </c>
      <c r="B460" s="38"/>
      <c r="C460" s="33"/>
      <c r="D460" s="180" t="s">
        <v>4</v>
      </c>
      <c r="E460" s="32" t="str">
        <f>IF(A460="","",IF(COUNTIF('Asset Detail'!A:A,A460)&gt;0,"✓ Found","✗ Not Found"))</f>
        <v/>
      </c>
      <c r="F460" s="31" t="str" cm="1">
        <f t="array" ref="F460">IF(A460="","",IFERROR(INDEX('Asset Detail'!C:C,_xlfn.XMATCH(A460,'Asset Detail'!A:A,3)),"—"))</f>
        <v/>
      </c>
      <c r="G460" s="32" t="str" cm="1">
        <f t="array" ref="G460">IF(A460="","",IFERROR(INDEX('Asset Detail'!E:E,_xlfn.XMATCH(A460,'Asset Detail'!A:A,3)),"—"))</f>
        <v/>
      </c>
      <c r="H460" s="34"/>
      <c r="I460" s="39"/>
    </row>
    <row r="461" spans="1:9" x14ac:dyDescent="0.25">
      <c r="A461" s="23" t="str">
        <f t="shared" si="7"/>
        <v/>
      </c>
      <c r="B461" s="38"/>
      <c r="C461" s="33"/>
      <c r="D461" s="180" t="s">
        <v>4</v>
      </c>
      <c r="E461" s="32" t="str">
        <f>IF(A461="","",IF(COUNTIF('Asset Detail'!A:A,A461)&gt;0,"✓ Found","✗ Not Found"))</f>
        <v/>
      </c>
      <c r="F461" s="31" t="str" cm="1">
        <f t="array" ref="F461">IF(A461="","",IFERROR(INDEX('Asset Detail'!C:C,_xlfn.XMATCH(A461,'Asset Detail'!A:A,3)),"—"))</f>
        <v/>
      </c>
      <c r="G461" s="32" t="str" cm="1">
        <f t="array" ref="G461">IF(A461="","",IFERROR(INDEX('Asset Detail'!E:E,_xlfn.XMATCH(A461,'Asset Detail'!A:A,3)),"—"))</f>
        <v/>
      </c>
      <c r="H461" s="34"/>
      <c r="I461" s="39"/>
    </row>
    <row r="462" spans="1:9" x14ac:dyDescent="0.25">
      <c r="A462" s="23" t="str">
        <f t="shared" si="7"/>
        <v/>
      </c>
      <c r="B462" s="38"/>
      <c r="C462" s="34"/>
      <c r="D462" s="180" t="s">
        <v>4</v>
      </c>
      <c r="E462" s="32" t="str">
        <f>IF(A462="","",IF(COUNTIF('Asset Detail'!A:A,A462)&gt;0,"✓ Found","✗ Not Found"))</f>
        <v/>
      </c>
      <c r="F462" s="31" t="str" cm="1">
        <f t="array" ref="F462">IF(A462="","",IFERROR(INDEX('Asset Detail'!C:C,_xlfn.XMATCH(A462,'Asset Detail'!A:A,3)),"—"))</f>
        <v/>
      </c>
      <c r="G462" s="32" t="str" cm="1">
        <f t="array" ref="G462">IF(A462="","",IFERROR(INDEX('Asset Detail'!E:E,_xlfn.XMATCH(A462,'Asset Detail'!A:A,3)),"—"))</f>
        <v/>
      </c>
      <c r="H462" s="34"/>
      <c r="I462" s="39"/>
    </row>
    <row r="463" spans="1:9" x14ac:dyDescent="0.25">
      <c r="A463" s="23" t="str">
        <f t="shared" si="7"/>
        <v/>
      </c>
      <c r="B463" s="38"/>
      <c r="C463" s="33"/>
      <c r="D463" s="180" t="s">
        <v>4</v>
      </c>
      <c r="E463" s="30" t="str">
        <f>IF(A463="","",IF(COUNTIF('Asset Detail'!A:A,A463)&gt;0,"✓ Found","✗ Not Found"))</f>
        <v/>
      </c>
      <c r="F463" s="31" t="str" cm="1">
        <f t="array" ref="F463">IF(A463="","",IFERROR(INDEX('Asset Detail'!C:C,_xlfn.XMATCH(A463,'Asset Detail'!A:A,3)),"—"))</f>
        <v/>
      </c>
      <c r="G463" s="32" t="str" cm="1">
        <f t="array" ref="G463">IF(A463="","",IFERROR(INDEX('Asset Detail'!E:E,_xlfn.XMATCH(A463,'Asset Detail'!A:A,3)),"—"))</f>
        <v/>
      </c>
      <c r="H463" s="34"/>
      <c r="I463" s="39"/>
    </row>
    <row r="464" spans="1:9" x14ac:dyDescent="0.25">
      <c r="A464" s="23" t="str">
        <f t="shared" si="7"/>
        <v/>
      </c>
      <c r="B464" s="38"/>
      <c r="C464" s="33"/>
      <c r="D464" s="180" t="s">
        <v>4</v>
      </c>
      <c r="E464" s="30" t="str">
        <f>IF(A464="","",IF(COUNTIF('Asset Detail'!A:A,A464)&gt;0,"✓ Found","✗ Not Found"))</f>
        <v/>
      </c>
      <c r="F464" s="31" t="str" cm="1">
        <f t="array" ref="F464">IF(A464="","",IFERROR(INDEX('Asset Detail'!C:C,_xlfn.XMATCH(A464,'Asset Detail'!A:A,3)),"—"))</f>
        <v/>
      </c>
      <c r="G464" s="32" t="str" cm="1">
        <f t="array" ref="G464">IF(A464="","",IFERROR(INDEX('Asset Detail'!E:E,_xlfn.XMATCH(A464,'Asset Detail'!A:A,3)),"—"))</f>
        <v/>
      </c>
      <c r="H464" s="34"/>
      <c r="I464" s="39"/>
    </row>
    <row r="465" spans="1:9" x14ac:dyDescent="0.25">
      <c r="A465" s="23" t="str">
        <f t="shared" si="7"/>
        <v/>
      </c>
      <c r="B465" s="38"/>
      <c r="C465" s="33"/>
      <c r="D465" s="180" t="s">
        <v>4</v>
      </c>
      <c r="E465" s="30" t="str">
        <f>IF(A465="","",IF(COUNTIF('Asset Detail'!A:A,A465)&gt;0,"✓ Found","✗ Not Found"))</f>
        <v/>
      </c>
      <c r="F465" s="31" t="str" cm="1">
        <f t="array" ref="F465">IF(A465="","",IFERROR(INDEX('Asset Detail'!C:C,_xlfn.XMATCH(A465,'Asset Detail'!A:A,3)),"—"))</f>
        <v/>
      </c>
      <c r="G465" s="32" t="str" cm="1">
        <f t="array" ref="G465">IF(A465="","",IFERROR(INDEX('Asset Detail'!E:E,_xlfn.XMATCH(A465,'Asset Detail'!A:A,3)),"—"))</f>
        <v/>
      </c>
      <c r="H465" s="34"/>
      <c r="I465" s="39"/>
    </row>
    <row r="466" spans="1:9" x14ac:dyDescent="0.25">
      <c r="A466" s="23" t="str">
        <f t="shared" si="7"/>
        <v/>
      </c>
      <c r="B466" s="38"/>
      <c r="C466" s="33"/>
      <c r="D466" s="180" t="s">
        <v>4</v>
      </c>
      <c r="E466" s="32" t="str">
        <f>IF(A466="","",IF(COUNTIF('Asset Detail'!A:A,A466)&gt;0,"✓ Found","✗ Not Found"))</f>
        <v/>
      </c>
      <c r="F466" s="31" t="str" cm="1">
        <f t="array" ref="F466">IF(A466="","",IFERROR(INDEX('Asset Detail'!C:C,_xlfn.XMATCH(A466,'Asset Detail'!A:A,3)),"—"))</f>
        <v/>
      </c>
      <c r="G466" s="32" t="str" cm="1">
        <f t="array" ref="G466">IF(A466="","",IFERROR(INDEX('Asset Detail'!E:E,_xlfn.XMATCH(A466,'Asset Detail'!A:A,3)),"—"))</f>
        <v/>
      </c>
      <c r="H466" s="34"/>
      <c r="I466" s="39"/>
    </row>
    <row r="467" spans="1:9" x14ac:dyDescent="0.25">
      <c r="A467" s="23" t="str">
        <f t="shared" si="7"/>
        <v/>
      </c>
      <c r="B467" s="38"/>
      <c r="C467" s="33"/>
      <c r="D467" s="180" t="s">
        <v>4</v>
      </c>
      <c r="E467" s="30" t="str">
        <f>IF(A467="","",IF(COUNTIF('Asset Detail'!A:A,A467)&gt;0,"✓ Found","✗ Not Found"))</f>
        <v/>
      </c>
      <c r="F467" s="31" t="str" cm="1">
        <f t="array" ref="F467">IF(A467="","",IFERROR(INDEX('Asset Detail'!C:C,_xlfn.XMATCH(A467,'Asset Detail'!A:A,3)),"—"))</f>
        <v/>
      </c>
      <c r="G467" s="32" t="str" cm="1">
        <f t="array" ref="G467">IF(A467="","",IFERROR(INDEX('Asset Detail'!E:E,_xlfn.XMATCH(A467,'Asset Detail'!A:A,3)),"—"))</f>
        <v/>
      </c>
      <c r="H467" s="34"/>
      <c r="I467" s="39"/>
    </row>
    <row r="468" spans="1:9" x14ac:dyDescent="0.25">
      <c r="A468" s="23" t="str">
        <f t="shared" si="7"/>
        <v/>
      </c>
      <c r="B468" s="38"/>
      <c r="C468" s="33"/>
      <c r="D468" s="180" t="s">
        <v>4</v>
      </c>
      <c r="E468" s="32" t="str">
        <f>IF(A468="","",IF(COUNTIF('Asset Detail'!A:A,A468)&gt;0,"✓ Found","✗ Not Found"))</f>
        <v/>
      </c>
      <c r="F468" s="31" t="str" cm="1">
        <f t="array" ref="F468">IF(A468="","",IFERROR(INDEX('Asset Detail'!C:C,_xlfn.XMATCH(A468,'Asset Detail'!A:A,3)),"—"))</f>
        <v/>
      </c>
      <c r="G468" s="32" t="str" cm="1">
        <f t="array" ref="G468">IF(A468="","",IFERROR(INDEX('Asset Detail'!E:E,_xlfn.XMATCH(A468,'Asset Detail'!A:A,3)),"—"))</f>
        <v/>
      </c>
      <c r="H468" s="34"/>
      <c r="I468" s="39"/>
    </row>
    <row r="469" spans="1:9" x14ac:dyDescent="0.25">
      <c r="A469" s="23" t="str">
        <f t="shared" si="7"/>
        <v/>
      </c>
      <c r="B469" s="38"/>
      <c r="C469" s="33"/>
      <c r="D469" s="180" t="s">
        <v>4</v>
      </c>
      <c r="E469" s="32" t="str">
        <f>IF(A469="","",IF(COUNTIF('Asset Detail'!A:A,A469)&gt;0,"✓ Found","✗ Not Found"))</f>
        <v/>
      </c>
      <c r="F469" s="31" t="str" cm="1">
        <f t="array" ref="F469">IF(A469="","",IFERROR(INDEX('Asset Detail'!C:C,_xlfn.XMATCH(A469,'Asset Detail'!A:A,3)),"—"))</f>
        <v/>
      </c>
      <c r="G469" s="32" t="str" cm="1">
        <f t="array" ref="G469">IF(A469="","",IFERROR(INDEX('Asset Detail'!E:E,_xlfn.XMATCH(A469,'Asset Detail'!A:A,3)),"—"))</f>
        <v/>
      </c>
      <c r="H469" s="34"/>
      <c r="I469" s="39"/>
    </row>
    <row r="470" spans="1:9" x14ac:dyDescent="0.25">
      <c r="A470" s="23" t="str">
        <f t="shared" si="7"/>
        <v/>
      </c>
      <c r="B470" s="38"/>
      <c r="C470" s="33"/>
      <c r="D470" s="180" t="s">
        <v>4</v>
      </c>
      <c r="E470" s="32" t="str">
        <f>IF(A470="","",IF(COUNTIF('Asset Detail'!A:A,A470)&gt;0,"✓ Found","✗ Not Found"))</f>
        <v/>
      </c>
      <c r="F470" s="31" t="str" cm="1">
        <f t="array" ref="F470">IF(A470="","",IFERROR(INDEX('Asset Detail'!C:C,_xlfn.XMATCH(A470,'Asset Detail'!A:A,3)),"—"))</f>
        <v/>
      </c>
      <c r="G470" s="32" t="str" cm="1">
        <f t="array" ref="G470">IF(A470="","",IFERROR(INDEX('Asset Detail'!E:E,_xlfn.XMATCH(A470,'Asset Detail'!A:A,3)),"—"))</f>
        <v/>
      </c>
      <c r="H470" s="34"/>
      <c r="I470" s="39"/>
    </row>
    <row r="471" spans="1:9" x14ac:dyDescent="0.25">
      <c r="A471" s="23" t="str">
        <f t="shared" si="7"/>
        <v/>
      </c>
      <c r="B471" s="38"/>
      <c r="C471" s="33"/>
      <c r="D471" s="180" t="s">
        <v>4</v>
      </c>
      <c r="E471" s="32" t="str">
        <f>IF(A471="","",IF(COUNTIF('Asset Detail'!A:A,A471)&gt;0,"✓ Found","✗ Not Found"))</f>
        <v/>
      </c>
      <c r="F471" s="31" t="str" cm="1">
        <f t="array" ref="F471">IF(A471="","",IFERROR(INDEX('Asset Detail'!C:C,_xlfn.XMATCH(A471,'Asset Detail'!A:A,3)),"—"))</f>
        <v/>
      </c>
      <c r="G471" s="32" t="str" cm="1">
        <f t="array" ref="G471">IF(A471="","",IFERROR(INDEX('Asset Detail'!E:E,_xlfn.XMATCH(A471,'Asset Detail'!A:A,3)),"—"))</f>
        <v/>
      </c>
      <c r="H471" s="34"/>
      <c r="I471" s="39"/>
    </row>
    <row r="472" spans="1:9" x14ac:dyDescent="0.25">
      <c r="A472" s="23" t="str">
        <f t="shared" si="7"/>
        <v/>
      </c>
      <c r="B472" s="38"/>
      <c r="C472" s="33"/>
      <c r="D472" s="180" t="s">
        <v>4</v>
      </c>
      <c r="E472" s="30" t="str">
        <f>IF(A472="","",IF(COUNTIF('Asset Detail'!A:A,A472)&gt;0,"✓ Found","✗ Not Found"))</f>
        <v/>
      </c>
      <c r="F472" s="31" t="str" cm="1">
        <f t="array" ref="F472">IF(A472="","",IFERROR(INDEX('Asset Detail'!C:C,_xlfn.XMATCH(A472,'Asset Detail'!A:A,3)),"—"))</f>
        <v/>
      </c>
      <c r="G472" s="32" t="str" cm="1">
        <f t="array" ref="G472">IF(A472="","",IFERROR(INDEX('Asset Detail'!E:E,_xlfn.XMATCH(A472,'Asset Detail'!A:A,3)),"—"))</f>
        <v/>
      </c>
      <c r="H472" s="34"/>
      <c r="I472" s="39"/>
    </row>
    <row r="473" spans="1:9" x14ac:dyDescent="0.25">
      <c r="A473" s="23" t="str">
        <f t="shared" si="7"/>
        <v/>
      </c>
      <c r="B473" s="38"/>
      <c r="C473" s="33"/>
      <c r="D473" s="180" t="s">
        <v>4</v>
      </c>
      <c r="E473" s="32" t="str">
        <f>IF(A473="","",IF(COUNTIF('Asset Detail'!A:A,A473)&gt;0,"✓ Found","✗ Not Found"))</f>
        <v/>
      </c>
      <c r="F473" s="31" t="str" cm="1">
        <f t="array" ref="F473">IF(A473="","",IFERROR(INDEX('Asset Detail'!C:C,_xlfn.XMATCH(A473,'Asset Detail'!A:A,3)),"—"))</f>
        <v/>
      </c>
      <c r="G473" s="32" t="str" cm="1">
        <f t="array" ref="G473">IF(A473="","",IFERROR(INDEX('Asset Detail'!E:E,_xlfn.XMATCH(A473,'Asset Detail'!A:A,3)),"—"))</f>
        <v/>
      </c>
      <c r="H473" s="34"/>
      <c r="I473" s="39"/>
    </row>
    <row r="474" spans="1:9" x14ac:dyDescent="0.25">
      <c r="A474" s="23" t="str">
        <f t="shared" si="7"/>
        <v/>
      </c>
      <c r="B474" s="38"/>
      <c r="C474" s="33"/>
      <c r="D474" s="180" t="s">
        <v>4</v>
      </c>
      <c r="E474" s="32" t="str">
        <f>IF(A474="","",IF(COUNTIF('Asset Detail'!A:A,A474)&gt;0,"✓ Found","✗ Not Found"))</f>
        <v/>
      </c>
      <c r="F474" s="31" t="str" cm="1">
        <f t="array" ref="F474">IF(A474="","",IFERROR(INDEX('Asset Detail'!C:C,_xlfn.XMATCH(A474,'Asset Detail'!A:A,3)),"—"))</f>
        <v/>
      </c>
      <c r="G474" s="32" t="str" cm="1">
        <f t="array" ref="G474">IF(A474="","",IFERROR(INDEX('Asset Detail'!E:E,_xlfn.XMATCH(A474,'Asset Detail'!A:A,3)),"—"))</f>
        <v/>
      </c>
      <c r="H474" s="34"/>
      <c r="I474" s="39"/>
    </row>
    <row r="475" spans="1:9" x14ac:dyDescent="0.25">
      <c r="A475" s="23" t="str">
        <f t="shared" si="7"/>
        <v/>
      </c>
      <c r="B475" s="38"/>
      <c r="C475" s="34"/>
      <c r="D475" s="180" t="s">
        <v>4</v>
      </c>
      <c r="E475" s="32" t="str">
        <f>IF(A475="","",IF(COUNTIF('Asset Detail'!A:A,A475)&gt;0,"✓ Found","✗ Not Found"))</f>
        <v/>
      </c>
      <c r="F475" s="31" t="str" cm="1">
        <f t="array" ref="F475">IF(A475="","",IFERROR(INDEX('Asset Detail'!C:C,_xlfn.XMATCH(A475,'Asset Detail'!A:A,3)),"—"))</f>
        <v/>
      </c>
      <c r="G475" s="32" t="str" cm="1">
        <f t="array" ref="G475">IF(A475="","",IFERROR(INDEX('Asset Detail'!E:E,_xlfn.XMATCH(A475,'Asset Detail'!A:A,3)),"—"))</f>
        <v/>
      </c>
      <c r="H475" s="34"/>
      <c r="I475" s="39"/>
    </row>
    <row r="476" spans="1:9" x14ac:dyDescent="0.25">
      <c r="A476" s="23" t="str">
        <f t="shared" si="7"/>
        <v/>
      </c>
      <c r="B476" s="38"/>
      <c r="C476" s="33"/>
      <c r="D476" s="180" t="s">
        <v>4</v>
      </c>
      <c r="E476" s="32" t="str">
        <f>IF(A476="","",IF(COUNTIF('Asset Detail'!A:A,A476)&gt;0,"✓ Found","✗ Not Found"))</f>
        <v/>
      </c>
      <c r="F476" s="31" t="str" cm="1">
        <f t="array" ref="F476">IF(A476="","",IFERROR(INDEX('Asset Detail'!C:C,_xlfn.XMATCH(A476,'Asset Detail'!A:A,3)),"—"))</f>
        <v/>
      </c>
      <c r="G476" s="32" t="str" cm="1">
        <f t="array" ref="G476">IF(A476="","",IFERROR(INDEX('Asset Detail'!E:E,_xlfn.XMATCH(A476,'Asset Detail'!A:A,3)),"—"))</f>
        <v/>
      </c>
      <c r="H476" s="34"/>
      <c r="I476" s="39"/>
    </row>
    <row r="477" spans="1:9" x14ac:dyDescent="0.25">
      <c r="A477" s="23" t="str">
        <f t="shared" si="7"/>
        <v/>
      </c>
      <c r="B477" s="38"/>
      <c r="C477" s="33"/>
      <c r="D477" s="180" t="s">
        <v>4</v>
      </c>
      <c r="E477" s="30" t="str">
        <f>IF(A477="","",IF(COUNTIF('Asset Detail'!A:A,A477)&gt;0,"✓ Found","✗ Not Found"))</f>
        <v/>
      </c>
      <c r="F477" s="31" t="str" cm="1">
        <f t="array" ref="F477">IF(A477="","",IFERROR(INDEX('Asset Detail'!C:C,_xlfn.XMATCH(A477,'Asset Detail'!A:A,3)),"—"))</f>
        <v/>
      </c>
      <c r="G477" s="32" t="str" cm="1">
        <f t="array" ref="G477">IF(A477="","",IFERROR(INDEX('Asset Detail'!E:E,_xlfn.XMATCH(A477,'Asset Detail'!A:A,3)),"—"))</f>
        <v/>
      </c>
      <c r="H477" s="34"/>
      <c r="I477" s="39"/>
    </row>
    <row r="478" spans="1:9" x14ac:dyDescent="0.25">
      <c r="A478" s="23" t="str">
        <f t="shared" si="7"/>
        <v/>
      </c>
      <c r="B478" s="38"/>
      <c r="C478" s="33"/>
      <c r="D478" s="180" t="s">
        <v>4</v>
      </c>
      <c r="E478" s="32" t="str">
        <f>IF(A478="","",IF(COUNTIF('Asset Detail'!A:A,A478)&gt;0,"✓ Found","✗ Not Found"))</f>
        <v/>
      </c>
      <c r="F478" s="31" t="str" cm="1">
        <f t="array" ref="F478">IF(A478="","",IFERROR(INDEX('Asset Detail'!C:C,_xlfn.XMATCH(A478,'Asset Detail'!A:A,3)),"—"))</f>
        <v/>
      </c>
      <c r="G478" s="32" t="str" cm="1">
        <f t="array" ref="G478">IF(A478="","",IFERROR(INDEX('Asset Detail'!E:E,_xlfn.XMATCH(A478,'Asset Detail'!A:A,3)),"—"))</f>
        <v/>
      </c>
      <c r="H478" s="34"/>
      <c r="I478" s="39"/>
    </row>
    <row r="479" spans="1:9" x14ac:dyDescent="0.25">
      <c r="A479" s="23" t="str">
        <f t="shared" si="7"/>
        <v/>
      </c>
      <c r="B479" s="38"/>
      <c r="C479" s="33"/>
      <c r="D479" s="180" t="s">
        <v>4</v>
      </c>
      <c r="E479" s="32" t="str">
        <f>IF(A479="","",IF(COUNTIF('Asset Detail'!A:A,A479)&gt;0,"✓ Found","✗ Not Found"))</f>
        <v/>
      </c>
      <c r="F479" s="31" t="str" cm="1">
        <f t="array" ref="F479">IF(A479="","",IFERROR(INDEX('Asset Detail'!C:C,_xlfn.XMATCH(A479,'Asset Detail'!A:A,3)),"—"))</f>
        <v/>
      </c>
      <c r="G479" s="32" t="str" cm="1">
        <f t="array" ref="G479">IF(A479="","",IFERROR(INDEX('Asset Detail'!E:E,_xlfn.XMATCH(A479,'Asset Detail'!A:A,3)),"—"))</f>
        <v/>
      </c>
      <c r="H479" s="34"/>
      <c r="I479" s="39"/>
    </row>
    <row r="480" spans="1:9" x14ac:dyDescent="0.25">
      <c r="A480" s="23" t="str">
        <f t="shared" si="7"/>
        <v/>
      </c>
      <c r="B480" s="38"/>
      <c r="C480" s="33"/>
      <c r="D480" s="180" t="s">
        <v>4</v>
      </c>
      <c r="E480" s="30" t="str">
        <f>IF(A480="","",IF(COUNTIF('Asset Detail'!A:A,A480)&gt;0,"✓ Found","✗ Not Found"))</f>
        <v/>
      </c>
      <c r="F480" s="31" t="str" cm="1">
        <f t="array" ref="F480">IF(A480="","",IFERROR(INDEX('Asset Detail'!C:C,_xlfn.XMATCH(A480,'Asset Detail'!A:A,3)),"—"))</f>
        <v/>
      </c>
      <c r="G480" s="32" t="str" cm="1">
        <f t="array" ref="G480">IF(A480="","",IFERROR(INDEX('Asset Detail'!E:E,_xlfn.XMATCH(A480,'Asset Detail'!A:A,3)),"—"))</f>
        <v/>
      </c>
      <c r="H480" s="34"/>
      <c r="I480" s="39"/>
    </row>
    <row r="481" spans="1:9" x14ac:dyDescent="0.25">
      <c r="A481" s="23" t="str">
        <f t="shared" si="7"/>
        <v/>
      </c>
      <c r="B481" s="38"/>
      <c r="C481" s="33"/>
      <c r="D481" s="180" t="s">
        <v>4</v>
      </c>
      <c r="E481" s="30" t="str">
        <f>IF(A481="","",IF(COUNTIF('Asset Detail'!A:A,A481)&gt;0,"✓ Found","✗ Not Found"))</f>
        <v/>
      </c>
      <c r="F481" s="31" t="str" cm="1">
        <f t="array" ref="F481">IF(A481="","",IFERROR(INDEX('Asset Detail'!C:C,_xlfn.XMATCH(A481,'Asset Detail'!A:A,3)),"—"))</f>
        <v/>
      </c>
      <c r="G481" s="32" t="str" cm="1">
        <f t="array" ref="G481">IF(A481="","",IFERROR(INDEX('Asset Detail'!E:E,_xlfn.XMATCH(A481,'Asset Detail'!A:A,3)),"—"))</f>
        <v/>
      </c>
      <c r="H481" s="34"/>
      <c r="I481" s="39"/>
    </row>
    <row r="482" spans="1:9" x14ac:dyDescent="0.25">
      <c r="A482" s="23" t="str">
        <f t="shared" si="7"/>
        <v/>
      </c>
      <c r="B482" s="38"/>
      <c r="C482" s="33"/>
      <c r="D482" s="180" t="s">
        <v>4</v>
      </c>
      <c r="E482" s="30" t="str">
        <f>IF(A482="","",IF(COUNTIF('Asset Detail'!A:A,A482)&gt;0,"✓ Found","✗ Not Found"))</f>
        <v/>
      </c>
      <c r="F482" s="31" t="str" cm="1">
        <f t="array" ref="F482">IF(A482="","",IFERROR(INDEX('Asset Detail'!C:C,_xlfn.XMATCH(A482,'Asset Detail'!A:A,3)),"—"))</f>
        <v/>
      </c>
      <c r="G482" s="32" t="str" cm="1">
        <f t="array" ref="G482">IF(A482="","",IFERROR(INDEX('Asset Detail'!E:E,_xlfn.XMATCH(A482,'Asset Detail'!A:A,3)),"—"))</f>
        <v/>
      </c>
      <c r="H482" s="34"/>
      <c r="I482" s="39"/>
    </row>
    <row r="483" spans="1:9" x14ac:dyDescent="0.25">
      <c r="A483" s="23" t="str">
        <f t="shared" si="7"/>
        <v/>
      </c>
      <c r="B483" s="38"/>
      <c r="C483" s="33"/>
      <c r="D483" s="180" t="s">
        <v>4</v>
      </c>
      <c r="E483" s="32" t="str">
        <f>IF(A483="","",IF(COUNTIF('Asset Detail'!A:A,A483)&gt;0,"✓ Found","✗ Not Found"))</f>
        <v/>
      </c>
      <c r="F483" s="31" t="str" cm="1">
        <f t="array" ref="F483">IF(A483="","",IFERROR(INDEX('Asset Detail'!C:C,_xlfn.XMATCH(A483,'Asset Detail'!A:A,3)),"—"))</f>
        <v/>
      </c>
      <c r="G483" s="32" t="str" cm="1">
        <f t="array" ref="G483">IF(A483="","",IFERROR(INDEX('Asset Detail'!E:E,_xlfn.XMATCH(A483,'Asset Detail'!A:A,3)),"—"))</f>
        <v/>
      </c>
      <c r="H483" s="34"/>
      <c r="I483" s="39"/>
    </row>
    <row r="484" spans="1:9" x14ac:dyDescent="0.25">
      <c r="A484" s="23" t="str">
        <f t="shared" si="7"/>
        <v/>
      </c>
      <c r="B484" s="38"/>
      <c r="C484" s="33"/>
      <c r="D484" s="180" t="s">
        <v>4</v>
      </c>
      <c r="E484" s="30" t="str">
        <f>IF(A484="","",IF(COUNTIF('Asset Detail'!A:A,A484)&gt;0,"✓ Found","✗ Not Found"))</f>
        <v/>
      </c>
      <c r="F484" s="31" t="str" cm="1">
        <f t="array" ref="F484">IF(A484="","",IFERROR(INDEX('Asset Detail'!C:C,_xlfn.XMATCH(A484,'Asset Detail'!A:A,3)),"—"))</f>
        <v/>
      </c>
      <c r="G484" s="32" t="str" cm="1">
        <f t="array" ref="G484">IF(A484="","",IFERROR(INDEX('Asset Detail'!E:E,_xlfn.XMATCH(A484,'Asset Detail'!A:A,3)),"—"))</f>
        <v/>
      </c>
      <c r="H484" s="34"/>
      <c r="I484" s="39"/>
    </row>
    <row r="485" spans="1:9" x14ac:dyDescent="0.25">
      <c r="A485" s="23" t="str">
        <f t="shared" si="7"/>
        <v/>
      </c>
      <c r="B485" s="38"/>
      <c r="C485" s="34"/>
      <c r="D485" s="180" t="s">
        <v>4</v>
      </c>
      <c r="E485" s="32" t="str">
        <f>IF(A485="","",IF(COUNTIF('Asset Detail'!A:A,A485)&gt;0,"✓ Found","✗ Not Found"))</f>
        <v/>
      </c>
      <c r="F485" s="31" t="str" cm="1">
        <f t="array" ref="F485">IF(A485="","",IFERROR(INDEX('Asset Detail'!C:C,_xlfn.XMATCH(A485,'Asset Detail'!A:A,3)),"—"))</f>
        <v/>
      </c>
      <c r="G485" s="32" t="str" cm="1">
        <f t="array" ref="G485">IF(A485="","",IFERROR(INDEX('Asset Detail'!E:E,_xlfn.XMATCH(A485,'Asset Detail'!A:A,3)),"—"))</f>
        <v/>
      </c>
      <c r="H485" s="34"/>
      <c r="I485" s="39"/>
    </row>
    <row r="486" spans="1:9" x14ac:dyDescent="0.25">
      <c r="A486" s="23" t="str">
        <f t="shared" si="7"/>
        <v/>
      </c>
      <c r="B486" s="38"/>
      <c r="C486" s="33"/>
      <c r="D486" s="180" t="s">
        <v>4</v>
      </c>
      <c r="E486" s="32" t="str">
        <f>IF(A486="","",IF(COUNTIF('Asset Detail'!A:A,A486)&gt;0,"✓ Found","✗ Not Found"))</f>
        <v/>
      </c>
      <c r="F486" s="31" t="str" cm="1">
        <f t="array" ref="F486">IF(A486="","",IFERROR(INDEX('Asset Detail'!C:C,_xlfn.XMATCH(A486,'Asset Detail'!A:A,3)),"—"))</f>
        <v/>
      </c>
      <c r="G486" s="32" t="str" cm="1">
        <f t="array" ref="G486">IF(A486="","",IFERROR(INDEX('Asset Detail'!E:E,_xlfn.XMATCH(A486,'Asset Detail'!A:A,3)),"—"))</f>
        <v/>
      </c>
      <c r="H486" s="34"/>
      <c r="I486" s="39"/>
    </row>
    <row r="487" spans="1:9" x14ac:dyDescent="0.25">
      <c r="A487" s="23" t="str">
        <f t="shared" si="7"/>
        <v/>
      </c>
      <c r="B487" s="38"/>
      <c r="C487" s="33"/>
      <c r="D487" s="180" t="s">
        <v>4</v>
      </c>
      <c r="E487" s="32" t="str">
        <f>IF(A487="","",IF(COUNTIF('Asset Detail'!A:A,A487)&gt;0,"✓ Found","✗ Not Found"))</f>
        <v/>
      </c>
      <c r="F487" s="31" t="str" cm="1">
        <f t="array" ref="F487">IF(A487="","",IFERROR(INDEX('Asset Detail'!C:C,_xlfn.XMATCH(A487,'Asset Detail'!A:A,3)),"—"))</f>
        <v/>
      </c>
      <c r="G487" s="32" t="str" cm="1">
        <f t="array" ref="G487">IF(A487="","",IFERROR(INDEX('Asset Detail'!E:E,_xlfn.XMATCH(A487,'Asset Detail'!A:A,3)),"—"))</f>
        <v/>
      </c>
      <c r="H487" s="34"/>
      <c r="I487" s="39"/>
    </row>
    <row r="488" spans="1:9" x14ac:dyDescent="0.25">
      <c r="A488" s="23" t="str">
        <f t="shared" si="7"/>
        <v/>
      </c>
      <c r="B488" s="38"/>
      <c r="C488" s="34"/>
      <c r="D488" s="180" t="s">
        <v>4</v>
      </c>
      <c r="E488" s="32" t="str">
        <f>IF(A488="","",IF(COUNTIF('Asset Detail'!A:A,A488)&gt;0,"✓ Found","✗ Not Found"))</f>
        <v/>
      </c>
      <c r="F488" s="31" t="str" cm="1">
        <f t="array" ref="F488">IF(A488="","",IFERROR(INDEX('Asset Detail'!C:C,_xlfn.XMATCH(A488,'Asset Detail'!A:A,3)),"—"))</f>
        <v/>
      </c>
      <c r="G488" s="32" t="str" cm="1">
        <f t="array" ref="G488">IF(A488="","",IFERROR(INDEX('Asset Detail'!E:E,_xlfn.XMATCH(A488,'Asset Detail'!A:A,3)),"—"))</f>
        <v/>
      </c>
      <c r="H488" s="34"/>
      <c r="I488" s="39"/>
    </row>
    <row r="489" spans="1:9" x14ac:dyDescent="0.25">
      <c r="A489" s="23" t="str">
        <f t="shared" si="7"/>
        <v/>
      </c>
      <c r="B489" s="38"/>
      <c r="C489" s="33"/>
      <c r="D489" s="180" t="s">
        <v>4</v>
      </c>
      <c r="E489" s="32" t="str">
        <f>IF(A489="","",IF(COUNTIF('Asset Detail'!A:A,A489)&gt;0,"✓ Found","✗ Not Found"))</f>
        <v/>
      </c>
      <c r="F489" s="31" t="str" cm="1">
        <f t="array" ref="F489">IF(A489="","",IFERROR(INDEX('Asset Detail'!C:C,_xlfn.XMATCH(A489,'Asset Detail'!A:A,3)),"—"))</f>
        <v/>
      </c>
      <c r="G489" s="32" t="str" cm="1">
        <f t="array" ref="G489">IF(A489="","",IFERROR(INDEX('Asset Detail'!E:E,_xlfn.XMATCH(A489,'Asset Detail'!A:A,3)),"—"))</f>
        <v/>
      </c>
      <c r="H489" s="34"/>
      <c r="I489" s="39"/>
    </row>
    <row r="490" spans="1:9" x14ac:dyDescent="0.25">
      <c r="A490" s="23" t="str">
        <f t="shared" si="7"/>
        <v/>
      </c>
      <c r="B490" s="38"/>
      <c r="C490" s="33"/>
      <c r="D490" s="180" t="s">
        <v>4</v>
      </c>
      <c r="E490" s="30" t="str">
        <f>IF(A490="","",IF(COUNTIF('Asset Detail'!A:A,A490)&gt;0,"✓ Found","✗ Not Found"))</f>
        <v/>
      </c>
      <c r="F490" s="31" t="str" cm="1">
        <f t="array" ref="F490">IF(A490="","",IFERROR(INDEX('Asset Detail'!C:C,_xlfn.XMATCH(A490,'Asset Detail'!A:A,3)),"—"))</f>
        <v/>
      </c>
      <c r="G490" s="32" t="str" cm="1">
        <f t="array" ref="G490">IF(A490="","",IFERROR(INDEX('Asset Detail'!E:E,_xlfn.XMATCH(A490,'Asset Detail'!A:A,3)),"—"))</f>
        <v/>
      </c>
      <c r="H490" s="34"/>
      <c r="I490" s="39"/>
    </row>
    <row r="491" spans="1:9" x14ac:dyDescent="0.25">
      <c r="A491" s="23" t="str">
        <f t="shared" si="7"/>
        <v/>
      </c>
      <c r="B491" s="38"/>
      <c r="C491" s="33"/>
      <c r="D491" s="180" t="s">
        <v>4</v>
      </c>
      <c r="E491" s="32" t="str">
        <f>IF(A491="","",IF(COUNTIF('Asset Detail'!A:A,A491)&gt;0,"✓ Found","✗ Not Found"))</f>
        <v/>
      </c>
      <c r="F491" s="31" t="str" cm="1">
        <f t="array" ref="F491">IF(A491="","",IFERROR(INDEX('Asset Detail'!C:C,_xlfn.XMATCH(A491,'Asset Detail'!A:A,3)),"—"))</f>
        <v/>
      </c>
      <c r="G491" s="32" t="str" cm="1">
        <f t="array" ref="G491">IF(A491="","",IFERROR(INDEX('Asset Detail'!E:E,_xlfn.XMATCH(A491,'Asset Detail'!A:A,3)),"—"))</f>
        <v/>
      </c>
      <c r="H491" s="34"/>
      <c r="I491" s="39"/>
    </row>
    <row r="492" spans="1:9" x14ac:dyDescent="0.25">
      <c r="A492" s="23" t="str">
        <f t="shared" si="7"/>
        <v/>
      </c>
      <c r="B492" s="38"/>
      <c r="C492" s="33"/>
      <c r="D492" s="180" t="s">
        <v>4</v>
      </c>
      <c r="E492" s="30" t="str">
        <f>IF(A492="","",IF(COUNTIF('Asset Detail'!A:A,A492)&gt;0,"✓ Found","✗ Not Found"))</f>
        <v/>
      </c>
      <c r="F492" s="31" t="str" cm="1">
        <f t="array" ref="F492">IF(A492="","",IFERROR(INDEX('Asset Detail'!C:C,_xlfn.XMATCH(A492,'Asset Detail'!A:A,3)),"—"))</f>
        <v/>
      </c>
      <c r="G492" s="32" t="str" cm="1">
        <f t="array" ref="G492">IF(A492="","",IFERROR(INDEX('Asset Detail'!E:E,_xlfn.XMATCH(A492,'Asset Detail'!A:A,3)),"—"))</f>
        <v/>
      </c>
      <c r="H492" s="34"/>
      <c r="I492" s="39"/>
    </row>
    <row r="493" spans="1:9" x14ac:dyDescent="0.25">
      <c r="A493" s="23" t="str">
        <f t="shared" si="7"/>
        <v/>
      </c>
      <c r="B493" s="38"/>
      <c r="C493" s="33"/>
      <c r="D493" s="180" t="s">
        <v>4</v>
      </c>
      <c r="E493" s="32" t="str">
        <f>IF(A493="","",IF(COUNTIF('Asset Detail'!A:A,A493)&gt;0,"✓ Found","✗ Not Found"))</f>
        <v/>
      </c>
      <c r="F493" s="31" t="str" cm="1">
        <f t="array" ref="F493">IF(A493="","",IFERROR(INDEX('Asset Detail'!C:C,_xlfn.XMATCH(A493,'Asset Detail'!A:A,3)),"—"))</f>
        <v/>
      </c>
      <c r="G493" s="32" t="str" cm="1">
        <f t="array" ref="G493">IF(A493="","",IFERROR(INDEX('Asset Detail'!E:E,_xlfn.XMATCH(A493,'Asset Detail'!A:A,3)),"—"))</f>
        <v/>
      </c>
      <c r="H493" s="34"/>
      <c r="I493" s="39"/>
    </row>
    <row r="494" spans="1:9" x14ac:dyDescent="0.25">
      <c r="A494" s="23" t="str">
        <f t="shared" si="7"/>
        <v/>
      </c>
      <c r="B494" s="38"/>
      <c r="C494" s="33"/>
      <c r="D494" s="180" t="s">
        <v>4</v>
      </c>
      <c r="E494" s="30" t="str">
        <f>IF(A494="","",IF(COUNTIF('Asset Detail'!A:A,A494)&gt;0,"✓ Found","✗ Not Found"))</f>
        <v/>
      </c>
      <c r="F494" s="31" t="str" cm="1">
        <f t="array" ref="F494">IF(A494="","",IFERROR(INDEX('Asset Detail'!C:C,_xlfn.XMATCH(A494,'Asset Detail'!A:A,3)),"—"))</f>
        <v/>
      </c>
      <c r="G494" s="32" t="str" cm="1">
        <f t="array" ref="G494">IF(A494="","",IFERROR(INDEX('Asset Detail'!E:E,_xlfn.XMATCH(A494,'Asset Detail'!A:A,3)),"—"))</f>
        <v/>
      </c>
      <c r="H494" s="34"/>
      <c r="I494" s="39"/>
    </row>
    <row r="495" spans="1:9" x14ac:dyDescent="0.25">
      <c r="A495" s="23" t="str">
        <f t="shared" si="7"/>
        <v/>
      </c>
      <c r="B495" s="38"/>
      <c r="C495" s="33"/>
      <c r="D495" s="180" t="s">
        <v>4</v>
      </c>
      <c r="E495" s="32" t="str">
        <f>IF(A495="","",IF(COUNTIF('Asset Detail'!A:A,A495)&gt;0,"✓ Found","✗ Not Found"))</f>
        <v/>
      </c>
      <c r="F495" s="31" t="str" cm="1">
        <f t="array" ref="F495">IF(A495="","",IFERROR(INDEX('Asset Detail'!C:C,_xlfn.XMATCH(A495,'Asset Detail'!A:A,3)),"—"))</f>
        <v/>
      </c>
      <c r="G495" s="32" t="str" cm="1">
        <f t="array" ref="G495">IF(A495="","",IFERROR(INDEX('Asset Detail'!E:E,_xlfn.XMATCH(A495,'Asset Detail'!A:A,3)),"—"))</f>
        <v/>
      </c>
      <c r="H495" s="34"/>
      <c r="I495" s="39"/>
    </row>
    <row r="496" spans="1:9" x14ac:dyDescent="0.25">
      <c r="A496" s="23" t="str">
        <f t="shared" si="7"/>
        <v/>
      </c>
      <c r="B496" s="38"/>
      <c r="C496" s="33"/>
      <c r="D496" s="180" t="s">
        <v>4</v>
      </c>
      <c r="E496" s="32" t="str">
        <f>IF(A496="","",IF(COUNTIF('Asset Detail'!A:A,A496)&gt;0,"✓ Found","✗ Not Found"))</f>
        <v/>
      </c>
      <c r="F496" s="31" t="str" cm="1">
        <f t="array" ref="F496">IF(A496="","",IFERROR(INDEX('Asset Detail'!C:C,_xlfn.XMATCH(A496,'Asset Detail'!A:A,3)),"—"))</f>
        <v/>
      </c>
      <c r="G496" s="32" t="str" cm="1">
        <f t="array" ref="G496">IF(A496="","",IFERROR(INDEX('Asset Detail'!E:E,_xlfn.XMATCH(A496,'Asset Detail'!A:A,3)),"—"))</f>
        <v/>
      </c>
      <c r="H496" s="34"/>
      <c r="I496" s="39"/>
    </row>
    <row r="497" spans="1:9" x14ac:dyDescent="0.25">
      <c r="A497" s="23" t="str">
        <f t="shared" si="7"/>
        <v/>
      </c>
      <c r="B497" s="38"/>
      <c r="C497" s="33"/>
      <c r="D497" s="180" t="s">
        <v>4</v>
      </c>
      <c r="E497" s="32" t="str">
        <f>IF(A497="","",IF(COUNTIF('Asset Detail'!A:A,A497)&gt;0,"✓ Found","✗ Not Found"))</f>
        <v/>
      </c>
      <c r="F497" s="31" t="str" cm="1">
        <f t="array" ref="F497">IF(A497="","",IFERROR(INDEX('Asset Detail'!C:C,_xlfn.XMATCH(A497,'Asset Detail'!A:A,3)),"—"))</f>
        <v/>
      </c>
      <c r="G497" s="32" t="str" cm="1">
        <f t="array" ref="G497">IF(A497="","",IFERROR(INDEX('Asset Detail'!E:E,_xlfn.XMATCH(A497,'Asset Detail'!A:A,3)),"—"))</f>
        <v/>
      </c>
      <c r="H497" s="34"/>
      <c r="I497" s="39"/>
    </row>
    <row r="498" spans="1:9" x14ac:dyDescent="0.25">
      <c r="A498" s="23" t="str">
        <f t="shared" si="7"/>
        <v/>
      </c>
      <c r="B498" s="38"/>
      <c r="C498" s="33"/>
      <c r="D498" s="180" t="s">
        <v>4</v>
      </c>
      <c r="E498" s="30" t="str">
        <f>IF(A498="","",IF(COUNTIF('Asset Detail'!A:A,A498)&gt;0,"✓ Found","✗ Not Found"))</f>
        <v/>
      </c>
      <c r="F498" s="31" t="str" cm="1">
        <f t="array" ref="F498">IF(A498="","",IFERROR(INDEX('Asset Detail'!C:C,_xlfn.XMATCH(A498,'Asset Detail'!A:A,3)),"—"))</f>
        <v/>
      </c>
      <c r="G498" s="32" t="str" cm="1">
        <f t="array" ref="G498">IF(A498="","",IFERROR(INDEX('Asset Detail'!E:E,_xlfn.XMATCH(A498,'Asset Detail'!A:A,3)),"—"))</f>
        <v/>
      </c>
      <c r="H498" s="34"/>
      <c r="I498" s="39"/>
    </row>
    <row r="499" spans="1:9" x14ac:dyDescent="0.25">
      <c r="A499" s="23" t="str">
        <f t="shared" si="7"/>
        <v/>
      </c>
      <c r="B499" s="38"/>
      <c r="C499" s="33"/>
      <c r="D499" s="180" t="s">
        <v>4</v>
      </c>
      <c r="E499" s="32" t="str">
        <f>IF(A499="","",IF(COUNTIF('Asset Detail'!A:A,A499)&gt;0,"✓ Found","✗ Not Found"))</f>
        <v/>
      </c>
      <c r="F499" s="31" t="str" cm="1">
        <f t="array" ref="F499">IF(A499="","",IFERROR(INDEX('Asset Detail'!C:C,_xlfn.XMATCH(A499,'Asset Detail'!A:A,3)),"—"))</f>
        <v/>
      </c>
      <c r="G499" s="32" t="str" cm="1">
        <f t="array" ref="G499">IF(A499="","",IFERROR(INDEX('Asset Detail'!E:E,_xlfn.XMATCH(A499,'Asset Detail'!A:A,3)),"—"))</f>
        <v/>
      </c>
      <c r="H499" s="34"/>
      <c r="I499" s="39"/>
    </row>
    <row r="500" spans="1:9" x14ac:dyDescent="0.25">
      <c r="A500" s="23" t="str">
        <f t="shared" si="7"/>
        <v/>
      </c>
      <c r="B500" s="38"/>
      <c r="C500" s="33"/>
      <c r="D500" s="180" t="s">
        <v>4</v>
      </c>
      <c r="E500" s="30" t="str">
        <f>IF(A500="","",IF(COUNTIF('Asset Detail'!A:A,A500)&gt;0,"✓ Found","✗ Not Found"))</f>
        <v/>
      </c>
      <c r="F500" s="31" t="str" cm="1">
        <f t="array" ref="F500">IF(A500="","",IFERROR(INDEX('Asset Detail'!C:C,_xlfn.XMATCH(A500,'Asset Detail'!A:A,3)),"—"))</f>
        <v/>
      </c>
      <c r="G500" s="32" t="str" cm="1">
        <f t="array" ref="G500">IF(A500="","",IFERROR(INDEX('Asset Detail'!E:E,_xlfn.XMATCH(A500,'Asset Detail'!A:A,3)),"—"))</f>
        <v/>
      </c>
      <c r="H500" s="34"/>
      <c r="I500" s="39"/>
    </row>
    <row r="501" spans="1:9" x14ac:dyDescent="0.25">
      <c r="A501" s="23" t="str">
        <f t="shared" si="7"/>
        <v/>
      </c>
      <c r="B501" s="38"/>
      <c r="C501" s="33"/>
      <c r="D501" s="180" t="s">
        <v>4</v>
      </c>
      <c r="E501" s="32" t="str">
        <f>IF(A501="","",IF(COUNTIF('Asset Detail'!A:A,A501)&gt;0,"✓ Found","✗ Not Found"))</f>
        <v/>
      </c>
      <c r="F501" s="31" t="str" cm="1">
        <f t="array" ref="F501">IF(A501="","",IFERROR(INDEX('Asset Detail'!C:C,_xlfn.XMATCH(A501,'Asset Detail'!A:A,3)),"—"))</f>
        <v/>
      </c>
      <c r="G501" s="32" t="str" cm="1">
        <f t="array" ref="G501">IF(A501="","",IFERROR(INDEX('Asset Detail'!E:E,_xlfn.XMATCH(A501,'Asset Detail'!A:A,3)),"—"))</f>
        <v/>
      </c>
      <c r="H501" s="34"/>
      <c r="I501" s="39"/>
    </row>
    <row r="502" spans="1:9" x14ac:dyDescent="0.25">
      <c r="A502" s="23" t="str">
        <f t="shared" si="7"/>
        <v/>
      </c>
      <c r="B502" s="38"/>
      <c r="C502" s="33"/>
      <c r="D502" s="180" t="s">
        <v>4</v>
      </c>
      <c r="E502" s="30" t="str">
        <f>IF(A502="","",IF(COUNTIF('Asset Detail'!A:A,A502)&gt;0,"✓ Found","✗ Not Found"))</f>
        <v/>
      </c>
      <c r="F502" s="31" t="str" cm="1">
        <f t="array" ref="F502">IF(A502="","",IFERROR(INDEX('Asset Detail'!C:C,_xlfn.XMATCH(A502,'Asset Detail'!A:A,3)),"—"))</f>
        <v/>
      </c>
      <c r="G502" s="32" t="str" cm="1">
        <f t="array" ref="G502">IF(A502="","",IFERROR(INDEX('Asset Detail'!E:E,_xlfn.XMATCH(A502,'Asset Detail'!A:A,3)),"—"))</f>
        <v/>
      </c>
      <c r="H502" s="34"/>
      <c r="I502" s="39"/>
    </row>
    <row r="503" spans="1:9" x14ac:dyDescent="0.25">
      <c r="A503" s="23" t="str">
        <f t="shared" si="7"/>
        <v/>
      </c>
      <c r="B503" s="38"/>
      <c r="C503" s="33"/>
      <c r="D503" s="180" t="s">
        <v>4</v>
      </c>
      <c r="E503" s="32" t="str">
        <f>IF(A503="","",IF(COUNTIF('Asset Detail'!A:A,A503)&gt;0,"✓ Found","✗ Not Found"))</f>
        <v/>
      </c>
      <c r="F503" s="31" t="str" cm="1">
        <f t="array" ref="F503">IF(A503="","",IFERROR(INDEX('Asset Detail'!C:C,_xlfn.XMATCH(A503,'Asset Detail'!A:A,3)),"—"))</f>
        <v/>
      </c>
      <c r="G503" s="32" t="str" cm="1">
        <f t="array" ref="G503">IF(A503="","",IFERROR(INDEX('Asset Detail'!E:E,_xlfn.XMATCH(A503,'Asset Detail'!A:A,3)),"—"))</f>
        <v/>
      </c>
      <c r="H503" s="34"/>
      <c r="I503" s="39"/>
    </row>
    <row r="504" spans="1:9" x14ac:dyDescent="0.25">
      <c r="A504" s="23" t="str">
        <f t="shared" si="7"/>
        <v/>
      </c>
      <c r="B504" s="38"/>
      <c r="C504" s="33"/>
      <c r="D504" s="180" t="s">
        <v>4</v>
      </c>
      <c r="E504" s="30" t="str">
        <f>IF(A504="","",IF(COUNTIF('Asset Detail'!A:A,A504)&gt;0,"✓ Found","✗ Not Found"))</f>
        <v/>
      </c>
      <c r="F504" s="31" t="str" cm="1">
        <f t="array" ref="F504">IF(A504="","",IFERROR(INDEX('Asset Detail'!C:C,_xlfn.XMATCH(A504,'Asset Detail'!A:A,3)),"—"))</f>
        <v/>
      </c>
      <c r="G504" s="32" t="str" cm="1">
        <f t="array" ref="G504">IF(A504="","",IFERROR(INDEX('Asset Detail'!E:E,_xlfn.XMATCH(A504,'Asset Detail'!A:A,3)),"—"))</f>
        <v/>
      </c>
      <c r="H504" s="34"/>
      <c r="I504" s="39"/>
    </row>
    <row r="505" spans="1:9" x14ac:dyDescent="0.25">
      <c r="A505" s="23" t="str">
        <f t="shared" si="7"/>
        <v/>
      </c>
      <c r="B505" s="38"/>
      <c r="C505" s="33"/>
      <c r="D505" s="180" t="s">
        <v>4</v>
      </c>
      <c r="E505" s="32" t="str">
        <f>IF(A505="","",IF(COUNTIF('Asset Detail'!A:A,A505)&gt;0,"✓ Found","✗ Not Found"))</f>
        <v/>
      </c>
      <c r="F505" s="31" t="str" cm="1">
        <f t="array" ref="F505">IF(A505="","",IFERROR(INDEX('Asset Detail'!C:C,_xlfn.XMATCH(A505,'Asset Detail'!A:A,3)),"—"))</f>
        <v/>
      </c>
      <c r="G505" s="32" t="str" cm="1">
        <f t="array" ref="G505">IF(A505="","",IFERROR(INDEX('Asset Detail'!E:E,_xlfn.XMATCH(A505,'Asset Detail'!A:A,3)),"—"))</f>
        <v/>
      </c>
      <c r="H505" s="34"/>
      <c r="I505" s="39"/>
    </row>
    <row r="506" spans="1:9" x14ac:dyDescent="0.25">
      <c r="A506" s="23" t="str">
        <f t="shared" si="7"/>
        <v/>
      </c>
      <c r="B506" s="38"/>
      <c r="C506" s="33"/>
      <c r="D506" s="180" t="s">
        <v>4</v>
      </c>
      <c r="E506" s="30" t="str">
        <f>IF(A506="","",IF(COUNTIF('Asset Detail'!A:A,A506)&gt;0,"✓ Found","✗ Not Found"))</f>
        <v/>
      </c>
      <c r="F506" s="31" t="str" cm="1">
        <f t="array" ref="F506">IF(A506="","",IFERROR(INDEX('Asset Detail'!C:C,_xlfn.XMATCH(A506,'Asset Detail'!A:A,3)),"—"))</f>
        <v/>
      </c>
      <c r="G506" s="32" t="str" cm="1">
        <f t="array" ref="G506">IF(A506="","",IFERROR(INDEX('Asset Detail'!E:E,_xlfn.XMATCH(A506,'Asset Detail'!A:A,3)),"—"))</f>
        <v/>
      </c>
      <c r="H506" s="34"/>
      <c r="I506" s="39"/>
    </row>
    <row r="507" spans="1:9" x14ac:dyDescent="0.25">
      <c r="A507" s="23" t="str">
        <f t="shared" si="7"/>
        <v/>
      </c>
      <c r="B507" s="38"/>
      <c r="C507" s="34"/>
      <c r="D507" s="180" t="s">
        <v>4</v>
      </c>
      <c r="E507" s="32" t="str">
        <f>IF(A507="","",IF(COUNTIF('Asset Detail'!A:A,A507)&gt;0,"✓ Found","✗ Not Found"))</f>
        <v/>
      </c>
      <c r="F507" s="31" t="str" cm="1">
        <f t="array" ref="F507">IF(A507="","",IFERROR(INDEX('Asset Detail'!C:C,_xlfn.XMATCH(A507,'Asset Detail'!A:A,3)),"—"))</f>
        <v/>
      </c>
      <c r="G507" s="32" t="str" cm="1">
        <f t="array" ref="G507">IF(A507="","",IFERROR(INDEX('Asset Detail'!E:E,_xlfn.XMATCH(A507,'Asset Detail'!A:A,3)),"—"))</f>
        <v/>
      </c>
      <c r="H507" s="34"/>
      <c r="I507" s="39"/>
    </row>
    <row r="508" spans="1:9" x14ac:dyDescent="0.25">
      <c r="A508" s="23" t="str">
        <f t="shared" si="7"/>
        <v/>
      </c>
      <c r="B508" s="38"/>
      <c r="C508" s="33"/>
      <c r="D508" s="180" t="s">
        <v>4</v>
      </c>
      <c r="E508" s="30" t="str">
        <f>IF(A508="","",IF(COUNTIF('Asset Detail'!A:A,A508)&gt;0,"✓ Found","✗ Not Found"))</f>
        <v/>
      </c>
      <c r="F508" s="31" t="str" cm="1">
        <f t="array" ref="F508">IF(A508="","",IFERROR(INDEX('Asset Detail'!C:C,_xlfn.XMATCH(A508,'Asset Detail'!A:A,3)),"—"))</f>
        <v/>
      </c>
      <c r="G508" s="32" t="str" cm="1">
        <f t="array" ref="G508">IF(A508="","",IFERROR(INDEX('Asset Detail'!E:E,_xlfn.XMATCH(A508,'Asset Detail'!A:A,3)),"—"))</f>
        <v/>
      </c>
      <c r="H508" s="34"/>
      <c r="I508" s="39"/>
    </row>
    <row r="509" spans="1:9" x14ac:dyDescent="0.25">
      <c r="A509" s="23" t="str">
        <f t="shared" si="7"/>
        <v/>
      </c>
      <c r="B509" s="38"/>
      <c r="C509" s="33"/>
      <c r="D509" s="180" t="s">
        <v>4</v>
      </c>
      <c r="E509" s="30" t="str">
        <f>IF(A509="","",IF(COUNTIF('Asset Detail'!A:A,A509)&gt;0,"✓ Found","✗ Not Found"))</f>
        <v/>
      </c>
      <c r="F509" s="31" t="str" cm="1">
        <f t="array" ref="F509">IF(A509="","",IFERROR(INDEX('Asset Detail'!C:C,_xlfn.XMATCH(A509,'Asset Detail'!A:A,3)),"—"))</f>
        <v/>
      </c>
      <c r="G509" s="32" t="str" cm="1">
        <f t="array" ref="G509">IF(A509="","",IFERROR(INDEX('Asset Detail'!E:E,_xlfn.XMATCH(A509,'Asset Detail'!A:A,3)),"—"))</f>
        <v/>
      </c>
      <c r="H509" s="34"/>
      <c r="I509" s="39"/>
    </row>
    <row r="510" spans="1:9" x14ac:dyDescent="0.25">
      <c r="A510" s="23" t="str">
        <f t="shared" si="7"/>
        <v/>
      </c>
      <c r="B510" s="38"/>
      <c r="C510" s="33"/>
      <c r="D510" s="180" t="s">
        <v>4</v>
      </c>
      <c r="E510" s="30" t="str">
        <f>IF(A510="","",IF(COUNTIF('Asset Detail'!A:A,A510)&gt;0,"✓ Found","✗ Not Found"))</f>
        <v/>
      </c>
      <c r="F510" s="31" t="str" cm="1">
        <f t="array" ref="F510">IF(A510="","",IFERROR(INDEX('Asset Detail'!C:C,_xlfn.XMATCH(A510,'Asset Detail'!A:A,3)),"—"))</f>
        <v/>
      </c>
      <c r="G510" s="32" t="str" cm="1">
        <f t="array" ref="G510">IF(A510="","",IFERROR(INDEX('Asset Detail'!E:E,_xlfn.XMATCH(A510,'Asset Detail'!A:A,3)),"—"))</f>
        <v/>
      </c>
      <c r="H510" s="34"/>
      <c r="I510" s="39"/>
    </row>
    <row r="511" spans="1:9" x14ac:dyDescent="0.25">
      <c r="A511" s="23" t="str">
        <f t="shared" si="7"/>
        <v/>
      </c>
      <c r="B511" s="38"/>
      <c r="C511" s="33"/>
      <c r="D511" s="180" t="s">
        <v>4</v>
      </c>
      <c r="E511" s="32" t="str">
        <f>IF(A511="","",IF(COUNTIF('Asset Detail'!A:A,A511)&gt;0,"✓ Found","✗ Not Found"))</f>
        <v/>
      </c>
      <c r="F511" s="31" t="str" cm="1">
        <f t="array" ref="F511">IF(A511="","",IFERROR(INDEX('Asset Detail'!C:C,_xlfn.XMATCH(A511,'Asset Detail'!A:A,3)),"—"))</f>
        <v/>
      </c>
      <c r="G511" s="32" t="str" cm="1">
        <f t="array" ref="G511">IF(A511="","",IFERROR(INDEX('Asset Detail'!E:E,_xlfn.XMATCH(A511,'Asset Detail'!A:A,3)),"—"))</f>
        <v/>
      </c>
      <c r="H511" s="34"/>
      <c r="I511" s="39"/>
    </row>
    <row r="512" spans="1:9" x14ac:dyDescent="0.25">
      <c r="A512" s="23" t="str">
        <f t="shared" si="7"/>
        <v/>
      </c>
      <c r="B512" s="38"/>
      <c r="C512" s="33"/>
      <c r="D512" s="180" t="s">
        <v>4</v>
      </c>
      <c r="E512" s="30" t="str">
        <f>IF(A512="","",IF(COUNTIF('Asset Detail'!A:A,A512)&gt;0,"✓ Found","✗ Not Found"))</f>
        <v/>
      </c>
      <c r="F512" s="31" t="str" cm="1">
        <f t="array" ref="F512">IF(A512="","",IFERROR(INDEX('Asset Detail'!C:C,_xlfn.XMATCH(A512,'Asset Detail'!A:A,3)),"—"))</f>
        <v/>
      </c>
      <c r="G512" s="32" t="str" cm="1">
        <f t="array" ref="G512">IF(A512="","",IFERROR(INDEX('Asset Detail'!E:E,_xlfn.XMATCH(A512,'Asset Detail'!A:A,3)),"—"))</f>
        <v/>
      </c>
      <c r="H512" s="34"/>
      <c r="I512" s="39"/>
    </row>
    <row r="513" spans="1:9" x14ac:dyDescent="0.25">
      <c r="A513" s="23" t="str">
        <f t="shared" si="7"/>
        <v/>
      </c>
      <c r="B513" s="38"/>
      <c r="C513" s="33"/>
      <c r="D513" s="180" t="s">
        <v>4</v>
      </c>
      <c r="E513" s="30" t="str">
        <f>IF(A513="","",IF(COUNTIF('Asset Detail'!A:A,A513)&gt;0,"✓ Found","✗ Not Found"))</f>
        <v/>
      </c>
      <c r="F513" s="31" t="str" cm="1">
        <f t="array" ref="F513">IF(A513="","",IFERROR(INDEX('Asset Detail'!C:C,_xlfn.XMATCH(A513,'Asset Detail'!A:A,3)),"—"))</f>
        <v/>
      </c>
      <c r="G513" s="32" t="str" cm="1">
        <f t="array" ref="G513">IF(A513="","",IFERROR(INDEX('Asset Detail'!E:E,_xlfn.XMATCH(A513,'Asset Detail'!A:A,3)),"—"))</f>
        <v/>
      </c>
      <c r="H513" s="34"/>
      <c r="I513" s="39"/>
    </row>
    <row r="514" spans="1:9" x14ac:dyDescent="0.25">
      <c r="A514" s="23" t="str">
        <f t="shared" si="7"/>
        <v/>
      </c>
      <c r="B514" s="38"/>
      <c r="C514" s="33"/>
      <c r="D514" s="180" t="s">
        <v>4</v>
      </c>
      <c r="E514" s="32" t="str">
        <f>IF(A514="","",IF(COUNTIF('Asset Detail'!A:A,A514)&gt;0,"✓ Found","✗ Not Found"))</f>
        <v/>
      </c>
      <c r="F514" s="31" t="str" cm="1">
        <f t="array" ref="F514">IF(A514="","",IFERROR(INDEX('Asset Detail'!C:C,_xlfn.XMATCH(A514,'Asset Detail'!A:A,3)),"—"))</f>
        <v/>
      </c>
      <c r="G514" s="32" t="str" cm="1">
        <f t="array" ref="G514">IF(A514="","",IFERROR(INDEX('Asset Detail'!E:E,_xlfn.XMATCH(A514,'Asset Detail'!A:A,3)),"—"))</f>
        <v/>
      </c>
      <c r="H514" s="34"/>
      <c r="I514" s="39"/>
    </row>
    <row r="515" spans="1:9" x14ac:dyDescent="0.25">
      <c r="A515" s="23" t="str">
        <f t="shared" si="7"/>
        <v/>
      </c>
      <c r="B515" s="38"/>
      <c r="C515" s="34"/>
      <c r="D515" s="180" t="s">
        <v>4</v>
      </c>
      <c r="E515" s="32" t="str">
        <f>IF(A515="","",IF(COUNTIF('Asset Detail'!A:A,A515)&gt;0,"✓ Found","✗ Not Found"))</f>
        <v/>
      </c>
      <c r="F515" s="31" t="str" cm="1">
        <f t="array" ref="F515">IF(A515="","",IFERROR(INDEX('Asset Detail'!C:C,_xlfn.XMATCH(A515,'Asset Detail'!A:A,3)),"—"))</f>
        <v/>
      </c>
      <c r="G515" s="32" t="str" cm="1">
        <f t="array" ref="G515">IF(A515="","",IFERROR(INDEX('Asset Detail'!E:E,_xlfn.XMATCH(A515,'Asset Detail'!A:A,3)),"—"))</f>
        <v/>
      </c>
      <c r="H515" s="34"/>
      <c r="I515" s="39"/>
    </row>
    <row r="516" spans="1:9" x14ac:dyDescent="0.25">
      <c r="A516" s="23" t="str">
        <f t="shared" si="7"/>
        <v/>
      </c>
      <c r="B516" s="38"/>
      <c r="C516" s="33"/>
      <c r="D516" s="180" t="s">
        <v>4</v>
      </c>
      <c r="E516" s="32" t="str">
        <f>IF(A516="","",IF(COUNTIF('Asset Detail'!A:A,A516)&gt;0,"✓ Found","✗ Not Found"))</f>
        <v/>
      </c>
      <c r="F516" s="31" t="str" cm="1">
        <f t="array" ref="F516">IF(A516="","",IFERROR(INDEX('Asset Detail'!C:C,_xlfn.XMATCH(A516,'Asset Detail'!A:A,3)),"—"))</f>
        <v/>
      </c>
      <c r="G516" s="32" t="str" cm="1">
        <f t="array" ref="G516">IF(A516="","",IFERROR(INDEX('Asset Detail'!E:E,_xlfn.XMATCH(A516,'Asset Detail'!A:A,3)),"—"))</f>
        <v/>
      </c>
      <c r="H516" s="34"/>
      <c r="I516" s="39"/>
    </row>
    <row r="517" spans="1:9" x14ac:dyDescent="0.25">
      <c r="A517" s="23" t="str">
        <f t="shared" si="7"/>
        <v/>
      </c>
      <c r="B517" s="38"/>
      <c r="C517" s="33"/>
      <c r="D517" s="180" t="s">
        <v>4</v>
      </c>
      <c r="E517" s="30" t="str">
        <f>IF(A517="","",IF(COUNTIF('Asset Detail'!A:A,A517)&gt;0,"✓ Found","✗ Not Found"))</f>
        <v/>
      </c>
      <c r="F517" s="31" t="str" cm="1">
        <f t="array" ref="F517">IF(A517="","",IFERROR(INDEX('Asset Detail'!C:C,_xlfn.XMATCH(A517,'Asset Detail'!A:A,3)),"—"))</f>
        <v/>
      </c>
      <c r="G517" s="32" t="str" cm="1">
        <f t="array" ref="G517">IF(A517="","",IFERROR(INDEX('Asset Detail'!E:E,_xlfn.XMATCH(A517,'Asset Detail'!A:A,3)),"—"))</f>
        <v/>
      </c>
      <c r="H517" s="34"/>
      <c r="I517" s="39"/>
    </row>
    <row r="518" spans="1:9" x14ac:dyDescent="0.25">
      <c r="A518" s="23" t="str">
        <f t="shared" si="7"/>
        <v/>
      </c>
      <c r="B518" s="38"/>
      <c r="C518" s="33"/>
      <c r="D518" s="180" t="s">
        <v>4</v>
      </c>
      <c r="E518" s="32" t="str">
        <f>IF(A518="","",IF(COUNTIF('Asset Detail'!A:A,A518)&gt;0,"✓ Found","✗ Not Found"))</f>
        <v/>
      </c>
      <c r="F518" s="31" t="str" cm="1">
        <f t="array" ref="F518">IF(A518="","",IFERROR(INDEX('Asset Detail'!C:C,_xlfn.XMATCH(A518,'Asset Detail'!A:A,3)),"—"))</f>
        <v/>
      </c>
      <c r="G518" s="32" t="str" cm="1">
        <f t="array" ref="G518">IF(A518="","",IFERROR(INDEX('Asset Detail'!E:E,_xlfn.XMATCH(A518,'Asset Detail'!A:A,3)),"—"))</f>
        <v/>
      </c>
      <c r="H518" s="34"/>
      <c r="I518" s="39"/>
    </row>
    <row r="519" spans="1:9" x14ac:dyDescent="0.25">
      <c r="A519" s="23" t="str">
        <f t="shared" si="7"/>
        <v/>
      </c>
      <c r="B519" s="38"/>
      <c r="C519" s="33"/>
      <c r="D519" s="180" t="s">
        <v>4</v>
      </c>
      <c r="E519" s="30" t="str">
        <f>IF(A519="","",IF(COUNTIF('Asset Detail'!A:A,A519)&gt;0,"✓ Found","✗ Not Found"))</f>
        <v/>
      </c>
      <c r="F519" s="31" t="str" cm="1">
        <f t="array" ref="F519">IF(A519="","",IFERROR(INDEX('Asset Detail'!C:C,_xlfn.XMATCH(A519,'Asset Detail'!A:A,3)),"—"))</f>
        <v/>
      </c>
      <c r="G519" s="32" t="str" cm="1">
        <f t="array" ref="G519">IF(A519="","",IFERROR(INDEX('Asset Detail'!E:E,_xlfn.XMATCH(A519,'Asset Detail'!A:A,3)),"—"))</f>
        <v/>
      </c>
      <c r="H519" s="34"/>
      <c r="I519" s="39"/>
    </row>
    <row r="520" spans="1:9" x14ac:dyDescent="0.25">
      <c r="A520" s="23" t="str">
        <f t="shared" ref="A520:A583" si="8">SUBSTITUTE(I520, "S", "")</f>
        <v/>
      </c>
      <c r="B520" s="38"/>
      <c r="C520" s="33"/>
      <c r="D520" s="180" t="s">
        <v>4</v>
      </c>
      <c r="E520" s="32" t="str">
        <f>IF(A520="","",IF(COUNTIF('Asset Detail'!A:A,A520)&gt;0,"✓ Found","✗ Not Found"))</f>
        <v/>
      </c>
      <c r="F520" s="31" t="str" cm="1">
        <f t="array" ref="F520">IF(A520="","",IFERROR(INDEX('Asset Detail'!C:C,_xlfn.XMATCH(A520,'Asset Detail'!A:A,3)),"—"))</f>
        <v/>
      </c>
      <c r="G520" s="32" t="str" cm="1">
        <f t="array" ref="G520">IF(A520="","",IFERROR(INDEX('Asset Detail'!E:E,_xlfn.XMATCH(A520,'Asset Detail'!A:A,3)),"—"))</f>
        <v/>
      </c>
      <c r="H520" s="34"/>
      <c r="I520" s="39"/>
    </row>
    <row r="521" spans="1:9" x14ac:dyDescent="0.25">
      <c r="A521" s="23" t="str">
        <f t="shared" si="8"/>
        <v/>
      </c>
      <c r="B521" s="38"/>
      <c r="C521" s="33"/>
      <c r="D521" s="180" t="s">
        <v>4</v>
      </c>
      <c r="E521" s="30" t="str">
        <f>IF(A521="","",IF(COUNTIF('Asset Detail'!A:A,A521)&gt;0,"✓ Found","✗ Not Found"))</f>
        <v/>
      </c>
      <c r="F521" s="31" t="str" cm="1">
        <f t="array" ref="F521">IF(A521="","",IFERROR(INDEX('Asset Detail'!C:C,_xlfn.XMATCH(A521,'Asset Detail'!A:A,3)),"—"))</f>
        <v/>
      </c>
      <c r="G521" s="32" t="str" cm="1">
        <f t="array" ref="G521">IF(A521="","",IFERROR(INDEX('Asset Detail'!E:E,_xlfn.XMATCH(A521,'Asset Detail'!A:A,3)),"—"))</f>
        <v/>
      </c>
      <c r="H521" s="34"/>
      <c r="I521" s="39"/>
    </row>
    <row r="522" spans="1:9" x14ac:dyDescent="0.25">
      <c r="A522" s="23" t="str">
        <f t="shared" si="8"/>
        <v/>
      </c>
      <c r="B522" s="38"/>
      <c r="C522" s="33"/>
      <c r="D522" s="180" t="s">
        <v>4</v>
      </c>
      <c r="E522" s="30" t="str">
        <f>IF(A522="","",IF(COUNTIF('Asset Detail'!A:A,A522)&gt;0,"✓ Found","✗ Not Found"))</f>
        <v/>
      </c>
      <c r="F522" s="31" t="str" cm="1">
        <f t="array" ref="F522">IF(A522="","",IFERROR(INDEX('Asset Detail'!C:C,_xlfn.XMATCH(A522,'Asset Detail'!A:A,3)),"—"))</f>
        <v/>
      </c>
      <c r="G522" s="32" t="str" cm="1">
        <f t="array" ref="G522">IF(A522="","",IFERROR(INDEX('Asset Detail'!E:E,_xlfn.XMATCH(A522,'Asset Detail'!A:A,3)),"—"))</f>
        <v/>
      </c>
      <c r="H522" s="34"/>
      <c r="I522" s="39"/>
    </row>
    <row r="523" spans="1:9" x14ac:dyDescent="0.25">
      <c r="A523" s="23" t="str">
        <f t="shared" si="8"/>
        <v/>
      </c>
      <c r="B523" s="38"/>
      <c r="C523" s="33"/>
      <c r="D523" s="180" t="s">
        <v>4</v>
      </c>
      <c r="E523" s="32" t="str">
        <f>IF(A523="","",IF(COUNTIF('Asset Detail'!A:A,A523)&gt;0,"✓ Found","✗ Not Found"))</f>
        <v/>
      </c>
      <c r="F523" s="31" t="str" cm="1">
        <f t="array" ref="F523">IF(A523="","",IFERROR(INDEX('Asset Detail'!C:C,_xlfn.XMATCH(A523,'Asset Detail'!A:A,3)),"—"))</f>
        <v/>
      </c>
      <c r="G523" s="32" t="str" cm="1">
        <f t="array" ref="G523">IF(A523="","",IFERROR(INDEX('Asset Detail'!E:E,_xlfn.XMATCH(A523,'Asset Detail'!A:A,3)),"—"))</f>
        <v/>
      </c>
      <c r="H523" s="34"/>
      <c r="I523" s="39"/>
    </row>
    <row r="524" spans="1:9" x14ac:dyDescent="0.25">
      <c r="A524" s="23" t="str">
        <f t="shared" si="8"/>
        <v/>
      </c>
      <c r="B524" s="38"/>
      <c r="C524" s="33"/>
      <c r="D524" s="180" t="s">
        <v>4</v>
      </c>
      <c r="E524" s="30" t="str">
        <f>IF(A524="","",IF(COUNTIF('Asset Detail'!A:A,A524)&gt;0,"✓ Found","✗ Not Found"))</f>
        <v/>
      </c>
      <c r="F524" s="31" t="str" cm="1">
        <f t="array" ref="F524">IF(A524="","",IFERROR(INDEX('Asset Detail'!C:C,_xlfn.XMATCH(A524,'Asset Detail'!A:A,3)),"—"))</f>
        <v/>
      </c>
      <c r="G524" s="32" t="str" cm="1">
        <f t="array" ref="G524">IF(A524="","",IFERROR(INDEX('Asset Detail'!E:E,_xlfn.XMATCH(A524,'Asset Detail'!A:A,3)),"—"))</f>
        <v/>
      </c>
      <c r="H524" s="34"/>
      <c r="I524" s="39"/>
    </row>
    <row r="525" spans="1:9" x14ac:dyDescent="0.25">
      <c r="A525" s="23" t="str">
        <f t="shared" si="8"/>
        <v/>
      </c>
      <c r="B525" s="38"/>
      <c r="C525" s="33"/>
      <c r="D525" s="180" t="s">
        <v>4</v>
      </c>
      <c r="E525" s="32" t="str">
        <f>IF(A525="","",IF(COUNTIF('Asset Detail'!A:A,A525)&gt;0,"✓ Found","✗ Not Found"))</f>
        <v/>
      </c>
      <c r="F525" s="31" t="str" cm="1">
        <f t="array" ref="F525">IF(A525="","",IFERROR(INDEX('Asset Detail'!C:C,_xlfn.XMATCH(A525,'Asset Detail'!A:A,3)),"—"))</f>
        <v/>
      </c>
      <c r="G525" s="32" t="str" cm="1">
        <f t="array" ref="G525">IF(A525="","",IFERROR(INDEX('Asset Detail'!E:E,_xlfn.XMATCH(A525,'Asset Detail'!A:A,3)),"—"))</f>
        <v/>
      </c>
      <c r="H525" s="34"/>
      <c r="I525" s="39"/>
    </row>
    <row r="526" spans="1:9" x14ac:dyDescent="0.25">
      <c r="A526" s="23" t="str">
        <f t="shared" si="8"/>
        <v/>
      </c>
      <c r="B526" s="38"/>
      <c r="C526" s="33"/>
      <c r="D526" s="180" t="s">
        <v>4</v>
      </c>
      <c r="E526" s="30" t="str">
        <f>IF(A526="","",IF(COUNTIF('Asset Detail'!A:A,A526)&gt;0,"✓ Found","✗ Not Found"))</f>
        <v/>
      </c>
      <c r="F526" s="31" t="str" cm="1">
        <f t="array" ref="F526">IF(A526="","",IFERROR(INDEX('Asset Detail'!C:C,_xlfn.XMATCH(A526,'Asset Detail'!A:A,3)),"—"))</f>
        <v/>
      </c>
      <c r="G526" s="32" t="str" cm="1">
        <f t="array" ref="G526">IF(A526="","",IFERROR(INDEX('Asset Detail'!E:E,_xlfn.XMATCH(A526,'Asset Detail'!A:A,3)),"—"))</f>
        <v/>
      </c>
      <c r="H526" s="34"/>
      <c r="I526" s="39"/>
    </row>
    <row r="527" spans="1:9" x14ac:dyDescent="0.25">
      <c r="A527" s="23" t="str">
        <f t="shared" si="8"/>
        <v/>
      </c>
      <c r="B527" s="38"/>
      <c r="C527" s="33"/>
      <c r="D527" s="180" t="s">
        <v>4</v>
      </c>
      <c r="E527" s="32" t="str">
        <f>IF(A527="","",IF(COUNTIF('Asset Detail'!A:A,A527)&gt;0,"✓ Found","✗ Not Found"))</f>
        <v/>
      </c>
      <c r="F527" s="31" t="str" cm="1">
        <f t="array" ref="F527">IF(A527="","",IFERROR(INDEX('Asset Detail'!C:C,_xlfn.XMATCH(A527,'Asset Detail'!A:A,3)),"—"))</f>
        <v/>
      </c>
      <c r="G527" s="32" t="str" cm="1">
        <f t="array" ref="G527">IF(A527="","",IFERROR(INDEX('Asset Detail'!E:E,_xlfn.XMATCH(A527,'Asset Detail'!A:A,3)),"—"))</f>
        <v/>
      </c>
      <c r="H527" s="34"/>
      <c r="I527" s="39"/>
    </row>
    <row r="528" spans="1:9" x14ac:dyDescent="0.25">
      <c r="A528" s="23" t="str">
        <f t="shared" si="8"/>
        <v/>
      </c>
      <c r="B528" s="38"/>
      <c r="C528" s="33"/>
      <c r="D528" s="180" t="s">
        <v>4</v>
      </c>
      <c r="E528" s="32" t="str">
        <f>IF(A528="","",IF(COUNTIF('Asset Detail'!A:A,A528)&gt;0,"✓ Found","✗ Not Found"))</f>
        <v/>
      </c>
      <c r="F528" s="31" t="str" cm="1">
        <f t="array" ref="F528">IF(A528="","",IFERROR(INDEX('Asset Detail'!C:C,_xlfn.XMATCH(A528,'Asset Detail'!A:A,3)),"—"))</f>
        <v/>
      </c>
      <c r="G528" s="32" t="str" cm="1">
        <f t="array" ref="G528">IF(A528="","",IFERROR(INDEX('Asset Detail'!E:E,_xlfn.XMATCH(A528,'Asset Detail'!A:A,3)),"—"))</f>
        <v/>
      </c>
      <c r="H528" s="34"/>
      <c r="I528" s="39"/>
    </row>
    <row r="529" spans="1:9" x14ac:dyDescent="0.25">
      <c r="A529" s="23" t="str">
        <f t="shared" si="8"/>
        <v/>
      </c>
      <c r="B529" s="38"/>
      <c r="C529" s="33"/>
      <c r="D529" s="180" t="s">
        <v>4</v>
      </c>
      <c r="E529" s="30" t="str">
        <f>IF(A529="","",IF(COUNTIF('Asset Detail'!A:A,A529)&gt;0,"✓ Found","✗ Not Found"))</f>
        <v/>
      </c>
      <c r="F529" s="31" t="str" cm="1">
        <f t="array" ref="F529">IF(A529="","",IFERROR(INDEX('Asset Detail'!C:C,_xlfn.XMATCH(A529,'Asset Detail'!A:A,3)),"—"))</f>
        <v/>
      </c>
      <c r="G529" s="32" t="str" cm="1">
        <f t="array" ref="G529">IF(A529="","",IFERROR(INDEX('Asset Detail'!E:E,_xlfn.XMATCH(A529,'Asset Detail'!A:A,3)),"—"))</f>
        <v/>
      </c>
      <c r="H529" s="34"/>
      <c r="I529" s="39"/>
    </row>
    <row r="530" spans="1:9" x14ac:dyDescent="0.25">
      <c r="A530" s="23" t="str">
        <f t="shared" si="8"/>
        <v/>
      </c>
      <c r="B530" s="38"/>
      <c r="C530" s="33"/>
      <c r="D530" s="180" t="s">
        <v>4</v>
      </c>
      <c r="E530" s="30" t="str">
        <f>IF(A530="","",IF(COUNTIF('Asset Detail'!A:A,A530)&gt;0,"✓ Found","✗ Not Found"))</f>
        <v/>
      </c>
      <c r="F530" s="31" t="str" cm="1">
        <f t="array" ref="F530">IF(A530="","",IFERROR(INDEX('Asset Detail'!C:C,_xlfn.XMATCH(A530,'Asset Detail'!A:A,3)),"—"))</f>
        <v/>
      </c>
      <c r="G530" s="32" t="str" cm="1">
        <f t="array" ref="G530">IF(A530="","",IFERROR(INDEX('Asset Detail'!E:E,_xlfn.XMATCH(A530,'Asset Detail'!A:A,3)),"—"))</f>
        <v/>
      </c>
      <c r="H530" s="34"/>
      <c r="I530" s="39"/>
    </row>
    <row r="531" spans="1:9" x14ac:dyDescent="0.25">
      <c r="A531" s="23" t="str">
        <f t="shared" si="8"/>
        <v/>
      </c>
      <c r="B531" s="38"/>
      <c r="C531" s="33"/>
      <c r="D531" s="180" t="s">
        <v>4</v>
      </c>
      <c r="E531" s="30" t="str">
        <f>IF(A531="","",IF(COUNTIF('Asset Detail'!A:A,A531)&gt;0,"✓ Found","✗ Not Found"))</f>
        <v/>
      </c>
      <c r="F531" s="31" t="str" cm="1">
        <f t="array" ref="F531">IF(A531="","",IFERROR(INDEX('Asset Detail'!C:C,_xlfn.XMATCH(A531,'Asset Detail'!A:A,3)),"—"))</f>
        <v/>
      </c>
      <c r="G531" s="32" t="str" cm="1">
        <f t="array" ref="G531">IF(A531="","",IFERROR(INDEX('Asset Detail'!E:E,_xlfn.XMATCH(A531,'Asset Detail'!A:A,3)),"—"))</f>
        <v/>
      </c>
      <c r="H531" s="34"/>
      <c r="I531" s="39"/>
    </row>
    <row r="532" spans="1:9" x14ac:dyDescent="0.25">
      <c r="A532" s="23" t="str">
        <f t="shared" si="8"/>
        <v/>
      </c>
      <c r="B532" s="38"/>
      <c r="C532" s="33"/>
      <c r="D532" s="180" t="s">
        <v>4</v>
      </c>
      <c r="E532" s="30" t="str">
        <f>IF(A532="","",IF(COUNTIF('Asset Detail'!A:A,A532)&gt;0,"✓ Found","✗ Not Found"))</f>
        <v/>
      </c>
      <c r="F532" s="31" t="str" cm="1">
        <f t="array" ref="F532">IF(A532="","",IFERROR(INDEX('Asset Detail'!C:C,_xlfn.XMATCH(A532,'Asset Detail'!A:A,3)),"—"))</f>
        <v/>
      </c>
      <c r="G532" s="32" t="str" cm="1">
        <f t="array" ref="G532">IF(A532="","",IFERROR(INDEX('Asset Detail'!E:E,_xlfn.XMATCH(A532,'Asset Detail'!A:A,3)),"—"))</f>
        <v/>
      </c>
      <c r="H532" s="34"/>
      <c r="I532" s="39"/>
    </row>
    <row r="533" spans="1:9" x14ac:dyDescent="0.25">
      <c r="A533" s="23" t="str">
        <f t="shared" si="8"/>
        <v/>
      </c>
      <c r="B533" s="38"/>
      <c r="C533" s="33"/>
      <c r="D533" s="180" t="s">
        <v>4</v>
      </c>
      <c r="E533" s="32" t="str">
        <f>IF(A533="","",IF(COUNTIF('Asset Detail'!A:A,A533)&gt;0,"✓ Found","✗ Not Found"))</f>
        <v/>
      </c>
      <c r="F533" s="31" t="str" cm="1">
        <f t="array" ref="F533">IF(A533="","",IFERROR(INDEX('Asset Detail'!C:C,_xlfn.XMATCH(A533,'Asset Detail'!A:A,3)),"—"))</f>
        <v/>
      </c>
      <c r="G533" s="32" t="str" cm="1">
        <f t="array" ref="G533">IF(A533="","",IFERROR(INDEX('Asset Detail'!E:E,_xlfn.XMATCH(A533,'Asset Detail'!A:A,3)),"—"))</f>
        <v/>
      </c>
      <c r="H533" s="34"/>
      <c r="I533" s="39"/>
    </row>
    <row r="534" spans="1:9" x14ac:dyDescent="0.25">
      <c r="A534" s="23" t="str">
        <f t="shared" si="8"/>
        <v/>
      </c>
      <c r="B534" s="38"/>
      <c r="C534" s="33"/>
      <c r="D534" s="180" t="s">
        <v>4</v>
      </c>
      <c r="E534" s="32" t="str">
        <f>IF(A534="","",IF(COUNTIF('Asset Detail'!A:A,A534)&gt;0,"✓ Found","✗ Not Found"))</f>
        <v/>
      </c>
      <c r="F534" s="31" t="str" cm="1">
        <f t="array" ref="F534">IF(A534="","",IFERROR(INDEX('Asset Detail'!C:C,_xlfn.XMATCH(A534,'Asset Detail'!A:A,3)),"—"))</f>
        <v/>
      </c>
      <c r="G534" s="32" t="str" cm="1">
        <f t="array" ref="G534">IF(A534="","",IFERROR(INDEX('Asset Detail'!E:E,_xlfn.XMATCH(A534,'Asset Detail'!A:A,3)),"—"))</f>
        <v/>
      </c>
      <c r="H534" s="34"/>
      <c r="I534" s="39"/>
    </row>
    <row r="535" spans="1:9" x14ac:dyDescent="0.25">
      <c r="A535" s="23" t="str">
        <f t="shared" si="8"/>
        <v/>
      </c>
      <c r="B535" s="38"/>
      <c r="C535" s="33"/>
      <c r="D535" s="180" t="s">
        <v>4</v>
      </c>
      <c r="E535" s="30" t="str">
        <f>IF(A535="","",IF(COUNTIF('Asset Detail'!A:A,A535)&gt;0,"✓ Found","✗ Not Found"))</f>
        <v/>
      </c>
      <c r="F535" s="31" t="str" cm="1">
        <f t="array" ref="F535">IF(A535="","",IFERROR(INDEX('Asset Detail'!C:C,_xlfn.XMATCH(A535,'Asset Detail'!A:A,3)),"—"))</f>
        <v/>
      </c>
      <c r="G535" s="32" t="str" cm="1">
        <f t="array" ref="G535">IF(A535="","",IFERROR(INDEX('Asset Detail'!E:E,_xlfn.XMATCH(A535,'Asset Detail'!A:A,3)),"—"))</f>
        <v/>
      </c>
      <c r="H535" s="34"/>
      <c r="I535" s="39"/>
    </row>
    <row r="536" spans="1:9" x14ac:dyDescent="0.25">
      <c r="A536" s="23" t="str">
        <f t="shared" si="8"/>
        <v/>
      </c>
      <c r="B536" s="38"/>
      <c r="C536" s="34"/>
      <c r="D536" s="180" t="s">
        <v>4</v>
      </c>
      <c r="E536" s="32" t="str">
        <f>IF(A536="","",IF(COUNTIF('Asset Detail'!A:A,A536)&gt;0,"✓ Found","✗ Not Found"))</f>
        <v/>
      </c>
      <c r="F536" s="31" t="str" cm="1">
        <f t="array" ref="F536">IF(A536="","",IFERROR(INDEX('Asset Detail'!C:C,_xlfn.XMATCH(A536,'Asset Detail'!A:A,3)),"—"))</f>
        <v/>
      </c>
      <c r="G536" s="32" t="str" cm="1">
        <f t="array" ref="G536">IF(A536="","",IFERROR(INDEX('Asset Detail'!E:E,_xlfn.XMATCH(A536,'Asset Detail'!A:A,3)),"—"))</f>
        <v/>
      </c>
      <c r="H536" s="34"/>
      <c r="I536" s="39"/>
    </row>
    <row r="537" spans="1:9" x14ac:dyDescent="0.25">
      <c r="A537" s="23" t="str">
        <f t="shared" si="8"/>
        <v/>
      </c>
      <c r="B537" s="38"/>
      <c r="C537" s="33"/>
      <c r="D537" s="180" t="s">
        <v>4</v>
      </c>
      <c r="E537" s="30" t="str">
        <f>IF(A537="","",IF(COUNTIF('Asset Detail'!A:A,A537)&gt;0,"✓ Found","✗ Not Found"))</f>
        <v/>
      </c>
      <c r="F537" s="31" t="str" cm="1">
        <f t="array" ref="F537">IF(A537="","",IFERROR(INDEX('Asset Detail'!C:C,_xlfn.XMATCH(A537,'Asset Detail'!A:A,3)),"—"))</f>
        <v/>
      </c>
      <c r="G537" s="32" t="str" cm="1">
        <f t="array" ref="G537">IF(A537="","",IFERROR(INDEX('Asset Detail'!E:E,_xlfn.XMATCH(A537,'Asset Detail'!A:A,3)),"—"))</f>
        <v/>
      </c>
      <c r="H537" s="34"/>
      <c r="I537" s="39"/>
    </row>
    <row r="538" spans="1:9" x14ac:dyDescent="0.25">
      <c r="A538" s="23" t="str">
        <f t="shared" si="8"/>
        <v/>
      </c>
      <c r="B538" s="38"/>
      <c r="C538" s="33"/>
      <c r="D538" s="180" t="s">
        <v>4</v>
      </c>
      <c r="E538" s="32" t="str">
        <f>IF(A538="","",IF(COUNTIF('Asset Detail'!A:A,A538)&gt;0,"✓ Found","✗ Not Found"))</f>
        <v/>
      </c>
      <c r="F538" s="31" t="str" cm="1">
        <f t="array" ref="F538">IF(A538="","",IFERROR(INDEX('Asset Detail'!C:C,_xlfn.XMATCH(A538,'Asset Detail'!A:A,3)),"—"))</f>
        <v/>
      </c>
      <c r="G538" s="32" t="str" cm="1">
        <f t="array" ref="G538">IF(A538="","",IFERROR(INDEX('Asset Detail'!E:E,_xlfn.XMATCH(A538,'Asset Detail'!A:A,3)),"—"))</f>
        <v/>
      </c>
      <c r="H538" s="34"/>
      <c r="I538" s="39"/>
    </row>
    <row r="539" spans="1:9" x14ac:dyDescent="0.25">
      <c r="A539" s="23" t="str">
        <f t="shared" si="8"/>
        <v/>
      </c>
      <c r="B539" s="38"/>
      <c r="C539" s="33"/>
      <c r="D539" s="180" t="s">
        <v>4</v>
      </c>
      <c r="E539" s="30" t="str">
        <f>IF(A539="","",IF(COUNTIF('Asset Detail'!A:A,A539)&gt;0,"✓ Found","✗ Not Found"))</f>
        <v/>
      </c>
      <c r="F539" s="31" t="str" cm="1">
        <f t="array" ref="F539">IF(A539="","",IFERROR(INDEX('Asset Detail'!C:C,_xlfn.XMATCH(A539,'Asset Detail'!A:A,3)),"—"))</f>
        <v/>
      </c>
      <c r="G539" s="32" t="str" cm="1">
        <f t="array" ref="G539">IF(A539="","",IFERROR(INDEX('Asset Detail'!E:E,_xlfn.XMATCH(A539,'Asset Detail'!A:A,3)),"—"))</f>
        <v/>
      </c>
      <c r="H539" s="34"/>
      <c r="I539" s="39"/>
    </row>
    <row r="540" spans="1:9" x14ac:dyDescent="0.25">
      <c r="A540" s="23" t="str">
        <f t="shared" si="8"/>
        <v/>
      </c>
      <c r="B540" s="38"/>
      <c r="C540" s="34"/>
      <c r="D540" s="180" t="s">
        <v>4</v>
      </c>
      <c r="E540" s="32" t="str">
        <f>IF(A540="","",IF(COUNTIF('Asset Detail'!A:A,A540)&gt;0,"✓ Found","✗ Not Found"))</f>
        <v/>
      </c>
      <c r="F540" s="31" t="str" cm="1">
        <f t="array" ref="F540">IF(A540="","",IFERROR(INDEX('Asset Detail'!C:C,_xlfn.XMATCH(A540,'Asset Detail'!A:A,3)),"—"))</f>
        <v/>
      </c>
      <c r="G540" s="32" t="str" cm="1">
        <f t="array" ref="G540">IF(A540="","",IFERROR(INDEX('Asset Detail'!E:E,_xlfn.XMATCH(A540,'Asset Detail'!A:A,3)),"—"))</f>
        <v/>
      </c>
      <c r="H540" s="34"/>
      <c r="I540" s="39"/>
    </row>
    <row r="541" spans="1:9" x14ac:dyDescent="0.25">
      <c r="A541" s="23" t="str">
        <f t="shared" si="8"/>
        <v/>
      </c>
      <c r="B541" s="38"/>
      <c r="C541" s="33"/>
      <c r="D541" s="180" t="s">
        <v>4</v>
      </c>
      <c r="E541" s="32" t="str">
        <f>IF(A541="","",IF(COUNTIF('Asset Detail'!A:A,A541)&gt;0,"✓ Found","✗ Not Found"))</f>
        <v/>
      </c>
      <c r="F541" s="31" t="str" cm="1">
        <f t="array" ref="F541">IF(A541="","",IFERROR(INDEX('Asset Detail'!C:C,_xlfn.XMATCH(A541,'Asset Detail'!A:A,3)),"—"))</f>
        <v/>
      </c>
      <c r="G541" s="32" t="str" cm="1">
        <f t="array" ref="G541">IF(A541="","",IFERROR(INDEX('Asset Detail'!E:E,_xlfn.XMATCH(A541,'Asset Detail'!A:A,3)),"—"))</f>
        <v/>
      </c>
      <c r="H541" s="34"/>
      <c r="I541" s="39"/>
    </row>
    <row r="542" spans="1:9" x14ac:dyDescent="0.25">
      <c r="A542" s="23" t="str">
        <f t="shared" si="8"/>
        <v/>
      </c>
      <c r="B542" s="38"/>
      <c r="C542" s="33"/>
      <c r="D542" s="180" t="s">
        <v>4</v>
      </c>
      <c r="E542" s="30" t="str">
        <f>IF(A542="","",IF(COUNTIF('Asset Detail'!A:A,A542)&gt;0,"✓ Found","✗ Not Found"))</f>
        <v/>
      </c>
      <c r="F542" s="31" t="str" cm="1">
        <f t="array" ref="F542">IF(A542="","",IFERROR(INDEX('Asset Detail'!C:C,_xlfn.XMATCH(A542,'Asset Detail'!A:A,3)),"—"))</f>
        <v/>
      </c>
      <c r="G542" s="32" t="str" cm="1">
        <f t="array" ref="G542">IF(A542="","",IFERROR(INDEX('Asset Detail'!E:E,_xlfn.XMATCH(A542,'Asset Detail'!A:A,3)),"—"))</f>
        <v/>
      </c>
      <c r="H542" s="34"/>
      <c r="I542" s="39"/>
    </row>
    <row r="543" spans="1:9" x14ac:dyDescent="0.25">
      <c r="A543" s="23" t="str">
        <f t="shared" si="8"/>
        <v/>
      </c>
      <c r="B543" s="38"/>
      <c r="C543" s="33"/>
      <c r="D543" s="180" t="s">
        <v>4</v>
      </c>
      <c r="E543" s="32" t="str">
        <f>IF(A543="","",IF(COUNTIF('Asset Detail'!A:A,A543)&gt;0,"✓ Found","✗ Not Found"))</f>
        <v/>
      </c>
      <c r="F543" s="31" t="str" cm="1">
        <f t="array" ref="F543">IF(A543="","",IFERROR(INDEX('Asset Detail'!C:C,_xlfn.XMATCH(A543,'Asset Detail'!A:A,3)),"—"))</f>
        <v/>
      </c>
      <c r="G543" s="32" t="str" cm="1">
        <f t="array" ref="G543">IF(A543="","",IFERROR(INDEX('Asset Detail'!E:E,_xlfn.XMATCH(A543,'Asset Detail'!A:A,3)),"—"))</f>
        <v/>
      </c>
      <c r="H543" s="34"/>
      <c r="I543" s="39"/>
    </row>
    <row r="544" spans="1:9" x14ac:dyDescent="0.25">
      <c r="A544" s="23" t="str">
        <f t="shared" si="8"/>
        <v/>
      </c>
      <c r="B544" s="38"/>
      <c r="C544" s="33"/>
      <c r="D544" s="180" t="s">
        <v>4</v>
      </c>
      <c r="E544" s="30" t="str">
        <f>IF(A544="","",IF(COUNTIF('Asset Detail'!A:A,A544)&gt;0,"✓ Found","✗ Not Found"))</f>
        <v/>
      </c>
      <c r="F544" s="31" t="str" cm="1">
        <f t="array" ref="F544">IF(A544="","",IFERROR(INDEX('Asset Detail'!C:C,_xlfn.XMATCH(A544,'Asset Detail'!A:A,3)),"—"))</f>
        <v/>
      </c>
      <c r="G544" s="32" t="str" cm="1">
        <f t="array" ref="G544">IF(A544="","",IFERROR(INDEX('Asset Detail'!E:E,_xlfn.XMATCH(A544,'Asset Detail'!A:A,3)),"—"))</f>
        <v/>
      </c>
      <c r="H544" s="34"/>
      <c r="I544" s="39"/>
    </row>
    <row r="545" spans="1:9" x14ac:dyDescent="0.25">
      <c r="A545" s="23" t="str">
        <f t="shared" si="8"/>
        <v/>
      </c>
      <c r="B545" s="38"/>
      <c r="C545" s="33"/>
      <c r="D545" s="180" t="s">
        <v>4</v>
      </c>
      <c r="E545" s="32" t="str">
        <f>IF(A545="","",IF(COUNTIF('Asset Detail'!A:A,A545)&gt;0,"✓ Found","✗ Not Found"))</f>
        <v/>
      </c>
      <c r="F545" s="31" t="str" cm="1">
        <f t="array" ref="F545">IF(A545="","",IFERROR(INDEX('Asset Detail'!C:C,_xlfn.XMATCH(A545,'Asset Detail'!A:A,3)),"—"))</f>
        <v/>
      </c>
      <c r="G545" s="32" t="str" cm="1">
        <f t="array" ref="G545">IF(A545="","",IFERROR(INDEX('Asset Detail'!E:E,_xlfn.XMATCH(A545,'Asset Detail'!A:A,3)),"—"))</f>
        <v/>
      </c>
      <c r="H545" s="34"/>
      <c r="I545" s="39"/>
    </row>
    <row r="546" spans="1:9" x14ac:dyDescent="0.25">
      <c r="A546" s="23" t="str">
        <f t="shared" si="8"/>
        <v/>
      </c>
      <c r="B546" s="38"/>
      <c r="C546" s="33"/>
      <c r="D546" s="180" t="s">
        <v>4</v>
      </c>
      <c r="E546" s="30" t="str">
        <f>IF(A546="","",IF(COUNTIF('Asset Detail'!A:A,A546)&gt;0,"✓ Found","✗ Not Found"))</f>
        <v/>
      </c>
      <c r="F546" s="31" t="str" cm="1">
        <f t="array" ref="F546">IF(A546="","",IFERROR(INDEX('Asset Detail'!C:C,_xlfn.XMATCH(A546,'Asset Detail'!A:A,3)),"—"))</f>
        <v/>
      </c>
      <c r="G546" s="32" t="str" cm="1">
        <f t="array" ref="G546">IF(A546="","",IFERROR(INDEX('Asset Detail'!E:E,_xlfn.XMATCH(A546,'Asset Detail'!A:A,3)),"—"))</f>
        <v/>
      </c>
      <c r="H546" s="34"/>
      <c r="I546" s="39"/>
    </row>
    <row r="547" spans="1:9" x14ac:dyDescent="0.25">
      <c r="A547" s="23" t="str">
        <f t="shared" si="8"/>
        <v/>
      </c>
      <c r="B547" s="38"/>
      <c r="C547" s="33"/>
      <c r="D547" s="180" t="s">
        <v>4</v>
      </c>
      <c r="E547" s="30" t="str">
        <f>IF(A547="","",IF(COUNTIF('Asset Detail'!A:A,A547)&gt;0,"✓ Found","✗ Not Found"))</f>
        <v/>
      </c>
      <c r="F547" s="31" t="str" cm="1">
        <f t="array" ref="F547">IF(A547="","",IFERROR(INDEX('Asset Detail'!C:C,_xlfn.XMATCH(A547,'Asset Detail'!A:A,3)),"—"))</f>
        <v/>
      </c>
      <c r="G547" s="32" t="str" cm="1">
        <f t="array" ref="G547">IF(A547="","",IFERROR(INDEX('Asset Detail'!E:E,_xlfn.XMATCH(A547,'Asset Detail'!A:A,3)),"—"))</f>
        <v/>
      </c>
      <c r="H547" s="34"/>
      <c r="I547" s="39"/>
    </row>
    <row r="548" spans="1:9" x14ac:dyDescent="0.25">
      <c r="A548" s="23" t="str">
        <f t="shared" si="8"/>
        <v/>
      </c>
      <c r="B548" s="38"/>
      <c r="C548" s="33"/>
      <c r="D548" s="180" t="s">
        <v>4</v>
      </c>
      <c r="E548" s="32" t="str">
        <f>IF(A548="","",IF(COUNTIF('Asset Detail'!A:A,A548)&gt;0,"✓ Found","✗ Not Found"))</f>
        <v/>
      </c>
      <c r="F548" s="31" t="str" cm="1">
        <f t="array" ref="F548">IF(A548="","",IFERROR(INDEX('Asset Detail'!C:C,_xlfn.XMATCH(A548,'Asset Detail'!A:A,3)),"—"))</f>
        <v/>
      </c>
      <c r="G548" s="32" t="str" cm="1">
        <f t="array" ref="G548">IF(A548="","",IFERROR(INDEX('Asset Detail'!E:E,_xlfn.XMATCH(A548,'Asset Detail'!A:A,3)),"—"))</f>
        <v/>
      </c>
      <c r="H548" s="34"/>
      <c r="I548" s="39"/>
    </row>
    <row r="549" spans="1:9" x14ac:dyDescent="0.25">
      <c r="A549" s="23" t="str">
        <f t="shared" si="8"/>
        <v/>
      </c>
      <c r="B549" s="38"/>
      <c r="C549" s="33"/>
      <c r="D549" s="180" t="s">
        <v>4</v>
      </c>
      <c r="E549" s="32" t="str">
        <f>IF(A549="","",IF(COUNTIF('Asset Detail'!A:A,A549)&gt;0,"✓ Found","✗ Not Found"))</f>
        <v/>
      </c>
      <c r="F549" s="31" t="str" cm="1">
        <f t="array" ref="F549">IF(A549="","",IFERROR(INDEX('Asset Detail'!C:C,_xlfn.XMATCH(A549,'Asset Detail'!A:A,3)),"—"))</f>
        <v/>
      </c>
      <c r="G549" s="32" t="str" cm="1">
        <f t="array" ref="G549">IF(A549="","",IFERROR(INDEX('Asset Detail'!E:E,_xlfn.XMATCH(A549,'Asset Detail'!A:A,3)),"—"))</f>
        <v/>
      </c>
      <c r="H549" s="34"/>
      <c r="I549" s="39"/>
    </row>
    <row r="550" spans="1:9" x14ac:dyDescent="0.25">
      <c r="A550" s="23" t="str">
        <f t="shared" si="8"/>
        <v/>
      </c>
      <c r="B550" s="38"/>
      <c r="C550" s="33"/>
      <c r="D550" s="180" t="s">
        <v>4</v>
      </c>
      <c r="E550" s="32" t="str">
        <f>IF(A550="","",IF(COUNTIF('Asset Detail'!A:A,A550)&gt;0,"✓ Found","✗ Not Found"))</f>
        <v/>
      </c>
      <c r="F550" s="31" t="str" cm="1">
        <f t="array" ref="F550">IF(A550="","",IFERROR(INDEX('Asset Detail'!C:C,_xlfn.XMATCH(A550,'Asset Detail'!A:A,3)),"—"))</f>
        <v/>
      </c>
      <c r="G550" s="32" t="str" cm="1">
        <f t="array" ref="G550">IF(A550="","",IFERROR(INDEX('Asset Detail'!E:E,_xlfn.XMATCH(A550,'Asset Detail'!A:A,3)),"—"))</f>
        <v/>
      </c>
      <c r="H550" s="34"/>
      <c r="I550" s="39"/>
    </row>
    <row r="551" spans="1:9" x14ac:dyDescent="0.25">
      <c r="A551" s="23" t="str">
        <f t="shared" si="8"/>
        <v/>
      </c>
      <c r="B551" s="38"/>
      <c r="C551" s="33"/>
      <c r="D551" s="180" t="s">
        <v>4</v>
      </c>
      <c r="E551" s="32" t="str">
        <f>IF(A551="","",IF(COUNTIF('Asset Detail'!A:A,A551)&gt;0,"✓ Found","✗ Not Found"))</f>
        <v/>
      </c>
      <c r="F551" s="31" t="str" cm="1">
        <f t="array" ref="F551">IF(A551="","",IFERROR(INDEX('Asset Detail'!C:C,_xlfn.XMATCH(A551,'Asset Detail'!A:A,3)),"—"))</f>
        <v/>
      </c>
      <c r="G551" s="32" t="str" cm="1">
        <f t="array" ref="G551">IF(A551="","",IFERROR(INDEX('Asset Detail'!E:E,_xlfn.XMATCH(A551,'Asset Detail'!A:A,3)),"—"))</f>
        <v/>
      </c>
      <c r="H551" s="34"/>
      <c r="I551" s="39"/>
    </row>
    <row r="552" spans="1:9" x14ac:dyDescent="0.25">
      <c r="A552" s="23" t="str">
        <f t="shared" si="8"/>
        <v/>
      </c>
      <c r="B552" s="38"/>
      <c r="C552" s="33"/>
      <c r="D552" s="180" t="s">
        <v>4</v>
      </c>
      <c r="E552" s="32" t="str">
        <f>IF(A552="","",IF(COUNTIF('Asset Detail'!A:A,A552)&gt;0,"✓ Found","✗ Not Found"))</f>
        <v/>
      </c>
      <c r="F552" s="31" t="str" cm="1">
        <f t="array" ref="F552">IF(A552="","",IFERROR(INDEX('Asset Detail'!C:C,_xlfn.XMATCH(A552,'Asset Detail'!A:A,3)),"—"))</f>
        <v/>
      </c>
      <c r="G552" s="32" t="str" cm="1">
        <f t="array" ref="G552">IF(A552="","",IFERROR(INDEX('Asset Detail'!E:E,_xlfn.XMATCH(A552,'Asset Detail'!A:A,3)),"—"))</f>
        <v/>
      </c>
      <c r="H552" s="34"/>
      <c r="I552" s="39"/>
    </row>
    <row r="553" spans="1:9" x14ac:dyDescent="0.25">
      <c r="A553" s="23" t="str">
        <f t="shared" si="8"/>
        <v/>
      </c>
      <c r="B553" s="38"/>
      <c r="C553" s="33"/>
      <c r="D553" s="180" t="s">
        <v>4</v>
      </c>
      <c r="E553" s="30" t="str">
        <f>IF(A553="","",IF(COUNTIF('Asset Detail'!A:A,A553)&gt;0,"✓ Found","✗ Not Found"))</f>
        <v/>
      </c>
      <c r="F553" s="31" t="str" cm="1">
        <f t="array" ref="F553">IF(A553="","",IFERROR(INDEX('Asset Detail'!C:C,_xlfn.XMATCH(A553,'Asset Detail'!A:A,3)),"—"))</f>
        <v/>
      </c>
      <c r="G553" s="32" t="str" cm="1">
        <f t="array" ref="G553">IF(A553="","",IFERROR(INDEX('Asset Detail'!E:E,_xlfn.XMATCH(A553,'Asset Detail'!A:A,3)),"—"))</f>
        <v/>
      </c>
      <c r="H553" s="34"/>
      <c r="I553" s="39"/>
    </row>
    <row r="554" spans="1:9" x14ac:dyDescent="0.25">
      <c r="A554" s="23" t="str">
        <f t="shared" si="8"/>
        <v/>
      </c>
      <c r="B554" s="38"/>
      <c r="C554" s="33"/>
      <c r="D554" s="180" t="s">
        <v>4</v>
      </c>
      <c r="E554" s="32" t="str">
        <f>IF(A554="","",IF(COUNTIF('Asset Detail'!A:A,A554)&gt;0,"✓ Found","✗ Not Found"))</f>
        <v/>
      </c>
      <c r="F554" s="31" t="str" cm="1">
        <f t="array" ref="F554">IF(A554="","",IFERROR(INDEX('Asset Detail'!C:C,_xlfn.XMATCH(A554,'Asset Detail'!A:A,3)),"—"))</f>
        <v/>
      </c>
      <c r="G554" s="32" t="str" cm="1">
        <f t="array" ref="G554">IF(A554="","",IFERROR(INDEX('Asset Detail'!E:E,_xlfn.XMATCH(A554,'Asset Detail'!A:A,3)),"—"))</f>
        <v/>
      </c>
      <c r="H554" s="34"/>
      <c r="I554" s="39"/>
    </row>
    <row r="555" spans="1:9" x14ac:dyDescent="0.25">
      <c r="A555" s="23" t="str">
        <f t="shared" si="8"/>
        <v/>
      </c>
      <c r="B555" s="38"/>
      <c r="C555" s="33"/>
      <c r="D555" s="180" t="s">
        <v>4</v>
      </c>
      <c r="E555" s="32" t="str">
        <f>IF(A555="","",IF(COUNTIF('Asset Detail'!A:A,A555)&gt;0,"✓ Found","✗ Not Found"))</f>
        <v/>
      </c>
      <c r="F555" s="31" t="str" cm="1">
        <f t="array" ref="F555">IF(A555="","",IFERROR(INDEX('Asset Detail'!C:C,_xlfn.XMATCH(A555,'Asset Detail'!A:A,3)),"—"))</f>
        <v/>
      </c>
      <c r="G555" s="32" t="str" cm="1">
        <f t="array" ref="G555">IF(A555="","",IFERROR(INDEX('Asset Detail'!E:E,_xlfn.XMATCH(A555,'Asset Detail'!A:A,3)),"—"))</f>
        <v/>
      </c>
      <c r="H555" s="34"/>
      <c r="I555" s="39"/>
    </row>
    <row r="556" spans="1:9" x14ac:dyDescent="0.25">
      <c r="A556" s="23" t="str">
        <f t="shared" si="8"/>
        <v/>
      </c>
      <c r="B556" s="38"/>
      <c r="C556" s="33"/>
      <c r="D556" s="180" t="s">
        <v>4</v>
      </c>
      <c r="E556" s="30" t="str">
        <f>IF(A556="","",IF(COUNTIF('Asset Detail'!A:A,A556)&gt;0,"✓ Found","✗ Not Found"))</f>
        <v/>
      </c>
      <c r="F556" s="31" t="str" cm="1">
        <f t="array" ref="F556">IF(A556="","",IFERROR(INDEX('Asset Detail'!C:C,_xlfn.XMATCH(A556,'Asset Detail'!A:A,3)),"—"))</f>
        <v/>
      </c>
      <c r="G556" s="32" t="str" cm="1">
        <f t="array" ref="G556">IF(A556="","",IFERROR(INDEX('Asset Detail'!E:E,_xlfn.XMATCH(A556,'Asset Detail'!A:A,3)),"—"))</f>
        <v/>
      </c>
      <c r="H556" s="34"/>
      <c r="I556" s="39"/>
    </row>
    <row r="557" spans="1:9" x14ac:dyDescent="0.25">
      <c r="A557" s="23" t="str">
        <f t="shared" si="8"/>
        <v/>
      </c>
      <c r="B557" s="38"/>
      <c r="C557" s="33"/>
      <c r="D557" s="180" t="s">
        <v>4</v>
      </c>
      <c r="E557" s="30" t="str">
        <f>IF(A557="","",IF(COUNTIF('Asset Detail'!A:A,A557)&gt;0,"✓ Found","✗ Not Found"))</f>
        <v/>
      </c>
      <c r="F557" s="31" t="str" cm="1">
        <f t="array" ref="F557">IF(A557="","",IFERROR(INDEX('Asset Detail'!C:C,_xlfn.XMATCH(A557,'Asset Detail'!A:A,3)),"—"))</f>
        <v/>
      </c>
      <c r="G557" s="32" t="str" cm="1">
        <f t="array" ref="G557">IF(A557="","",IFERROR(INDEX('Asset Detail'!E:E,_xlfn.XMATCH(A557,'Asset Detail'!A:A,3)),"—"))</f>
        <v/>
      </c>
      <c r="H557" s="34"/>
      <c r="I557" s="39"/>
    </row>
    <row r="558" spans="1:9" x14ac:dyDescent="0.25">
      <c r="A558" s="23" t="str">
        <f t="shared" si="8"/>
        <v/>
      </c>
      <c r="B558" s="38"/>
      <c r="C558" s="33"/>
      <c r="D558" s="180" t="s">
        <v>4</v>
      </c>
      <c r="E558" s="32" t="str">
        <f>IF(A558="","",IF(COUNTIF('Asset Detail'!A:A,A558)&gt;0,"✓ Found","✗ Not Found"))</f>
        <v/>
      </c>
      <c r="F558" s="31" t="str" cm="1">
        <f t="array" ref="F558">IF(A558="","",IFERROR(INDEX('Asset Detail'!C:C,_xlfn.XMATCH(A558,'Asset Detail'!A:A,3)),"—"))</f>
        <v/>
      </c>
      <c r="G558" s="32" t="str" cm="1">
        <f t="array" ref="G558">IF(A558="","",IFERROR(INDEX('Asset Detail'!E:E,_xlfn.XMATCH(A558,'Asset Detail'!A:A,3)),"—"))</f>
        <v/>
      </c>
      <c r="H558" s="34"/>
      <c r="I558" s="39"/>
    </row>
    <row r="559" spans="1:9" x14ac:dyDescent="0.25">
      <c r="A559" s="23" t="str">
        <f t="shared" si="8"/>
        <v/>
      </c>
      <c r="B559" s="38"/>
      <c r="C559" s="33"/>
      <c r="D559" s="180" t="s">
        <v>4</v>
      </c>
      <c r="E559" s="30" t="str">
        <f>IF(A559="","",IF(COUNTIF('Asset Detail'!A:A,A559)&gt;0,"✓ Found","✗ Not Found"))</f>
        <v/>
      </c>
      <c r="F559" s="31" t="str" cm="1">
        <f t="array" ref="F559">IF(A559="","",IFERROR(INDEX('Asset Detail'!C:C,_xlfn.XMATCH(A559,'Asset Detail'!A:A,3)),"—"))</f>
        <v/>
      </c>
      <c r="G559" s="32" t="str" cm="1">
        <f t="array" ref="G559">IF(A559="","",IFERROR(INDEX('Asset Detail'!E:E,_xlfn.XMATCH(A559,'Asset Detail'!A:A,3)),"—"))</f>
        <v/>
      </c>
      <c r="H559" s="34"/>
      <c r="I559" s="39"/>
    </row>
    <row r="560" spans="1:9" x14ac:dyDescent="0.25">
      <c r="A560" s="23" t="str">
        <f t="shared" si="8"/>
        <v/>
      </c>
      <c r="B560" s="38"/>
      <c r="C560" s="33"/>
      <c r="D560" s="180" t="s">
        <v>4</v>
      </c>
      <c r="E560" s="30" t="str">
        <f>IF(A560="","",IF(COUNTIF('Asset Detail'!A:A,A560)&gt;0,"✓ Found","✗ Not Found"))</f>
        <v/>
      </c>
      <c r="F560" s="31" t="str" cm="1">
        <f t="array" ref="F560">IF(A560="","",IFERROR(INDEX('Asset Detail'!C:C,_xlfn.XMATCH(A560,'Asset Detail'!A:A,3)),"—"))</f>
        <v/>
      </c>
      <c r="G560" s="32" t="str" cm="1">
        <f t="array" ref="G560">IF(A560="","",IFERROR(INDEX('Asset Detail'!E:E,_xlfn.XMATCH(A560,'Asset Detail'!A:A,3)),"—"))</f>
        <v/>
      </c>
      <c r="H560" s="34"/>
      <c r="I560" s="39"/>
    </row>
    <row r="561" spans="1:9" x14ac:dyDescent="0.25">
      <c r="A561" s="23" t="str">
        <f t="shared" si="8"/>
        <v/>
      </c>
      <c r="B561" s="38"/>
      <c r="C561" s="33"/>
      <c r="D561" s="180" t="s">
        <v>4</v>
      </c>
      <c r="E561" s="30" t="str">
        <f>IF(A561="","",IF(COUNTIF('Asset Detail'!A:A,A561)&gt;0,"✓ Found","✗ Not Found"))</f>
        <v/>
      </c>
      <c r="F561" s="31" t="str" cm="1">
        <f t="array" ref="F561">IF(A561="","",IFERROR(INDEX('Asset Detail'!C:C,_xlfn.XMATCH(A561,'Asset Detail'!A:A,3)),"—"))</f>
        <v/>
      </c>
      <c r="G561" s="32" t="str" cm="1">
        <f t="array" ref="G561">IF(A561="","",IFERROR(INDEX('Asset Detail'!E:E,_xlfn.XMATCH(A561,'Asset Detail'!A:A,3)),"—"))</f>
        <v/>
      </c>
      <c r="H561" s="34"/>
      <c r="I561" s="39"/>
    </row>
    <row r="562" spans="1:9" x14ac:dyDescent="0.25">
      <c r="A562" s="23" t="str">
        <f t="shared" si="8"/>
        <v/>
      </c>
      <c r="B562" s="38"/>
      <c r="C562" s="33"/>
      <c r="D562" s="180" t="s">
        <v>4</v>
      </c>
      <c r="E562" s="32" t="str">
        <f>IF(A562="","",IF(COUNTIF('Asset Detail'!A:A,A562)&gt;0,"✓ Found","✗ Not Found"))</f>
        <v/>
      </c>
      <c r="F562" s="31" t="str" cm="1">
        <f t="array" ref="F562">IF(A562="","",IFERROR(INDEX('Asset Detail'!C:C,_xlfn.XMATCH(A562,'Asset Detail'!A:A,3)),"—"))</f>
        <v/>
      </c>
      <c r="G562" s="32" t="str" cm="1">
        <f t="array" ref="G562">IF(A562="","",IFERROR(INDEX('Asset Detail'!E:E,_xlfn.XMATCH(A562,'Asset Detail'!A:A,3)),"—"))</f>
        <v/>
      </c>
      <c r="H562" s="34"/>
      <c r="I562" s="39"/>
    </row>
    <row r="563" spans="1:9" x14ac:dyDescent="0.25">
      <c r="A563" s="23" t="str">
        <f t="shared" si="8"/>
        <v/>
      </c>
      <c r="B563" s="38"/>
      <c r="C563" s="34"/>
      <c r="D563" s="180" t="s">
        <v>4</v>
      </c>
      <c r="E563" s="32" t="str">
        <f>IF(A563="","",IF(COUNTIF('Asset Detail'!A:A,A563)&gt;0,"✓ Found","✗ Not Found"))</f>
        <v/>
      </c>
      <c r="F563" s="31" t="str" cm="1">
        <f t="array" ref="F563">IF(A563="","",IFERROR(INDEX('Asset Detail'!C:C,_xlfn.XMATCH(A563,'Asset Detail'!A:A,3)),"—"))</f>
        <v/>
      </c>
      <c r="G563" s="32" t="str" cm="1">
        <f t="array" ref="G563">IF(A563="","",IFERROR(INDEX('Asset Detail'!E:E,_xlfn.XMATCH(A563,'Asset Detail'!A:A,3)),"—"))</f>
        <v/>
      </c>
      <c r="H563" s="34"/>
      <c r="I563" s="39"/>
    </row>
    <row r="564" spans="1:9" x14ac:dyDescent="0.25">
      <c r="A564" s="23" t="str">
        <f t="shared" si="8"/>
        <v/>
      </c>
      <c r="B564" s="38"/>
      <c r="C564" s="34"/>
      <c r="D564" s="180" t="s">
        <v>4</v>
      </c>
      <c r="E564" s="32" t="str">
        <f>IF(A564="","",IF(COUNTIF('Asset Detail'!A:A,A564)&gt;0,"✓ Found","✗ Not Found"))</f>
        <v/>
      </c>
      <c r="F564" s="31" t="str" cm="1">
        <f t="array" ref="F564">IF(A564="","",IFERROR(INDEX('Asset Detail'!C:C,_xlfn.XMATCH(A564,'Asset Detail'!A:A,3)),"—"))</f>
        <v/>
      </c>
      <c r="G564" s="32" t="str" cm="1">
        <f t="array" ref="G564">IF(A564="","",IFERROR(INDEX('Asset Detail'!E:E,_xlfn.XMATCH(A564,'Asset Detail'!A:A,3)),"—"))</f>
        <v/>
      </c>
      <c r="H564" s="34"/>
      <c r="I564" s="39"/>
    </row>
    <row r="565" spans="1:9" x14ac:dyDescent="0.25">
      <c r="A565" s="23" t="str">
        <f t="shared" si="8"/>
        <v/>
      </c>
      <c r="B565" s="38"/>
      <c r="C565" s="34"/>
      <c r="D565" s="180" t="s">
        <v>4</v>
      </c>
      <c r="E565" s="32" t="str">
        <f>IF(A565="","",IF(COUNTIF('Asset Detail'!A:A,A565)&gt;0,"✓ Found","✗ Not Found"))</f>
        <v/>
      </c>
      <c r="F565" s="31" t="str" cm="1">
        <f t="array" ref="F565">IF(A565="","",IFERROR(INDEX('Asset Detail'!C:C,_xlfn.XMATCH(A565,'Asset Detail'!A:A,3)),"—"))</f>
        <v/>
      </c>
      <c r="G565" s="32" t="str" cm="1">
        <f t="array" ref="G565">IF(A565="","",IFERROR(INDEX('Asset Detail'!E:E,_xlfn.XMATCH(A565,'Asset Detail'!A:A,3)),"—"))</f>
        <v/>
      </c>
      <c r="H565" s="34"/>
      <c r="I565" s="41"/>
    </row>
    <row r="566" spans="1:9" x14ac:dyDescent="0.25">
      <c r="A566" s="23" t="str">
        <f t="shared" si="8"/>
        <v/>
      </c>
      <c r="B566" s="38"/>
      <c r="C566" s="34"/>
      <c r="D566" s="180" t="s">
        <v>4</v>
      </c>
      <c r="E566" s="32" t="str">
        <f>IF(A566="","",IF(COUNTIF('Asset Detail'!A:A,A566)&gt;0,"✓ Found","✗ Not Found"))</f>
        <v/>
      </c>
      <c r="F566" s="31" t="str" cm="1">
        <f t="array" ref="F566">IF(A566="","",IFERROR(INDEX('Asset Detail'!C:C,_xlfn.XMATCH(A566,'Asset Detail'!A:A,3)),"—"))</f>
        <v/>
      </c>
      <c r="G566" s="32" t="str" cm="1">
        <f t="array" ref="G566">IF(A566="","",IFERROR(INDEX('Asset Detail'!E:E,_xlfn.XMATCH(A566,'Asset Detail'!A:A,3)),"—"))</f>
        <v/>
      </c>
      <c r="H566" s="34"/>
      <c r="I566" s="39"/>
    </row>
    <row r="567" spans="1:9" x14ac:dyDescent="0.25">
      <c r="A567" s="23" t="str">
        <f t="shared" si="8"/>
        <v/>
      </c>
      <c r="B567" s="38"/>
      <c r="C567" s="34"/>
      <c r="D567" s="180" t="s">
        <v>4</v>
      </c>
      <c r="E567" s="32" t="str">
        <f>IF(A567="","",IF(COUNTIF('Asset Detail'!A:A,A567)&gt;0,"✓ Found","✗ Not Found"))</f>
        <v/>
      </c>
      <c r="F567" s="31" t="str" cm="1">
        <f t="array" ref="F567">IF(A567="","",IFERROR(INDEX('Asset Detail'!C:C,_xlfn.XMATCH(A567,'Asset Detail'!A:A,3)),"—"))</f>
        <v/>
      </c>
      <c r="G567" s="32" t="str" cm="1">
        <f t="array" ref="G567">IF(A567="","",IFERROR(INDEX('Asset Detail'!E:E,_xlfn.XMATCH(A567,'Asset Detail'!A:A,3)),"—"))</f>
        <v/>
      </c>
      <c r="H567" s="34"/>
      <c r="I567" s="39"/>
    </row>
    <row r="568" spans="1:9" x14ac:dyDescent="0.25">
      <c r="A568" s="23" t="str">
        <f t="shared" si="8"/>
        <v/>
      </c>
      <c r="B568" s="38"/>
      <c r="C568" s="34"/>
      <c r="D568" s="180" t="s">
        <v>4</v>
      </c>
      <c r="E568" s="32" t="str">
        <f>IF(A568="","",IF(COUNTIF('Asset Detail'!A:A,A568)&gt;0,"✓ Found","✗ Not Found"))</f>
        <v/>
      </c>
      <c r="F568" s="31" t="str" cm="1">
        <f t="array" ref="F568">IF(A568="","",IFERROR(INDEX('Asset Detail'!C:C,_xlfn.XMATCH(A568,'Asset Detail'!A:A,3)),"—"))</f>
        <v/>
      </c>
      <c r="G568" s="32" t="str" cm="1">
        <f t="array" ref="G568">IF(A568="","",IFERROR(INDEX('Asset Detail'!E:E,_xlfn.XMATCH(A568,'Asset Detail'!A:A,3)),"—"))</f>
        <v/>
      </c>
      <c r="H568" s="34"/>
      <c r="I568" s="39"/>
    </row>
    <row r="569" spans="1:9" x14ac:dyDescent="0.25">
      <c r="A569" s="23" t="str">
        <f t="shared" si="8"/>
        <v/>
      </c>
      <c r="B569" s="38"/>
      <c r="C569" s="34"/>
      <c r="D569" s="180" t="s">
        <v>4</v>
      </c>
      <c r="E569" s="32" t="str">
        <f>IF(A569="","",IF(COUNTIF('Asset Detail'!A:A,A569)&gt;0,"✓ Found","✗ Not Found"))</f>
        <v/>
      </c>
      <c r="F569" s="31" t="str" cm="1">
        <f t="array" ref="F569">IF(A569="","",IFERROR(INDEX('Asset Detail'!C:C,_xlfn.XMATCH(A569,'Asset Detail'!A:A,3)),"—"))</f>
        <v/>
      </c>
      <c r="G569" s="32" t="str" cm="1">
        <f t="array" ref="G569">IF(A569="","",IFERROR(INDEX('Asset Detail'!E:E,_xlfn.XMATCH(A569,'Asset Detail'!A:A,3)),"—"))</f>
        <v/>
      </c>
      <c r="H569" s="34"/>
      <c r="I569" s="39"/>
    </row>
    <row r="570" spans="1:9" x14ac:dyDescent="0.25">
      <c r="A570" s="23" t="str">
        <f t="shared" si="8"/>
        <v/>
      </c>
      <c r="B570" s="38"/>
      <c r="C570" s="34"/>
      <c r="D570" s="180" t="s">
        <v>4</v>
      </c>
      <c r="E570" s="32" t="str">
        <f>IF(A570="","",IF(COUNTIF('Asset Detail'!A:A,A570)&gt;0,"✓ Found","✗ Not Found"))</f>
        <v/>
      </c>
      <c r="F570" s="31" t="str" cm="1">
        <f t="array" ref="F570">IF(A570="","",IFERROR(INDEX('Asset Detail'!C:C,_xlfn.XMATCH(A570,'Asset Detail'!A:A,3)),"—"))</f>
        <v/>
      </c>
      <c r="G570" s="32" t="str" cm="1">
        <f t="array" ref="G570">IF(A570="","",IFERROR(INDEX('Asset Detail'!E:E,_xlfn.XMATCH(A570,'Asset Detail'!A:A,3)),"—"))</f>
        <v/>
      </c>
      <c r="H570" s="34"/>
      <c r="I570" s="39"/>
    </row>
    <row r="571" spans="1:9" x14ac:dyDescent="0.25">
      <c r="A571" s="23" t="str">
        <f t="shared" si="8"/>
        <v/>
      </c>
      <c r="B571" s="38"/>
      <c r="C571" s="34"/>
      <c r="D571" s="180" t="s">
        <v>4</v>
      </c>
      <c r="E571" s="32" t="str">
        <f>IF(A571="","",IF(COUNTIF('Asset Detail'!A:A,A571)&gt;0,"✓ Found","✗ Not Found"))</f>
        <v/>
      </c>
      <c r="F571" s="31" t="str" cm="1">
        <f t="array" ref="F571">IF(A571="","",IFERROR(INDEX('Asset Detail'!C:C,_xlfn.XMATCH(A571,'Asset Detail'!A:A,3)),"—"))</f>
        <v/>
      </c>
      <c r="G571" s="32" t="str" cm="1">
        <f t="array" ref="G571">IF(A571="","",IFERROR(INDEX('Asset Detail'!E:E,_xlfn.XMATCH(A571,'Asset Detail'!A:A,3)),"—"))</f>
        <v/>
      </c>
      <c r="H571" s="34"/>
      <c r="I571" s="39"/>
    </row>
    <row r="572" spans="1:9" x14ac:dyDescent="0.25">
      <c r="A572" s="23" t="str">
        <f t="shared" si="8"/>
        <v/>
      </c>
      <c r="B572" s="38"/>
      <c r="C572" s="34"/>
      <c r="D572" s="180" t="s">
        <v>4</v>
      </c>
      <c r="E572" s="32" t="str">
        <f>IF(A572="","",IF(COUNTIF('Asset Detail'!A:A,A572)&gt;0,"✓ Found","✗ Not Found"))</f>
        <v/>
      </c>
      <c r="F572" s="31" t="str" cm="1">
        <f t="array" ref="F572">IF(A572="","",IFERROR(INDEX('Asset Detail'!C:C,_xlfn.XMATCH(A572,'Asset Detail'!A:A,3)),"—"))</f>
        <v/>
      </c>
      <c r="G572" s="32" t="str" cm="1">
        <f t="array" ref="G572">IF(A572="","",IFERROR(INDEX('Asset Detail'!E:E,_xlfn.XMATCH(A572,'Asset Detail'!A:A,3)),"—"))</f>
        <v/>
      </c>
      <c r="H572" s="34"/>
      <c r="I572" s="39"/>
    </row>
    <row r="573" spans="1:9" x14ac:dyDescent="0.25">
      <c r="A573" s="23" t="str">
        <f t="shared" si="8"/>
        <v/>
      </c>
      <c r="B573" s="38"/>
      <c r="C573" s="34"/>
      <c r="D573" s="180" t="s">
        <v>4</v>
      </c>
      <c r="E573" s="32" t="str">
        <f>IF(A573="","",IF(COUNTIF('Asset Detail'!A:A,A573)&gt;0,"✓ Found","✗ Not Found"))</f>
        <v/>
      </c>
      <c r="F573" s="31" t="str" cm="1">
        <f t="array" ref="F573">IF(A573="","",IFERROR(INDEX('Asset Detail'!C:C,_xlfn.XMATCH(A573,'Asset Detail'!A:A,3)),"—"))</f>
        <v/>
      </c>
      <c r="G573" s="32" t="str" cm="1">
        <f t="array" ref="G573">IF(A573="","",IFERROR(INDEX('Asset Detail'!E:E,_xlfn.XMATCH(A573,'Asset Detail'!A:A,3)),"—"))</f>
        <v/>
      </c>
      <c r="H573" s="34"/>
      <c r="I573" s="39"/>
    </row>
    <row r="574" spans="1:9" x14ac:dyDescent="0.25">
      <c r="A574" s="23" t="str">
        <f t="shared" si="8"/>
        <v/>
      </c>
      <c r="B574" s="38"/>
      <c r="C574" s="34"/>
      <c r="D574" s="180" t="s">
        <v>4</v>
      </c>
      <c r="E574" s="32" t="str">
        <f>IF(A574="","",IF(COUNTIF('Asset Detail'!A:A,A574)&gt;0,"✓ Found","✗ Not Found"))</f>
        <v/>
      </c>
      <c r="F574" s="31" t="str" cm="1">
        <f t="array" ref="F574">IF(A574="","",IFERROR(INDEX('Asset Detail'!C:C,_xlfn.XMATCH(A574,'Asset Detail'!A:A,3)),"—"))</f>
        <v/>
      </c>
      <c r="G574" s="32" t="str" cm="1">
        <f t="array" ref="G574">IF(A574="","",IFERROR(INDEX('Asset Detail'!E:E,_xlfn.XMATCH(A574,'Asset Detail'!A:A,3)),"—"))</f>
        <v/>
      </c>
      <c r="H574" s="34"/>
      <c r="I574" s="39"/>
    </row>
    <row r="575" spans="1:9" x14ac:dyDescent="0.25">
      <c r="A575" s="23" t="str">
        <f t="shared" si="8"/>
        <v/>
      </c>
      <c r="B575" s="38"/>
      <c r="C575" s="34"/>
      <c r="D575" s="180" t="s">
        <v>4</v>
      </c>
      <c r="E575" s="32" t="str">
        <f>IF(A575="","",IF(COUNTIF('Asset Detail'!A:A,A575)&gt;0,"✓ Found","✗ Not Found"))</f>
        <v/>
      </c>
      <c r="F575" s="31" t="str" cm="1">
        <f t="array" ref="F575">IF(A575="","",IFERROR(INDEX('Asset Detail'!C:C,_xlfn.XMATCH(A575,'Asset Detail'!A:A,3)),"—"))</f>
        <v/>
      </c>
      <c r="G575" s="32" t="str" cm="1">
        <f t="array" ref="G575">IF(A575="","",IFERROR(INDEX('Asset Detail'!E:E,_xlfn.XMATCH(A575,'Asset Detail'!A:A,3)),"—"))</f>
        <v/>
      </c>
      <c r="H575" s="34"/>
      <c r="I575" s="39"/>
    </row>
    <row r="576" spans="1:9" x14ac:dyDescent="0.25">
      <c r="A576" s="23" t="str">
        <f t="shared" si="8"/>
        <v/>
      </c>
      <c r="B576" s="38"/>
      <c r="C576" s="34"/>
      <c r="D576" s="180" t="s">
        <v>4</v>
      </c>
      <c r="E576" s="32" t="str">
        <f>IF(A576="","",IF(COUNTIF('Asset Detail'!A:A,A576)&gt;0,"✓ Found","✗ Not Found"))</f>
        <v/>
      </c>
      <c r="F576" s="31" t="str" cm="1">
        <f t="array" ref="F576">IF(A576="","",IFERROR(INDEX('Asset Detail'!C:C,_xlfn.XMATCH(A576,'Asset Detail'!A:A,3)),"—"))</f>
        <v/>
      </c>
      <c r="G576" s="32" t="str" cm="1">
        <f t="array" ref="G576">IF(A576="","",IFERROR(INDEX('Asset Detail'!E:E,_xlfn.XMATCH(A576,'Asset Detail'!A:A,3)),"—"))</f>
        <v/>
      </c>
      <c r="H576" s="34"/>
      <c r="I576" s="39"/>
    </row>
    <row r="577" spans="1:9" x14ac:dyDescent="0.25">
      <c r="A577" s="23" t="str">
        <f t="shared" si="8"/>
        <v/>
      </c>
      <c r="B577" s="38"/>
      <c r="C577" s="34"/>
      <c r="D577" s="180" t="s">
        <v>4</v>
      </c>
      <c r="E577" s="32" t="str">
        <f>IF(A577="","",IF(COUNTIF('Asset Detail'!A:A,A577)&gt;0,"✓ Found","✗ Not Found"))</f>
        <v/>
      </c>
      <c r="F577" s="31" t="str" cm="1">
        <f t="array" ref="F577">IF(A577="","",IFERROR(INDEX('Asset Detail'!C:C,_xlfn.XMATCH(A577,'Asset Detail'!A:A,3)),"—"))</f>
        <v/>
      </c>
      <c r="G577" s="32" t="str" cm="1">
        <f t="array" ref="G577">IF(A577="","",IFERROR(INDEX('Asset Detail'!E:E,_xlfn.XMATCH(A577,'Asset Detail'!A:A,3)),"—"))</f>
        <v/>
      </c>
      <c r="H577" s="34"/>
      <c r="I577" s="39"/>
    </row>
    <row r="578" spans="1:9" x14ac:dyDescent="0.25">
      <c r="A578" s="23" t="str">
        <f t="shared" si="8"/>
        <v/>
      </c>
      <c r="B578" s="38"/>
      <c r="C578" s="34"/>
      <c r="D578" s="180" t="s">
        <v>4</v>
      </c>
      <c r="E578" s="32" t="str">
        <f>IF(A578="","",IF(COUNTIF('Asset Detail'!A:A,A578)&gt;0,"✓ Found","✗ Not Found"))</f>
        <v/>
      </c>
      <c r="F578" s="31" t="str" cm="1">
        <f t="array" ref="F578">IF(A578="","",IFERROR(INDEX('Asset Detail'!C:C,_xlfn.XMATCH(A578,'Asset Detail'!A:A,3)),"—"))</f>
        <v/>
      </c>
      <c r="G578" s="32" t="str" cm="1">
        <f t="array" ref="G578">IF(A578="","",IFERROR(INDEX('Asset Detail'!E:E,_xlfn.XMATCH(A578,'Asset Detail'!A:A,3)),"—"))</f>
        <v/>
      </c>
      <c r="H578" s="34"/>
      <c r="I578" s="39"/>
    </row>
    <row r="579" spans="1:9" x14ac:dyDescent="0.25">
      <c r="A579" s="23" t="str">
        <f t="shared" si="8"/>
        <v/>
      </c>
      <c r="B579" s="38"/>
      <c r="C579" s="34"/>
      <c r="D579" s="180" t="s">
        <v>4</v>
      </c>
      <c r="E579" s="32" t="str">
        <f>IF(A579="","",IF(COUNTIF('Asset Detail'!A:A,A579)&gt;0,"✓ Found","✗ Not Found"))</f>
        <v/>
      </c>
      <c r="F579" s="31" t="str" cm="1">
        <f t="array" ref="F579">IF(A579="","",IFERROR(INDEX('Asset Detail'!C:C,_xlfn.XMATCH(A579,'Asset Detail'!A:A,3)),"—"))</f>
        <v/>
      </c>
      <c r="G579" s="32" t="str" cm="1">
        <f t="array" ref="G579">IF(A579="","",IFERROR(INDEX('Asset Detail'!E:E,_xlfn.XMATCH(A579,'Asset Detail'!A:A,3)),"—"))</f>
        <v/>
      </c>
      <c r="H579" s="34"/>
      <c r="I579" s="39"/>
    </row>
    <row r="580" spans="1:9" x14ac:dyDescent="0.25">
      <c r="A580" s="23" t="str">
        <f t="shared" si="8"/>
        <v/>
      </c>
      <c r="B580" s="38"/>
      <c r="C580" s="34"/>
      <c r="D580" s="180" t="s">
        <v>4</v>
      </c>
      <c r="E580" s="32" t="str">
        <f>IF(A580="","",IF(COUNTIF('Asset Detail'!A:A,A580)&gt;0,"✓ Found","✗ Not Found"))</f>
        <v/>
      </c>
      <c r="F580" s="31" t="str" cm="1">
        <f t="array" ref="F580">IF(A580="","",IFERROR(INDEX('Asset Detail'!C:C,_xlfn.XMATCH(A580,'Asset Detail'!A:A,3)),"—"))</f>
        <v/>
      </c>
      <c r="G580" s="32" t="str" cm="1">
        <f t="array" ref="G580">IF(A580="","",IFERROR(INDEX('Asset Detail'!E:E,_xlfn.XMATCH(A580,'Asset Detail'!A:A,3)),"—"))</f>
        <v/>
      </c>
      <c r="H580" s="34"/>
      <c r="I580" s="39"/>
    </row>
    <row r="581" spans="1:9" x14ac:dyDescent="0.25">
      <c r="A581" s="23" t="str">
        <f t="shared" si="8"/>
        <v/>
      </c>
      <c r="B581" s="38"/>
      <c r="C581" s="34"/>
      <c r="D581" s="180" t="s">
        <v>4</v>
      </c>
      <c r="E581" s="32" t="str">
        <f>IF(A581="","",IF(COUNTIF('Asset Detail'!A:A,A581)&gt;0,"✓ Found","✗ Not Found"))</f>
        <v/>
      </c>
      <c r="F581" s="31" t="str" cm="1">
        <f t="array" ref="F581">IF(A581="","",IFERROR(INDEX('Asset Detail'!C:C,_xlfn.XMATCH(A581,'Asset Detail'!A:A,3)),"—"))</f>
        <v/>
      </c>
      <c r="G581" s="32" t="str" cm="1">
        <f t="array" ref="G581">IF(A581="","",IFERROR(INDEX('Asset Detail'!E:E,_xlfn.XMATCH(A581,'Asset Detail'!A:A,3)),"—"))</f>
        <v/>
      </c>
      <c r="H581" s="34"/>
      <c r="I581" s="39"/>
    </row>
    <row r="582" spans="1:9" x14ac:dyDescent="0.25">
      <c r="A582" s="23" t="str">
        <f t="shared" si="8"/>
        <v/>
      </c>
      <c r="B582" s="38"/>
      <c r="C582" s="34"/>
      <c r="D582" s="180" t="s">
        <v>4</v>
      </c>
      <c r="E582" s="32" t="str">
        <f>IF(A582="","",IF(COUNTIF('Asset Detail'!A:A,A582)&gt;0,"✓ Found","✗ Not Found"))</f>
        <v/>
      </c>
      <c r="F582" s="31" t="str" cm="1">
        <f t="array" ref="F582">IF(A582="","",IFERROR(INDEX('Asset Detail'!C:C,_xlfn.XMATCH(A582,'Asset Detail'!A:A,3)),"—"))</f>
        <v/>
      </c>
      <c r="G582" s="32" t="str" cm="1">
        <f t="array" ref="G582">IF(A582="","",IFERROR(INDEX('Asset Detail'!E:E,_xlfn.XMATCH(A582,'Asset Detail'!A:A,3)),"—"))</f>
        <v/>
      </c>
      <c r="H582" s="34"/>
      <c r="I582" s="39"/>
    </row>
    <row r="583" spans="1:9" x14ac:dyDescent="0.25">
      <c r="A583" s="23" t="str">
        <f t="shared" si="8"/>
        <v/>
      </c>
      <c r="B583" s="38"/>
      <c r="C583" s="34"/>
      <c r="D583" s="180" t="s">
        <v>4</v>
      </c>
      <c r="E583" s="32" t="str">
        <f>IF(A583="","",IF(COUNTIF('Asset Detail'!A:A,A583)&gt;0,"✓ Found","✗ Not Found"))</f>
        <v/>
      </c>
      <c r="F583" s="31" t="str" cm="1">
        <f t="array" ref="F583">IF(A583="","",IFERROR(INDEX('Asset Detail'!C:C,_xlfn.XMATCH(A583,'Asset Detail'!A:A,3)),"—"))</f>
        <v/>
      </c>
      <c r="G583" s="32" t="str" cm="1">
        <f t="array" ref="G583">IF(A583="","",IFERROR(INDEX('Asset Detail'!E:E,_xlfn.XMATCH(A583,'Asset Detail'!A:A,3)),"—"))</f>
        <v/>
      </c>
      <c r="H583" s="34"/>
      <c r="I583" s="39"/>
    </row>
    <row r="584" spans="1:9" x14ac:dyDescent="0.25">
      <c r="A584" s="23" t="str">
        <f t="shared" ref="A584:A647" si="9">SUBSTITUTE(I584, "S", "")</f>
        <v/>
      </c>
      <c r="B584" s="38"/>
      <c r="C584" s="34"/>
      <c r="D584" s="180" t="s">
        <v>4</v>
      </c>
      <c r="E584" s="32" t="str">
        <f>IF(A584="","",IF(COUNTIF('Asset Detail'!A:A,A584)&gt;0,"✓ Found","✗ Not Found"))</f>
        <v/>
      </c>
      <c r="F584" s="31" t="str" cm="1">
        <f t="array" ref="F584">IF(A584="","",IFERROR(INDEX('Asset Detail'!C:C,_xlfn.XMATCH(A584,'Asset Detail'!A:A,3)),"—"))</f>
        <v/>
      </c>
      <c r="G584" s="32" t="str" cm="1">
        <f t="array" ref="G584">IF(A584="","",IFERROR(INDEX('Asset Detail'!E:E,_xlfn.XMATCH(A584,'Asset Detail'!A:A,3)),"—"))</f>
        <v/>
      </c>
      <c r="H584" s="34"/>
      <c r="I584" s="39"/>
    </row>
    <row r="585" spans="1:9" x14ac:dyDescent="0.25">
      <c r="A585" s="23" t="str">
        <f t="shared" si="9"/>
        <v/>
      </c>
      <c r="B585" s="38"/>
      <c r="C585" s="34"/>
      <c r="D585" s="180" t="s">
        <v>4</v>
      </c>
      <c r="E585" s="32" t="str">
        <f>IF(A585="","",IF(COUNTIF('Asset Detail'!A:A,A585)&gt;0,"✓ Found","✗ Not Found"))</f>
        <v/>
      </c>
      <c r="F585" s="31" t="str" cm="1">
        <f t="array" ref="F585">IF(A585="","",IFERROR(INDEX('Asset Detail'!C:C,_xlfn.XMATCH(A585,'Asset Detail'!A:A,3)),"—"))</f>
        <v/>
      </c>
      <c r="G585" s="32" t="str" cm="1">
        <f t="array" ref="G585">IF(A585="","",IFERROR(INDEX('Asset Detail'!E:E,_xlfn.XMATCH(A585,'Asset Detail'!A:A,3)),"—"))</f>
        <v/>
      </c>
      <c r="H585" s="34"/>
      <c r="I585" s="39"/>
    </row>
    <row r="586" spans="1:9" x14ac:dyDescent="0.25">
      <c r="A586" s="23" t="str">
        <f t="shared" si="9"/>
        <v/>
      </c>
      <c r="B586" s="38"/>
      <c r="C586" s="34"/>
      <c r="D586" s="180" t="s">
        <v>4</v>
      </c>
      <c r="E586" s="32" t="str">
        <f>IF(A586="","",IF(COUNTIF('Asset Detail'!A:A,A586)&gt;0,"✓ Found","✗ Not Found"))</f>
        <v/>
      </c>
      <c r="F586" s="31" t="str" cm="1">
        <f t="array" ref="F586">IF(A586="","",IFERROR(INDEX('Asset Detail'!C:C,_xlfn.XMATCH(A586,'Asset Detail'!A:A,3)),"—"))</f>
        <v/>
      </c>
      <c r="G586" s="32" t="str" cm="1">
        <f t="array" ref="G586">IF(A586="","",IFERROR(INDEX('Asset Detail'!E:E,_xlfn.XMATCH(A586,'Asset Detail'!A:A,3)),"—"))</f>
        <v/>
      </c>
      <c r="H586" s="34"/>
      <c r="I586" s="39"/>
    </row>
    <row r="587" spans="1:9" x14ac:dyDescent="0.25">
      <c r="A587" s="23" t="str">
        <f t="shared" si="9"/>
        <v/>
      </c>
      <c r="B587" s="38"/>
      <c r="C587" s="34"/>
      <c r="D587" s="180" t="s">
        <v>4</v>
      </c>
      <c r="E587" s="32" t="str">
        <f>IF(A587="","",IF(COUNTIF('Asset Detail'!A:A,A587)&gt;0,"✓ Found","✗ Not Found"))</f>
        <v/>
      </c>
      <c r="F587" s="31" t="str" cm="1">
        <f t="array" ref="F587">IF(A587="","",IFERROR(INDEX('Asset Detail'!C:C,_xlfn.XMATCH(A587,'Asset Detail'!A:A,3)),"—"))</f>
        <v/>
      </c>
      <c r="G587" s="32" t="str" cm="1">
        <f t="array" ref="G587">IF(A587="","",IFERROR(INDEX('Asset Detail'!E:E,_xlfn.XMATCH(A587,'Asset Detail'!A:A,3)),"—"))</f>
        <v/>
      </c>
      <c r="H587" s="34"/>
      <c r="I587" s="39"/>
    </row>
    <row r="588" spans="1:9" x14ac:dyDescent="0.25">
      <c r="A588" s="23" t="str">
        <f t="shared" si="9"/>
        <v/>
      </c>
      <c r="B588" s="38"/>
      <c r="C588" s="34"/>
      <c r="D588" s="180" t="s">
        <v>4</v>
      </c>
      <c r="E588" s="32" t="str">
        <f>IF(A588="","",IF(COUNTIF('Asset Detail'!A:A,A588)&gt;0,"✓ Found","✗ Not Found"))</f>
        <v/>
      </c>
      <c r="F588" s="31" t="str" cm="1">
        <f t="array" ref="F588">IF(A588="","",IFERROR(INDEX('Asset Detail'!C:C,_xlfn.XMATCH(A588,'Asset Detail'!A:A,3)),"—"))</f>
        <v/>
      </c>
      <c r="G588" s="32" t="str" cm="1">
        <f t="array" ref="G588">IF(A588="","",IFERROR(INDEX('Asset Detail'!E:E,_xlfn.XMATCH(A588,'Asset Detail'!A:A,3)),"—"))</f>
        <v/>
      </c>
      <c r="H588" s="34"/>
      <c r="I588" s="39"/>
    </row>
    <row r="589" spans="1:9" x14ac:dyDescent="0.25">
      <c r="A589" s="23" t="str">
        <f t="shared" si="9"/>
        <v/>
      </c>
      <c r="B589" s="38"/>
      <c r="C589" s="34"/>
      <c r="D589" s="180" t="s">
        <v>4</v>
      </c>
      <c r="E589" s="32" t="str">
        <f>IF(A589="","",IF(COUNTIF('Asset Detail'!A:A,A589)&gt;0,"✓ Found","✗ Not Found"))</f>
        <v/>
      </c>
      <c r="F589" s="31" t="str" cm="1">
        <f t="array" ref="F589">IF(A589="","",IFERROR(INDEX('Asset Detail'!C:C,_xlfn.XMATCH(A589,'Asset Detail'!A:A,3)),"—"))</f>
        <v/>
      </c>
      <c r="G589" s="32" t="str" cm="1">
        <f t="array" ref="G589">IF(A589="","",IFERROR(INDEX('Asset Detail'!E:E,_xlfn.XMATCH(A589,'Asset Detail'!A:A,3)),"—"))</f>
        <v/>
      </c>
      <c r="H589" s="34"/>
      <c r="I589" s="39"/>
    </row>
    <row r="590" spans="1:9" x14ac:dyDescent="0.25">
      <c r="A590" s="23" t="str">
        <f t="shared" si="9"/>
        <v/>
      </c>
      <c r="B590" s="38"/>
      <c r="C590" s="34"/>
      <c r="D590" s="180" t="s">
        <v>4</v>
      </c>
      <c r="E590" s="32" t="str">
        <f>IF(A590="","",IF(COUNTIF('Asset Detail'!A:A,A590)&gt;0,"✓ Found","✗ Not Found"))</f>
        <v/>
      </c>
      <c r="F590" s="31" t="str" cm="1">
        <f t="array" ref="F590">IF(A590="","",IFERROR(INDEX('Asset Detail'!C:C,_xlfn.XMATCH(A590,'Asset Detail'!A:A,3)),"—"))</f>
        <v/>
      </c>
      <c r="G590" s="32" t="str" cm="1">
        <f t="array" ref="G590">IF(A590="","",IFERROR(INDEX('Asset Detail'!E:E,_xlfn.XMATCH(A590,'Asset Detail'!A:A,3)),"—"))</f>
        <v/>
      </c>
      <c r="H590" s="34"/>
      <c r="I590" s="39"/>
    </row>
    <row r="591" spans="1:9" x14ac:dyDescent="0.25">
      <c r="A591" s="23" t="str">
        <f t="shared" si="9"/>
        <v/>
      </c>
      <c r="B591" s="38"/>
      <c r="C591" s="34"/>
      <c r="D591" s="180" t="s">
        <v>4</v>
      </c>
      <c r="E591" s="32" t="str">
        <f>IF(A591="","",IF(COUNTIF('Asset Detail'!A:A,A591)&gt;0,"✓ Found","✗ Not Found"))</f>
        <v/>
      </c>
      <c r="F591" s="31" t="str" cm="1">
        <f t="array" ref="F591">IF(A591="","",IFERROR(INDEX('Asset Detail'!C:C,_xlfn.XMATCH(A591,'Asset Detail'!A:A,3)),"—"))</f>
        <v/>
      </c>
      <c r="G591" s="32" t="str" cm="1">
        <f t="array" ref="G591">IF(A591="","",IFERROR(INDEX('Asset Detail'!E:E,_xlfn.XMATCH(A591,'Asset Detail'!A:A,3)),"—"))</f>
        <v/>
      </c>
      <c r="H591" s="34"/>
      <c r="I591" s="44"/>
    </row>
    <row r="592" spans="1:9" x14ac:dyDescent="0.25">
      <c r="A592" s="23" t="str">
        <f t="shared" si="9"/>
        <v/>
      </c>
      <c r="B592" s="38"/>
      <c r="C592" s="34"/>
      <c r="D592" s="180" t="s">
        <v>4</v>
      </c>
      <c r="E592" s="32" t="str">
        <f>IF(A592="","",IF(COUNTIF('Asset Detail'!A:A,A592)&gt;0,"✓ Found","✗ Not Found"))</f>
        <v/>
      </c>
      <c r="F592" s="31" t="str" cm="1">
        <f t="array" ref="F592">IF(A592="","",IFERROR(INDEX('Asset Detail'!C:C,_xlfn.XMATCH(A592,'Asset Detail'!A:A,3)),"—"))</f>
        <v/>
      </c>
      <c r="G592" s="32" t="str" cm="1">
        <f t="array" ref="G592">IF(A592="","",IFERROR(INDEX('Asset Detail'!E:E,_xlfn.XMATCH(A592,'Asset Detail'!A:A,3)),"—"))</f>
        <v/>
      </c>
      <c r="H592" s="34"/>
      <c r="I592" s="39"/>
    </row>
    <row r="593" spans="1:9" x14ac:dyDescent="0.25">
      <c r="A593" s="23" t="str">
        <f t="shared" si="9"/>
        <v/>
      </c>
      <c r="B593" s="38"/>
      <c r="C593" s="34"/>
      <c r="D593" s="180" t="s">
        <v>4</v>
      </c>
      <c r="E593" s="32" t="str">
        <f>IF(A593="","",IF(COUNTIF('Asset Detail'!A:A,A593)&gt;0,"✓ Found","✗ Not Found"))</f>
        <v/>
      </c>
      <c r="F593" s="31" t="str" cm="1">
        <f t="array" ref="F593">IF(A593="","",IFERROR(INDEX('Asset Detail'!C:C,_xlfn.XMATCH(A593,'Asset Detail'!A:A,3)),"—"))</f>
        <v/>
      </c>
      <c r="G593" s="32" t="str" cm="1">
        <f t="array" ref="G593">IF(A593="","",IFERROR(INDEX('Asset Detail'!E:E,_xlfn.XMATCH(A593,'Asset Detail'!A:A,3)),"—"))</f>
        <v/>
      </c>
      <c r="H593" s="34"/>
      <c r="I593" s="39"/>
    </row>
    <row r="594" spans="1:9" x14ac:dyDescent="0.25">
      <c r="A594" s="23" t="str">
        <f t="shared" si="9"/>
        <v/>
      </c>
      <c r="B594" s="38"/>
      <c r="C594" s="34"/>
      <c r="D594" s="180" t="s">
        <v>4</v>
      </c>
      <c r="E594" s="32" t="str">
        <f>IF(A594="","",IF(COUNTIF('Asset Detail'!A:A,A594)&gt;0,"✓ Found","✗ Not Found"))</f>
        <v/>
      </c>
      <c r="F594" s="31" t="str" cm="1">
        <f t="array" ref="F594">IF(A594="","",IFERROR(INDEX('Asset Detail'!C:C,_xlfn.XMATCH(A594,'Asset Detail'!A:A,3)),"—"))</f>
        <v/>
      </c>
      <c r="G594" s="32" t="str" cm="1">
        <f t="array" ref="G594">IF(A594="","",IFERROR(INDEX('Asset Detail'!E:E,_xlfn.XMATCH(A594,'Asset Detail'!A:A,3)),"—"))</f>
        <v/>
      </c>
      <c r="H594" s="34"/>
      <c r="I594" s="39"/>
    </row>
    <row r="595" spans="1:9" x14ac:dyDescent="0.25">
      <c r="A595" s="23" t="str">
        <f t="shared" si="9"/>
        <v/>
      </c>
      <c r="B595" s="38"/>
      <c r="C595" s="34"/>
      <c r="D595" s="180" t="s">
        <v>4</v>
      </c>
      <c r="E595" s="32" t="str">
        <f>IF(A595="","",IF(COUNTIF('Asset Detail'!A:A,A595)&gt;0,"✓ Found","✗ Not Found"))</f>
        <v/>
      </c>
      <c r="F595" s="31" t="str" cm="1">
        <f t="array" ref="F595">IF(A595="","",IFERROR(INDEX('Asset Detail'!C:C,_xlfn.XMATCH(A595,'Asset Detail'!A:A,3)),"—"))</f>
        <v/>
      </c>
      <c r="G595" s="32" t="str" cm="1">
        <f t="array" ref="G595">IF(A595="","",IFERROR(INDEX('Asset Detail'!E:E,_xlfn.XMATCH(A595,'Asset Detail'!A:A,3)),"—"))</f>
        <v/>
      </c>
      <c r="H595" s="34"/>
      <c r="I595" s="39"/>
    </row>
    <row r="596" spans="1:9" x14ac:dyDescent="0.25">
      <c r="A596" s="23" t="str">
        <f t="shared" si="9"/>
        <v/>
      </c>
      <c r="B596" s="38"/>
      <c r="C596" s="34"/>
      <c r="D596" s="180" t="s">
        <v>4</v>
      </c>
      <c r="E596" s="32" t="str">
        <f>IF(A596="","",IF(COUNTIF('Asset Detail'!A:A,A596)&gt;0,"✓ Found","✗ Not Found"))</f>
        <v/>
      </c>
      <c r="F596" s="31" t="str" cm="1">
        <f t="array" ref="F596">IF(A596="","",IFERROR(INDEX('Asset Detail'!C:C,_xlfn.XMATCH(A596,'Asset Detail'!A:A,3)),"—"))</f>
        <v/>
      </c>
      <c r="G596" s="32" t="str" cm="1">
        <f t="array" ref="G596">IF(A596="","",IFERROR(INDEX('Asset Detail'!E:E,_xlfn.XMATCH(A596,'Asset Detail'!A:A,3)),"—"))</f>
        <v/>
      </c>
      <c r="H596" s="34"/>
      <c r="I596" s="39"/>
    </row>
    <row r="597" spans="1:9" x14ac:dyDescent="0.25">
      <c r="A597" s="23" t="str">
        <f t="shared" si="9"/>
        <v/>
      </c>
      <c r="B597" s="38"/>
      <c r="C597" s="34"/>
      <c r="D597" s="180" t="s">
        <v>4</v>
      </c>
      <c r="E597" s="32" t="str">
        <f>IF(A597="","",IF(COUNTIF('Asset Detail'!A:A,A597)&gt;0,"✓ Found","✗ Not Found"))</f>
        <v/>
      </c>
      <c r="F597" s="31" t="str" cm="1">
        <f t="array" ref="F597">IF(A597="","",IFERROR(INDEX('Asset Detail'!C:C,_xlfn.XMATCH(A597,'Asset Detail'!A:A,3)),"—"))</f>
        <v/>
      </c>
      <c r="G597" s="32" t="str" cm="1">
        <f t="array" ref="G597">IF(A597="","",IFERROR(INDEX('Asset Detail'!E:E,_xlfn.XMATCH(A597,'Asset Detail'!A:A,3)),"—"))</f>
        <v/>
      </c>
      <c r="H597" s="34"/>
      <c r="I597" s="39"/>
    </row>
    <row r="598" spans="1:9" x14ac:dyDescent="0.25">
      <c r="A598" s="23" t="str">
        <f t="shared" si="9"/>
        <v/>
      </c>
      <c r="B598" s="38"/>
      <c r="C598" s="34"/>
      <c r="D598" s="180" t="s">
        <v>4</v>
      </c>
      <c r="E598" s="32" t="str">
        <f>IF(A598="","",IF(COUNTIF('Asset Detail'!A:A,A598)&gt;0,"✓ Found","✗ Not Found"))</f>
        <v/>
      </c>
      <c r="F598" s="31" t="str" cm="1">
        <f t="array" ref="F598">IF(A598="","",IFERROR(INDEX('Asset Detail'!C:C,_xlfn.XMATCH(A598,'Asset Detail'!A:A,3)),"—"))</f>
        <v/>
      </c>
      <c r="G598" s="32" t="str" cm="1">
        <f t="array" ref="G598">IF(A598="","",IFERROR(INDEX('Asset Detail'!E:E,_xlfn.XMATCH(A598,'Asset Detail'!A:A,3)),"—"))</f>
        <v/>
      </c>
      <c r="H598" s="34"/>
      <c r="I598" s="39"/>
    </row>
    <row r="599" spans="1:9" x14ac:dyDescent="0.25">
      <c r="A599" s="23" t="str">
        <f t="shared" si="9"/>
        <v/>
      </c>
      <c r="B599" s="38"/>
      <c r="C599" s="34"/>
      <c r="D599" s="180" t="s">
        <v>4</v>
      </c>
      <c r="E599" s="32" t="str">
        <f>IF(A599="","",IF(COUNTIF('Asset Detail'!A:A,A599)&gt;0,"✓ Found","✗ Not Found"))</f>
        <v/>
      </c>
      <c r="F599" s="31" t="str" cm="1">
        <f t="array" ref="F599">IF(A599="","",IFERROR(INDEX('Asset Detail'!C:C,_xlfn.XMATCH(A599,'Asset Detail'!A:A,3)),"—"))</f>
        <v/>
      </c>
      <c r="G599" s="32" t="str" cm="1">
        <f t="array" ref="G599">IF(A599="","",IFERROR(INDEX('Asset Detail'!E:E,_xlfn.XMATCH(A599,'Asset Detail'!A:A,3)),"—"))</f>
        <v/>
      </c>
      <c r="H599" s="34"/>
      <c r="I599" s="39"/>
    </row>
    <row r="600" spans="1:9" x14ac:dyDescent="0.25">
      <c r="A600" s="23" t="str">
        <f t="shared" si="9"/>
        <v/>
      </c>
      <c r="B600" s="38"/>
      <c r="C600" s="34"/>
      <c r="D600" s="180" t="s">
        <v>4</v>
      </c>
      <c r="E600" s="32" t="str">
        <f>IF(A600="","",IF(COUNTIF('Asset Detail'!A:A,A600)&gt;0,"✓ Found","✗ Not Found"))</f>
        <v/>
      </c>
      <c r="F600" s="31" t="str" cm="1">
        <f t="array" ref="F600">IF(A600="","",IFERROR(INDEX('Asset Detail'!C:C,_xlfn.XMATCH(A600,'Asset Detail'!A:A,3)),"—"))</f>
        <v/>
      </c>
      <c r="G600" s="32" t="str" cm="1">
        <f t="array" ref="G600">IF(A600="","",IFERROR(INDEX('Asset Detail'!E:E,_xlfn.XMATCH(A600,'Asset Detail'!A:A,3)),"—"))</f>
        <v/>
      </c>
      <c r="H600" s="34"/>
      <c r="I600" s="39"/>
    </row>
    <row r="601" spans="1:9" x14ac:dyDescent="0.25">
      <c r="A601" s="23" t="str">
        <f t="shared" si="9"/>
        <v/>
      </c>
      <c r="B601" s="38"/>
      <c r="C601" s="34"/>
      <c r="D601" s="180" t="s">
        <v>4</v>
      </c>
      <c r="E601" s="32" t="str">
        <f>IF(A601="","",IF(COUNTIF('Asset Detail'!A:A,A601)&gt;0,"✓ Found","✗ Not Found"))</f>
        <v/>
      </c>
      <c r="F601" s="31" t="str" cm="1">
        <f t="array" ref="F601">IF(A601="","",IFERROR(INDEX('Asset Detail'!C:C,_xlfn.XMATCH(A601,'Asset Detail'!A:A,3)),"—"))</f>
        <v/>
      </c>
      <c r="G601" s="32" t="str" cm="1">
        <f t="array" ref="G601">IF(A601="","",IFERROR(INDEX('Asset Detail'!E:E,_xlfn.XMATCH(A601,'Asset Detail'!A:A,3)),"—"))</f>
        <v/>
      </c>
      <c r="H601" s="34"/>
      <c r="I601" s="39"/>
    </row>
    <row r="602" spans="1:9" x14ac:dyDescent="0.25">
      <c r="A602" s="23" t="str">
        <f t="shared" si="9"/>
        <v/>
      </c>
      <c r="B602" s="38"/>
      <c r="C602" s="34"/>
      <c r="D602" s="180" t="s">
        <v>4</v>
      </c>
      <c r="E602" s="32" t="str">
        <f>IF(A602="","",IF(COUNTIF('Asset Detail'!A:A,A602)&gt;0,"✓ Found","✗ Not Found"))</f>
        <v/>
      </c>
      <c r="F602" s="31" t="str" cm="1">
        <f t="array" ref="F602">IF(A602="","",IFERROR(INDEX('Asset Detail'!C:C,_xlfn.XMATCH(A602,'Asset Detail'!A:A,3)),"—"))</f>
        <v/>
      </c>
      <c r="G602" s="32" t="str" cm="1">
        <f t="array" ref="G602">IF(A602="","",IFERROR(INDEX('Asset Detail'!E:E,_xlfn.XMATCH(A602,'Asset Detail'!A:A,3)),"—"))</f>
        <v/>
      </c>
      <c r="H602" s="34"/>
      <c r="I602" s="39"/>
    </row>
    <row r="603" spans="1:9" x14ac:dyDescent="0.25">
      <c r="A603" s="23" t="str">
        <f t="shared" si="9"/>
        <v/>
      </c>
      <c r="B603" s="38"/>
      <c r="C603" s="34"/>
      <c r="D603" s="180" t="s">
        <v>4</v>
      </c>
      <c r="E603" s="32" t="str">
        <f>IF(A603="","",IF(COUNTIF('Asset Detail'!A:A,A603)&gt;0,"✓ Found","✗ Not Found"))</f>
        <v/>
      </c>
      <c r="F603" s="31" t="str" cm="1">
        <f t="array" ref="F603">IF(A603="","",IFERROR(INDEX('Asset Detail'!C:C,_xlfn.XMATCH(A603,'Asset Detail'!A:A,3)),"—"))</f>
        <v/>
      </c>
      <c r="G603" s="32" t="str" cm="1">
        <f t="array" ref="G603">IF(A603="","",IFERROR(INDEX('Asset Detail'!E:E,_xlfn.XMATCH(A603,'Asset Detail'!A:A,3)),"—"))</f>
        <v/>
      </c>
      <c r="H603" s="34"/>
      <c r="I603" s="39"/>
    </row>
    <row r="604" spans="1:9" x14ac:dyDescent="0.25">
      <c r="A604" s="23" t="str">
        <f t="shared" si="9"/>
        <v/>
      </c>
      <c r="B604" s="38"/>
      <c r="C604" s="34"/>
      <c r="D604" s="180" t="s">
        <v>4</v>
      </c>
      <c r="E604" s="32" t="str">
        <f>IF(A604="","",IF(COUNTIF('Asset Detail'!A:A,A604)&gt;0,"✓ Found","✗ Not Found"))</f>
        <v/>
      </c>
      <c r="F604" s="31" t="str" cm="1">
        <f t="array" ref="F604">IF(A604="","",IFERROR(INDEX('Asset Detail'!C:C,_xlfn.XMATCH(A604,'Asset Detail'!A:A,3)),"—"))</f>
        <v/>
      </c>
      <c r="G604" s="32" t="str" cm="1">
        <f t="array" ref="G604">IF(A604="","",IFERROR(INDEX('Asset Detail'!E:E,_xlfn.XMATCH(A604,'Asset Detail'!A:A,3)),"—"))</f>
        <v/>
      </c>
      <c r="H604" s="34"/>
      <c r="I604" s="39"/>
    </row>
    <row r="605" spans="1:9" x14ac:dyDescent="0.25">
      <c r="A605" s="23" t="str">
        <f t="shared" si="9"/>
        <v/>
      </c>
      <c r="B605" s="38"/>
      <c r="C605" s="34"/>
      <c r="D605" s="180" t="s">
        <v>4</v>
      </c>
      <c r="E605" s="32" t="str">
        <f>IF(A605="","",IF(COUNTIF('Asset Detail'!A:A,A605)&gt;0,"✓ Found","✗ Not Found"))</f>
        <v/>
      </c>
      <c r="F605" s="31" t="str" cm="1">
        <f t="array" ref="F605">IF(A605="","",IFERROR(INDEX('Asset Detail'!C:C,_xlfn.XMATCH(A605,'Asset Detail'!A:A,3)),"—"))</f>
        <v/>
      </c>
      <c r="G605" s="32" t="str" cm="1">
        <f t="array" ref="G605">IF(A605="","",IFERROR(INDEX('Asset Detail'!E:E,_xlfn.XMATCH(A605,'Asset Detail'!A:A,3)),"—"))</f>
        <v/>
      </c>
      <c r="H605" s="34"/>
      <c r="I605" s="39"/>
    </row>
    <row r="606" spans="1:9" x14ac:dyDescent="0.25">
      <c r="A606" s="23" t="str">
        <f t="shared" si="9"/>
        <v/>
      </c>
      <c r="B606" s="38"/>
      <c r="C606" s="34"/>
      <c r="D606" s="180" t="s">
        <v>4</v>
      </c>
      <c r="E606" s="32" t="str">
        <f>IF(A606="","",IF(COUNTIF('Asset Detail'!A:A,A606)&gt;0,"✓ Found","✗ Not Found"))</f>
        <v/>
      </c>
      <c r="F606" s="31" t="str" cm="1">
        <f t="array" ref="F606">IF(A606="","",IFERROR(INDEX('Asset Detail'!C:C,_xlfn.XMATCH(A606,'Asset Detail'!A:A,3)),"—"))</f>
        <v/>
      </c>
      <c r="G606" s="32" t="str" cm="1">
        <f t="array" ref="G606">IF(A606="","",IFERROR(INDEX('Asset Detail'!E:E,_xlfn.XMATCH(A606,'Asset Detail'!A:A,3)),"—"))</f>
        <v/>
      </c>
      <c r="H606" s="34"/>
      <c r="I606" s="39"/>
    </row>
    <row r="607" spans="1:9" x14ac:dyDescent="0.25">
      <c r="A607" s="23" t="str">
        <f t="shared" si="9"/>
        <v/>
      </c>
      <c r="B607" s="38"/>
      <c r="C607" s="34"/>
      <c r="D607" s="180" t="s">
        <v>4</v>
      </c>
      <c r="E607" s="32" t="str">
        <f>IF(A607="","",IF(COUNTIF('Asset Detail'!A:A,A607)&gt;0,"✓ Found","✗ Not Found"))</f>
        <v/>
      </c>
      <c r="F607" s="31" t="str" cm="1">
        <f t="array" ref="F607">IF(A607="","",IFERROR(INDEX('Asset Detail'!C:C,_xlfn.XMATCH(A607,'Asset Detail'!A:A,3)),"—"))</f>
        <v/>
      </c>
      <c r="G607" s="32" t="str" cm="1">
        <f t="array" ref="G607">IF(A607="","",IFERROR(INDEX('Asset Detail'!E:E,_xlfn.XMATCH(A607,'Asset Detail'!A:A,3)),"—"))</f>
        <v/>
      </c>
      <c r="H607" s="34"/>
      <c r="I607" s="39"/>
    </row>
    <row r="608" spans="1:9" x14ac:dyDescent="0.25">
      <c r="A608" s="23" t="str">
        <f t="shared" si="9"/>
        <v/>
      </c>
      <c r="B608" s="38"/>
      <c r="C608" s="34"/>
      <c r="D608" s="180" t="s">
        <v>4</v>
      </c>
      <c r="E608" s="32" t="str">
        <f>IF(A608="","",IF(COUNTIF('Asset Detail'!A:A,A608)&gt;0,"✓ Found","✗ Not Found"))</f>
        <v/>
      </c>
      <c r="F608" s="31" t="str" cm="1">
        <f t="array" ref="F608">IF(A608="","",IFERROR(INDEX('Asset Detail'!C:C,_xlfn.XMATCH(A608,'Asset Detail'!A:A,3)),"—"))</f>
        <v/>
      </c>
      <c r="G608" s="32" t="str" cm="1">
        <f t="array" ref="G608">IF(A608="","",IFERROR(INDEX('Asset Detail'!E:E,_xlfn.XMATCH(A608,'Asset Detail'!A:A,3)),"—"))</f>
        <v/>
      </c>
      <c r="H608" s="34"/>
      <c r="I608" s="39"/>
    </row>
    <row r="609" spans="1:9" x14ac:dyDescent="0.25">
      <c r="A609" s="23" t="str">
        <f t="shared" si="9"/>
        <v/>
      </c>
      <c r="B609" s="38"/>
      <c r="C609" s="34"/>
      <c r="D609" s="180" t="s">
        <v>4</v>
      </c>
      <c r="E609" s="32" t="str">
        <f>IF(A609="","",IF(COUNTIF('Asset Detail'!A:A,A609)&gt;0,"✓ Found","✗ Not Found"))</f>
        <v/>
      </c>
      <c r="F609" s="31" t="str" cm="1">
        <f t="array" ref="F609">IF(A609="","",IFERROR(INDEX('Asset Detail'!C:C,_xlfn.XMATCH(A609,'Asset Detail'!A:A,3)),"—"))</f>
        <v/>
      </c>
      <c r="G609" s="32" t="str" cm="1">
        <f t="array" ref="G609">IF(A609="","",IFERROR(INDEX('Asset Detail'!E:E,_xlfn.XMATCH(A609,'Asset Detail'!A:A,3)),"—"))</f>
        <v/>
      </c>
      <c r="H609" s="34"/>
      <c r="I609" s="39"/>
    </row>
    <row r="610" spans="1:9" x14ac:dyDescent="0.25">
      <c r="A610" s="23" t="str">
        <f t="shared" si="9"/>
        <v/>
      </c>
      <c r="B610" s="38"/>
      <c r="C610" s="34"/>
      <c r="D610" s="180" t="s">
        <v>4</v>
      </c>
      <c r="E610" s="32" t="str">
        <f>IF(A610="","",IF(COUNTIF('Asset Detail'!A:A,A610)&gt;0,"✓ Found","✗ Not Found"))</f>
        <v/>
      </c>
      <c r="F610" s="31" t="str" cm="1">
        <f t="array" ref="F610">IF(A610="","",IFERROR(INDEX('Asset Detail'!C:C,_xlfn.XMATCH(A610,'Asset Detail'!A:A,3)),"—"))</f>
        <v/>
      </c>
      <c r="G610" s="32" t="str" cm="1">
        <f t="array" ref="G610">IF(A610="","",IFERROR(INDEX('Asset Detail'!E:E,_xlfn.XMATCH(A610,'Asset Detail'!A:A,3)),"—"))</f>
        <v/>
      </c>
      <c r="H610" s="34"/>
      <c r="I610" s="39"/>
    </row>
    <row r="611" spans="1:9" x14ac:dyDescent="0.25">
      <c r="A611" s="23" t="str">
        <f t="shared" si="9"/>
        <v/>
      </c>
      <c r="B611" s="38"/>
      <c r="C611" s="34"/>
      <c r="D611" s="180" t="s">
        <v>4</v>
      </c>
      <c r="E611" s="32" t="str">
        <f>IF(A611="","",IF(COUNTIF('Asset Detail'!A:A,A611)&gt;0,"✓ Found","✗ Not Found"))</f>
        <v/>
      </c>
      <c r="F611" s="31" t="str" cm="1">
        <f t="array" ref="F611">IF(A611="","",IFERROR(INDEX('Asset Detail'!C:C,_xlfn.XMATCH(A611,'Asset Detail'!A:A,3)),"—"))</f>
        <v/>
      </c>
      <c r="G611" s="32" t="str" cm="1">
        <f t="array" ref="G611">IF(A611="","",IFERROR(INDEX('Asset Detail'!E:E,_xlfn.XMATCH(A611,'Asset Detail'!A:A,3)),"—"))</f>
        <v/>
      </c>
      <c r="H611" s="34"/>
      <c r="I611" s="39"/>
    </row>
    <row r="612" spans="1:9" x14ac:dyDescent="0.25">
      <c r="A612" s="23" t="str">
        <f t="shared" si="9"/>
        <v/>
      </c>
      <c r="B612" s="38"/>
      <c r="C612" s="34"/>
      <c r="D612" s="180" t="s">
        <v>4</v>
      </c>
      <c r="E612" s="32" t="str">
        <f>IF(A612="","",IF(COUNTIF('Asset Detail'!A:A,A612)&gt;0,"✓ Found","✗ Not Found"))</f>
        <v/>
      </c>
      <c r="F612" s="31" t="str" cm="1">
        <f t="array" ref="F612">IF(A612="","",IFERROR(INDEX('Asset Detail'!C:C,_xlfn.XMATCH(A612,'Asset Detail'!A:A,3)),"—"))</f>
        <v/>
      </c>
      <c r="G612" s="32" t="str" cm="1">
        <f t="array" ref="G612">IF(A612="","",IFERROR(INDEX('Asset Detail'!E:E,_xlfn.XMATCH(A612,'Asset Detail'!A:A,3)),"—"))</f>
        <v/>
      </c>
      <c r="H612" s="34"/>
      <c r="I612" s="39"/>
    </row>
    <row r="613" spans="1:9" x14ac:dyDescent="0.25">
      <c r="A613" s="23" t="str">
        <f t="shared" si="9"/>
        <v/>
      </c>
      <c r="B613" s="38"/>
      <c r="C613" s="34"/>
      <c r="D613" s="180" t="s">
        <v>4</v>
      </c>
      <c r="E613" s="32" t="str">
        <f>IF(A613="","",IF(COUNTIF('Asset Detail'!A:A,A613)&gt;0,"✓ Found","✗ Not Found"))</f>
        <v/>
      </c>
      <c r="F613" s="31" t="str" cm="1">
        <f t="array" ref="F613">IF(A613="","",IFERROR(INDEX('Asset Detail'!C:C,_xlfn.XMATCH(A613,'Asset Detail'!A:A,3)),"—"))</f>
        <v/>
      </c>
      <c r="G613" s="32" t="str" cm="1">
        <f t="array" ref="G613">IF(A613="","",IFERROR(INDEX('Asset Detail'!E:E,_xlfn.XMATCH(A613,'Asset Detail'!A:A,3)),"—"))</f>
        <v/>
      </c>
      <c r="H613" s="34"/>
      <c r="I613" s="39"/>
    </row>
    <row r="614" spans="1:9" x14ac:dyDescent="0.25">
      <c r="A614" s="23" t="str">
        <f t="shared" si="9"/>
        <v/>
      </c>
      <c r="B614" s="38"/>
      <c r="C614" s="34"/>
      <c r="D614" s="180" t="s">
        <v>4</v>
      </c>
      <c r="E614" s="32" t="str">
        <f>IF(A614="","",IF(COUNTIF('Asset Detail'!A:A,A614)&gt;0,"✓ Found","✗ Not Found"))</f>
        <v/>
      </c>
      <c r="F614" s="31" t="str" cm="1">
        <f t="array" ref="F614">IF(A614="","",IFERROR(INDEX('Asset Detail'!C:C,_xlfn.XMATCH(A614,'Asset Detail'!A:A,3)),"—"))</f>
        <v/>
      </c>
      <c r="G614" s="32" t="str" cm="1">
        <f t="array" ref="G614">IF(A614="","",IFERROR(INDEX('Asset Detail'!E:E,_xlfn.XMATCH(A614,'Asset Detail'!A:A,3)),"—"))</f>
        <v/>
      </c>
      <c r="H614" s="34"/>
      <c r="I614" s="39"/>
    </row>
    <row r="615" spans="1:9" x14ac:dyDescent="0.25">
      <c r="A615" s="23" t="str">
        <f t="shared" si="9"/>
        <v/>
      </c>
      <c r="B615" s="38"/>
      <c r="C615" s="34"/>
      <c r="D615" s="180" t="s">
        <v>4</v>
      </c>
      <c r="E615" s="32" t="str">
        <f>IF(A615="","",IF(COUNTIF('Asset Detail'!A:A,A615)&gt;0,"✓ Found","✗ Not Found"))</f>
        <v/>
      </c>
      <c r="F615" s="31" t="str" cm="1">
        <f t="array" ref="F615">IF(A615="","",IFERROR(INDEX('Asset Detail'!C:C,_xlfn.XMATCH(A615,'Asset Detail'!A:A,3)),"—"))</f>
        <v/>
      </c>
      <c r="G615" s="32" t="str" cm="1">
        <f t="array" ref="G615">IF(A615="","",IFERROR(INDEX('Asset Detail'!E:E,_xlfn.XMATCH(A615,'Asset Detail'!A:A,3)),"—"))</f>
        <v/>
      </c>
      <c r="H615" s="34"/>
      <c r="I615" s="39"/>
    </row>
    <row r="616" spans="1:9" x14ac:dyDescent="0.25">
      <c r="A616" s="23" t="str">
        <f t="shared" si="9"/>
        <v/>
      </c>
      <c r="B616" s="38"/>
      <c r="C616" s="34"/>
      <c r="D616" s="180" t="s">
        <v>4</v>
      </c>
      <c r="E616" s="32" t="str">
        <f>IF(A616="","",IF(COUNTIF('Asset Detail'!A:A,A616)&gt;0,"✓ Found","✗ Not Found"))</f>
        <v/>
      </c>
      <c r="F616" s="31" t="str" cm="1">
        <f t="array" ref="F616">IF(A616="","",IFERROR(INDEX('Asset Detail'!C:C,_xlfn.XMATCH(A616,'Asset Detail'!A:A,3)),"—"))</f>
        <v/>
      </c>
      <c r="G616" s="32" t="str" cm="1">
        <f t="array" ref="G616">IF(A616="","",IFERROR(INDEX('Asset Detail'!E:E,_xlfn.XMATCH(A616,'Asset Detail'!A:A,3)),"—"))</f>
        <v/>
      </c>
      <c r="H616" s="34"/>
      <c r="I616" s="39"/>
    </row>
    <row r="617" spans="1:9" x14ac:dyDescent="0.25">
      <c r="A617" s="23" t="str">
        <f t="shared" si="9"/>
        <v/>
      </c>
      <c r="B617" s="38"/>
      <c r="C617" s="34"/>
      <c r="D617" s="180" t="s">
        <v>4</v>
      </c>
      <c r="E617" s="32" t="str">
        <f>IF(A617="","",IF(COUNTIF('Asset Detail'!A:A,A617)&gt;0,"✓ Found","✗ Not Found"))</f>
        <v/>
      </c>
      <c r="F617" s="31" t="str" cm="1">
        <f t="array" ref="F617">IF(A617="","",IFERROR(INDEX('Asset Detail'!C:C,_xlfn.XMATCH(A617,'Asset Detail'!A:A,3)),"—"))</f>
        <v/>
      </c>
      <c r="G617" s="32" t="str" cm="1">
        <f t="array" ref="G617">IF(A617="","",IFERROR(INDEX('Asset Detail'!E:E,_xlfn.XMATCH(A617,'Asset Detail'!A:A,3)),"—"))</f>
        <v/>
      </c>
      <c r="H617" s="34"/>
      <c r="I617" s="39"/>
    </row>
    <row r="618" spans="1:9" x14ac:dyDescent="0.25">
      <c r="A618" s="23" t="str">
        <f t="shared" si="9"/>
        <v/>
      </c>
      <c r="B618" s="38"/>
      <c r="C618" s="34"/>
      <c r="D618" s="180" t="s">
        <v>4</v>
      </c>
      <c r="E618" s="32" t="str">
        <f>IF(A618="","",IF(COUNTIF('Asset Detail'!A:A,A618)&gt;0,"✓ Found","✗ Not Found"))</f>
        <v/>
      </c>
      <c r="F618" s="31" t="str" cm="1">
        <f t="array" ref="F618">IF(A618="","",IFERROR(INDEX('Asset Detail'!C:C,_xlfn.XMATCH(A618,'Asset Detail'!A:A,3)),"—"))</f>
        <v/>
      </c>
      <c r="G618" s="32" t="str" cm="1">
        <f t="array" ref="G618">IF(A618="","",IFERROR(INDEX('Asset Detail'!E:E,_xlfn.XMATCH(A618,'Asset Detail'!A:A,3)),"—"))</f>
        <v/>
      </c>
      <c r="H618" s="34"/>
      <c r="I618" s="39"/>
    </row>
    <row r="619" spans="1:9" x14ac:dyDescent="0.25">
      <c r="A619" s="23" t="str">
        <f t="shared" si="9"/>
        <v/>
      </c>
      <c r="B619" s="38"/>
      <c r="C619" s="34"/>
      <c r="D619" s="180" t="s">
        <v>4</v>
      </c>
      <c r="E619" s="32" t="str">
        <f>IF(A619="","",IF(COUNTIF('Asset Detail'!A:A,A619)&gt;0,"✓ Found","✗ Not Found"))</f>
        <v/>
      </c>
      <c r="F619" s="31" t="str" cm="1">
        <f t="array" ref="F619">IF(A619="","",IFERROR(INDEX('Asset Detail'!C:C,_xlfn.XMATCH(A619,'Asset Detail'!A:A,3)),"—"))</f>
        <v/>
      </c>
      <c r="G619" s="32" t="str" cm="1">
        <f t="array" ref="G619">IF(A619="","",IFERROR(INDEX('Asset Detail'!E:E,_xlfn.XMATCH(A619,'Asset Detail'!A:A,3)),"—"))</f>
        <v/>
      </c>
      <c r="H619" s="34"/>
      <c r="I619" s="39"/>
    </row>
    <row r="620" spans="1:9" x14ac:dyDescent="0.25">
      <c r="A620" s="23" t="str">
        <f t="shared" si="9"/>
        <v/>
      </c>
      <c r="B620" s="38"/>
      <c r="C620" s="34"/>
      <c r="D620" s="180" t="s">
        <v>4</v>
      </c>
      <c r="E620" s="32" t="str">
        <f>IF(A620="","",IF(COUNTIF('Asset Detail'!A:A,A620)&gt;0,"✓ Found","✗ Not Found"))</f>
        <v/>
      </c>
      <c r="F620" s="31" t="str" cm="1">
        <f t="array" ref="F620">IF(A620="","",IFERROR(INDEX('Asset Detail'!C:C,_xlfn.XMATCH(A620,'Asset Detail'!A:A,3)),"—"))</f>
        <v/>
      </c>
      <c r="G620" s="32" t="str" cm="1">
        <f t="array" ref="G620">IF(A620="","",IFERROR(INDEX('Asset Detail'!E:E,_xlfn.XMATCH(A620,'Asset Detail'!A:A,3)),"—"))</f>
        <v/>
      </c>
      <c r="H620" s="34"/>
      <c r="I620" s="39"/>
    </row>
    <row r="621" spans="1:9" x14ac:dyDescent="0.25">
      <c r="A621" s="23" t="str">
        <f t="shared" si="9"/>
        <v/>
      </c>
      <c r="B621" s="38"/>
      <c r="C621" s="34"/>
      <c r="D621" s="180" t="s">
        <v>4</v>
      </c>
      <c r="E621" s="32" t="str">
        <f>IF(A621="","",IF(COUNTIF('Asset Detail'!A:A,A621)&gt;0,"✓ Found","✗ Not Found"))</f>
        <v/>
      </c>
      <c r="F621" s="31" t="str" cm="1">
        <f t="array" ref="F621">IF(A621="","",IFERROR(INDEX('Asset Detail'!C:C,_xlfn.XMATCH(A621,'Asset Detail'!A:A,3)),"—"))</f>
        <v/>
      </c>
      <c r="G621" s="32" t="str" cm="1">
        <f t="array" ref="G621">IF(A621="","",IFERROR(INDEX('Asset Detail'!E:E,_xlfn.XMATCH(A621,'Asset Detail'!A:A,3)),"—"))</f>
        <v/>
      </c>
      <c r="H621" s="34"/>
      <c r="I621" s="39"/>
    </row>
    <row r="622" spans="1:9" x14ac:dyDescent="0.25">
      <c r="A622" s="23" t="str">
        <f t="shared" si="9"/>
        <v/>
      </c>
      <c r="B622" s="38"/>
      <c r="C622" s="34"/>
      <c r="D622" s="180" t="s">
        <v>4</v>
      </c>
      <c r="E622" s="32" t="str">
        <f>IF(A622="","",IF(COUNTIF('Asset Detail'!A:A,A622)&gt;0,"✓ Found","✗ Not Found"))</f>
        <v/>
      </c>
      <c r="F622" s="31" t="str" cm="1">
        <f t="array" ref="F622">IF(A622="","",IFERROR(INDEX('Asset Detail'!C:C,_xlfn.XMATCH(A622,'Asset Detail'!A:A,3)),"—"))</f>
        <v/>
      </c>
      <c r="G622" s="32" t="str" cm="1">
        <f t="array" ref="G622">IF(A622="","",IFERROR(INDEX('Asset Detail'!E:E,_xlfn.XMATCH(A622,'Asset Detail'!A:A,3)),"—"))</f>
        <v/>
      </c>
      <c r="H622" s="34"/>
      <c r="I622" s="39"/>
    </row>
    <row r="623" spans="1:9" x14ac:dyDescent="0.25">
      <c r="A623" s="23" t="str">
        <f t="shared" si="9"/>
        <v/>
      </c>
      <c r="B623" s="38"/>
      <c r="C623" s="34"/>
      <c r="D623" s="180" t="s">
        <v>4</v>
      </c>
      <c r="E623" s="32" t="str">
        <f>IF(A623="","",IF(COUNTIF('Asset Detail'!A:A,A623)&gt;0,"✓ Found","✗ Not Found"))</f>
        <v/>
      </c>
      <c r="F623" s="31" t="str" cm="1">
        <f t="array" ref="F623">IF(A623="","",IFERROR(INDEX('Asset Detail'!C:C,_xlfn.XMATCH(A623,'Asset Detail'!A:A,3)),"—"))</f>
        <v/>
      </c>
      <c r="G623" s="32" t="str" cm="1">
        <f t="array" ref="G623">IF(A623="","",IFERROR(INDEX('Asset Detail'!E:E,_xlfn.XMATCH(A623,'Asset Detail'!A:A,3)),"—"))</f>
        <v/>
      </c>
      <c r="H623" s="34"/>
      <c r="I623" s="39"/>
    </row>
    <row r="624" spans="1:9" x14ac:dyDescent="0.25">
      <c r="A624" s="23" t="str">
        <f t="shared" si="9"/>
        <v/>
      </c>
      <c r="B624" s="38"/>
      <c r="C624" s="34"/>
      <c r="D624" s="180" t="s">
        <v>4</v>
      </c>
      <c r="E624" s="32" t="str">
        <f>IF(A624="","",IF(COUNTIF('Asset Detail'!A:A,A624)&gt;0,"✓ Found","✗ Not Found"))</f>
        <v/>
      </c>
      <c r="F624" s="31" t="str" cm="1">
        <f t="array" ref="F624">IF(A624="","",IFERROR(INDEX('Asset Detail'!C:C,_xlfn.XMATCH(A624,'Asset Detail'!A:A,3)),"—"))</f>
        <v/>
      </c>
      <c r="G624" s="32" t="str" cm="1">
        <f t="array" ref="G624">IF(A624="","",IFERROR(INDEX('Asset Detail'!E:E,_xlfn.XMATCH(A624,'Asset Detail'!A:A,3)),"—"))</f>
        <v/>
      </c>
      <c r="H624" s="34"/>
      <c r="I624" s="39"/>
    </row>
    <row r="625" spans="1:9" x14ac:dyDescent="0.25">
      <c r="A625" s="23" t="str">
        <f t="shared" si="9"/>
        <v/>
      </c>
      <c r="B625" s="38"/>
      <c r="C625" s="34"/>
      <c r="D625" s="180" t="s">
        <v>4</v>
      </c>
      <c r="E625" s="32" t="str">
        <f>IF(A625="","",IF(COUNTIF('Asset Detail'!A:A,A625)&gt;0,"✓ Found","✗ Not Found"))</f>
        <v/>
      </c>
      <c r="F625" s="31" t="str" cm="1">
        <f t="array" ref="F625">IF(A625="","",IFERROR(INDEX('Asset Detail'!C:C,_xlfn.XMATCH(A625,'Asset Detail'!A:A,3)),"—"))</f>
        <v/>
      </c>
      <c r="G625" s="32" t="str" cm="1">
        <f t="array" ref="G625">IF(A625="","",IFERROR(INDEX('Asset Detail'!E:E,_xlfn.XMATCH(A625,'Asset Detail'!A:A,3)),"—"))</f>
        <v/>
      </c>
      <c r="H625" s="34"/>
      <c r="I625" s="39"/>
    </row>
    <row r="626" spans="1:9" x14ac:dyDescent="0.25">
      <c r="A626" s="23" t="str">
        <f t="shared" si="9"/>
        <v/>
      </c>
      <c r="B626" s="38"/>
      <c r="C626" s="34"/>
      <c r="D626" s="180" t="s">
        <v>4</v>
      </c>
      <c r="E626" s="32" t="str">
        <f>IF(A626="","",IF(COUNTIF('Asset Detail'!A:A,A626)&gt;0,"✓ Found","✗ Not Found"))</f>
        <v/>
      </c>
      <c r="F626" s="31" t="str" cm="1">
        <f t="array" ref="F626">IF(A626="","",IFERROR(INDEX('Asset Detail'!C:C,_xlfn.XMATCH(A626,'Asset Detail'!A:A,3)),"—"))</f>
        <v/>
      </c>
      <c r="G626" s="32" t="str" cm="1">
        <f t="array" ref="G626">IF(A626="","",IFERROR(INDEX('Asset Detail'!E:E,_xlfn.XMATCH(A626,'Asset Detail'!A:A,3)),"—"))</f>
        <v/>
      </c>
      <c r="H626" s="34"/>
      <c r="I626" s="39"/>
    </row>
    <row r="627" spans="1:9" x14ac:dyDescent="0.25">
      <c r="A627" s="23" t="str">
        <f t="shared" si="9"/>
        <v/>
      </c>
      <c r="B627" s="38"/>
      <c r="C627" s="34"/>
      <c r="D627" s="180" t="s">
        <v>4</v>
      </c>
      <c r="E627" s="32" t="str">
        <f>IF(A627="","",IF(COUNTIF('Asset Detail'!A:A,A627)&gt;0,"✓ Found","✗ Not Found"))</f>
        <v/>
      </c>
      <c r="F627" s="31" t="str" cm="1">
        <f t="array" ref="F627">IF(A627="","",IFERROR(INDEX('Asset Detail'!C:C,_xlfn.XMATCH(A627,'Asset Detail'!A:A,3)),"—"))</f>
        <v/>
      </c>
      <c r="G627" s="32" t="str" cm="1">
        <f t="array" ref="G627">IF(A627="","",IFERROR(INDEX('Asset Detail'!E:E,_xlfn.XMATCH(A627,'Asset Detail'!A:A,3)),"—"))</f>
        <v/>
      </c>
      <c r="H627" s="34"/>
      <c r="I627" s="39"/>
    </row>
    <row r="628" spans="1:9" x14ac:dyDescent="0.25">
      <c r="A628" s="23" t="str">
        <f t="shared" si="9"/>
        <v/>
      </c>
      <c r="B628" s="38"/>
      <c r="C628" s="34"/>
      <c r="D628" s="180" t="s">
        <v>4</v>
      </c>
      <c r="E628" s="32" t="str">
        <f>IF(A628="","",IF(COUNTIF('Asset Detail'!A:A,A628)&gt;0,"✓ Found","✗ Not Found"))</f>
        <v/>
      </c>
      <c r="F628" s="31" t="str" cm="1">
        <f t="array" ref="F628">IF(A628="","",IFERROR(INDEX('Asset Detail'!C:C,_xlfn.XMATCH(A628,'Asset Detail'!A:A,3)),"—"))</f>
        <v/>
      </c>
      <c r="G628" s="32" t="str" cm="1">
        <f t="array" ref="G628">IF(A628="","",IFERROR(INDEX('Asset Detail'!E:E,_xlfn.XMATCH(A628,'Asset Detail'!A:A,3)),"—"))</f>
        <v/>
      </c>
      <c r="H628" s="34"/>
      <c r="I628" s="39"/>
    </row>
    <row r="629" spans="1:9" x14ac:dyDescent="0.25">
      <c r="A629" s="23" t="str">
        <f t="shared" si="9"/>
        <v/>
      </c>
      <c r="B629" s="38"/>
      <c r="C629" s="34"/>
      <c r="D629" s="180" t="s">
        <v>4</v>
      </c>
      <c r="E629" s="32" t="str">
        <f>IF(A629="","",IF(COUNTIF('Asset Detail'!A:A,A629)&gt;0,"✓ Found","✗ Not Found"))</f>
        <v/>
      </c>
      <c r="F629" s="31" t="str" cm="1">
        <f t="array" ref="F629">IF(A629="","",IFERROR(INDEX('Asset Detail'!C:C,_xlfn.XMATCH(A629,'Asset Detail'!A:A,3)),"—"))</f>
        <v/>
      </c>
      <c r="G629" s="32" t="str" cm="1">
        <f t="array" ref="G629">IF(A629="","",IFERROR(INDEX('Asset Detail'!E:E,_xlfn.XMATCH(A629,'Asset Detail'!A:A,3)),"—"))</f>
        <v/>
      </c>
      <c r="H629" s="34"/>
      <c r="I629" s="39"/>
    </row>
    <row r="630" spans="1:9" x14ac:dyDescent="0.25">
      <c r="A630" s="23" t="str">
        <f t="shared" si="9"/>
        <v/>
      </c>
      <c r="B630" s="38"/>
      <c r="C630" s="34"/>
      <c r="D630" s="180" t="s">
        <v>4</v>
      </c>
      <c r="E630" s="32" t="str">
        <f>IF(A630="","",IF(COUNTIF('Asset Detail'!A:A,A630)&gt;0,"✓ Found","✗ Not Found"))</f>
        <v/>
      </c>
      <c r="F630" s="31" t="str" cm="1">
        <f t="array" ref="F630">IF(A630="","",IFERROR(INDEX('Asset Detail'!C:C,_xlfn.XMATCH(A630,'Asset Detail'!A:A,3)),"—"))</f>
        <v/>
      </c>
      <c r="G630" s="32" t="str" cm="1">
        <f t="array" ref="G630">IF(A630="","",IFERROR(INDEX('Asset Detail'!E:E,_xlfn.XMATCH(A630,'Asset Detail'!A:A,3)),"—"))</f>
        <v/>
      </c>
      <c r="H630" s="34"/>
      <c r="I630" s="39"/>
    </row>
    <row r="631" spans="1:9" x14ac:dyDescent="0.25">
      <c r="A631" s="23" t="str">
        <f t="shared" si="9"/>
        <v/>
      </c>
      <c r="B631" s="38"/>
      <c r="C631" s="34"/>
      <c r="D631" s="180" t="s">
        <v>4</v>
      </c>
      <c r="E631" s="32" t="str">
        <f>IF(A631="","",IF(COUNTIF('Asset Detail'!A:A,A631)&gt;0,"✓ Found","✗ Not Found"))</f>
        <v/>
      </c>
      <c r="F631" s="31" t="str" cm="1">
        <f t="array" ref="F631">IF(A631="","",IFERROR(INDEX('Asset Detail'!C:C,_xlfn.XMATCH(A631,'Asset Detail'!A:A,3)),"—"))</f>
        <v/>
      </c>
      <c r="G631" s="32" t="str" cm="1">
        <f t="array" ref="G631">IF(A631="","",IFERROR(INDEX('Asset Detail'!E:E,_xlfn.XMATCH(A631,'Asset Detail'!A:A,3)),"—"))</f>
        <v/>
      </c>
      <c r="H631" s="34"/>
      <c r="I631" s="39"/>
    </row>
    <row r="632" spans="1:9" x14ac:dyDescent="0.25">
      <c r="A632" s="23" t="str">
        <f t="shared" si="9"/>
        <v/>
      </c>
      <c r="B632" s="38"/>
      <c r="C632" s="34"/>
      <c r="D632" s="180" t="s">
        <v>4</v>
      </c>
      <c r="E632" s="32" t="str">
        <f>IF(A632="","",IF(COUNTIF('Asset Detail'!A:A,A632)&gt;0,"✓ Found","✗ Not Found"))</f>
        <v/>
      </c>
      <c r="F632" s="31" t="str" cm="1">
        <f t="array" ref="F632">IF(A632="","",IFERROR(INDEX('Asset Detail'!C:C,_xlfn.XMATCH(A632,'Asset Detail'!A:A,3)),"—"))</f>
        <v/>
      </c>
      <c r="G632" s="32" t="str" cm="1">
        <f t="array" ref="G632">IF(A632="","",IFERROR(INDEX('Asset Detail'!E:E,_xlfn.XMATCH(A632,'Asset Detail'!A:A,3)),"—"))</f>
        <v/>
      </c>
      <c r="H632" s="34"/>
      <c r="I632" s="39"/>
    </row>
    <row r="633" spans="1:9" x14ac:dyDescent="0.25">
      <c r="A633" s="23" t="str">
        <f t="shared" si="9"/>
        <v/>
      </c>
      <c r="B633" s="38"/>
      <c r="C633" s="34"/>
      <c r="D633" s="180" t="s">
        <v>4</v>
      </c>
      <c r="E633" s="32" t="str">
        <f>IF(A633="","",IF(COUNTIF('Asset Detail'!A:A,A633)&gt;0,"✓ Found","✗ Not Found"))</f>
        <v/>
      </c>
      <c r="F633" s="31" t="str" cm="1">
        <f t="array" ref="F633">IF(A633="","",IFERROR(INDEX('Asset Detail'!C:C,_xlfn.XMATCH(A633,'Asset Detail'!A:A,3)),"—"))</f>
        <v/>
      </c>
      <c r="G633" s="32" t="str" cm="1">
        <f t="array" ref="G633">IF(A633="","",IFERROR(INDEX('Asset Detail'!E:E,_xlfn.XMATCH(A633,'Asset Detail'!A:A,3)),"—"))</f>
        <v/>
      </c>
      <c r="H633" s="34"/>
      <c r="I633" s="39"/>
    </row>
    <row r="634" spans="1:9" x14ac:dyDescent="0.25">
      <c r="A634" s="23" t="str">
        <f t="shared" si="9"/>
        <v/>
      </c>
      <c r="B634" s="38"/>
      <c r="C634" s="34"/>
      <c r="D634" s="180" t="s">
        <v>4</v>
      </c>
      <c r="E634" s="32" t="str">
        <f>IF(A634="","",IF(COUNTIF('Asset Detail'!A:A,A634)&gt;0,"✓ Found","✗ Not Found"))</f>
        <v/>
      </c>
      <c r="F634" s="31" t="str" cm="1">
        <f t="array" ref="F634">IF(A634="","",IFERROR(INDEX('Asset Detail'!C:C,_xlfn.XMATCH(A634,'Asset Detail'!A:A,3)),"—"))</f>
        <v/>
      </c>
      <c r="G634" s="32" t="str" cm="1">
        <f t="array" ref="G634">IF(A634="","",IFERROR(INDEX('Asset Detail'!E:E,_xlfn.XMATCH(A634,'Asset Detail'!A:A,3)),"—"))</f>
        <v/>
      </c>
      <c r="H634" s="34"/>
      <c r="I634" s="39"/>
    </row>
    <row r="635" spans="1:9" x14ac:dyDescent="0.25">
      <c r="A635" s="23" t="str">
        <f t="shared" si="9"/>
        <v/>
      </c>
      <c r="B635" s="38"/>
      <c r="C635" s="34"/>
      <c r="D635" s="180" t="s">
        <v>4</v>
      </c>
      <c r="E635" s="32" t="str">
        <f>IF(A635="","",IF(COUNTIF('Asset Detail'!A:A,A635)&gt;0,"✓ Found","✗ Not Found"))</f>
        <v/>
      </c>
      <c r="F635" s="31" t="str" cm="1">
        <f t="array" ref="F635">IF(A635="","",IFERROR(INDEX('Asset Detail'!C:C,_xlfn.XMATCH(A635,'Asset Detail'!A:A,3)),"—"))</f>
        <v/>
      </c>
      <c r="G635" s="32" t="str" cm="1">
        <f t="array" ref="G635">IF(A635="","",IFERROR(INDEX('Asset Detail'!E:E,_xlfn.XMATCH(A635,'Asset Detail'!A:A,3)),"—"))</f>
        <v/>
      </c>
      <c r="H635" s="34"/>
      <c r="I635" s="39"/>
    </row>
    <row r="636" spans="1:9" x14ac:dyDescent="0.25">
      <c r="A636" s="23" t="str">
        <f t="shared" si="9"/>
        <v/>
      </c>
      <c r="B636" s="38"/>
      <c r="C636" s="34"/>
      <c r="D636" s="180" t="s">
        <v>4</v>
      </c>
      <c r="E636" s="32" t="str">
        <f>IF(A636="","",IF(COUNTIF('Asset Detail'!A:A,A636)&gt;0,"✓ Found","✗ Not Found"))</f>
        <v/>
      </c>
      <c r="F636" s="31" t="str" cm="1">
        <f t="array" ref="F636">IF(A636="","",IFERROR(INDEX('Asset Detail'!C:C,_xlfn.XMATCH(A636,'Asset Detail'!A:A,3)),"—"))</f>
        <v/>
      </c>
      <c r="G636" s="32" t="str" cm="1">
        <f t="array" ref="G636">IF(A636="","",IFERROR(INDEX('Asset Detail'!E:E,_xlfn.XMATCH(A636,'Asset Detail'!A:A,3)),"—"))</f>
        <v/>
      </c>
      <c r="H636" s="34"/>
      <c r="I636" s="39"/>
    </row>
    <row r="637" spans="1:9" x14ac:dyDescent="0.25">
      <c r="A637" s="23" t="str">
        <f t="shared" si="9"/>
        <v/>
      </c>
      <c r="B637" s="38"/>
      <c r="C637" s="34"/>
      <c r="D637" s="180" t="s">
        <v>4</v>
      </c>
      <c r="E637" s="32" t="str">
        <f>IF(A637="","",IF(COUNTIF('Asset Detail'!A:A,A637)&gt;0,"✓ Found","✗ Not Found"))</f>
        <v/>
      </c>
      <c r="F637" s="31" t="str" cm="1">
        <f t="array" ref="F637">IF(A637="","",IFERROR(INDEX('Asset Detail'!C:C,_xlfn.XMATCH(A637,'Asset Detail'!A:A,3)),"—"))</f>
        <v/>
      </c>
      <c r="G637" s="32" t="str" cm="1">
        <f t="array" ref="G637">IF(A637="","",IFERROR(INDEX('Asset Detail'!E:E,_xlfn.XMATCH(A637,'Asset Detail'!A:A,3)),"—"))</f>
        <v/>
      </c>
      <c r="H637" s="34"/>
      <c r="I637" s="39"/>
    </row>
    <row r="638" spans="1:9" x14ac:dyDescent="0.25">
      <c r="A638" s="23" t="str">
        <f t="shared" si="9"/>
        <v/>
      </c>
      <c r="B638" s="38"/>
      <c r="C638" s="34"/>
      <c r="D638" s="180" t="s">
        <v>4</v>
      </c>
      <c r="E638" s="32" t="str">
        <f>IF(A638="","",IF(COUNTIF('Asset Detail'!A:A,A638)&gt;0,"✓ Found","✗ Not Found"))</f>
        <v/>
      </c>
      <c r="F638" s="31" t="str" cm="1">
        <f t="array" ref="F638">IF(A638="","",IFERROR(INDEX('Asset Detail'!C:C,_xlfn.XMATCH(A638,'Asset Detail'!A:A,3)),"—"))</f>
        <v/>
      </c>
      <c r="G638" s="32" t="str" cm="1">
        <f t="array" ref="G638">IF(A638="","",IFERROR(INDEX('Asset Detail'!E:E,_xlfn.XMATCH(A638,'Asset Detail'!A:A,3)),"—"))</f>
        <v/>
      </c>
      <c r="H638" s="34"/>
      <c r="I638" s="39"/>
    </row>
    <row r="639" spans="1:9" x14ac:dyDescent="0.25">
      <c r="A639" s="23" t="str">
        <f t="shared" si="9"/>
        <v/>
      </c>
      <c r="B639" s="38"/>
      <c r="C639" s="34"/>
      <c r="D639" s="180" t="s">
        <v>4</v>
      </c>
      <c r="E639" s="32" t="str">
        <f>IF(A639="","",IF(COUNTIF('Asset Detail'!A:A,A639)&gt;0,"✓ Found","✗ Not Found"))</f>
        <v/>
      </c>
      <c r="F639" s="31" t="str" cm="1">
        <f t="array" ref="F639">IF(A639="","",IFERROR(INDEX('Asset Detail'!C:C,_xlfn.XMATCH(A639,'Asset Detail'!A:A,3)),"—"))</f>
        <v/>
      </c>
      <c r="G639" s="32" t="str" cm="1">
        <f t="array" ref="G639">IF(A639="","",IFERROR(INDEX('Asset Detail'!E:E,_xlfn.XMATCH(A639,'Asset Detail'!A:A,3)),"—"))</f>
        <v/>
      </c>
      <c r="H639" s="34"/>
      <c r="I639" s="39"/>
    </row>
    <row r="640" spans="1:9" x14ac:dyDescent="0.25">
      <c r="A640" s="23" t="str">
        <f t="shared" si="9"/>
        <v/>
      </c>
      <c r="B640" s="38"/>
      <c r="C640" s="34"/>
      <c r="D640" s="180" t="s">
        <v>4</v>
      </c>
      <c r="E640" s="32" t="str">
        <f>IF(A640="","",IF(COUNTIF('Asset Detail'!A:A,A640)&gt;0,"✓ Found","✗ Not Found"))</f>
        <v/>
      </c>
      <c r="F640" s="31" t="str" cm="1">
        <f t="array" ref="F640">IF(A640="","",IFERROR(INDEX('Asset Detail'!C:C,_xlfn.XMATCH(A640,'Asset Detail'!A:A,3)),"—"))</f>
        <v/>
      </c>
      <c r="G640" s="32" t="str" cm="1">
        <f t="array" ref="G640">IF(A640="","",IFERROR(INDEX('Asset Detail'!E:E,_xlfn.XMATCH(A640,'Asset Detail'!A:A,3)),"—"))</f>
        <v/>
      </c>
      <c r="H640" s="34"/>
      <c r="I640" s="39"/>
    </row>
    <row r="641" spans="1:9" x14ac:dyDescent="0.25">
      <c r="A641" s="23" t="str">
        <f t="shared" si="9"/>
        <v/>
      </c>
      <c r="B641" s="38"/>
      <c r="C641" s="34"/>
      <c r="D641" s="180" t="s">
        <v>4</v>
      </c>
      <c r="E641" s="32" t="str">
        <f>IF(A641="","",IF(COUNTIF('Asset Detail'!A:A,A641)&gt;0,"✓ Found","✗ Not Found"))</f>
        <v/>
      </c>
      <c r="F641" s="31" t="str" cm="1">
        <f t="array" ref="F641">IF(A641="","",IFERROR(INDEX('Asset Detail'!C:C,_xlfn.XMATCH(A641,'Asset Detail'!A:A,3)),"—"))</f>
        <v/>
      </c>
      <c r="G641" s="32" t="str" cm="1">
        <f t="array" ref="G641">IF(A641="","",IFERROR(INDEX('Asset Detail'!E:E,_xlfn.XMATCH(A641,'Asset Detail'!A:A,3)),"—"))</f>
        <v/>
      </c>
      <c r="H641" s="34"/>
      <c r="I641" s="39"/>
    </row>
    <row r="642" spans="1:9" x14ac:dyDescent="0.25">
      <c r="A642" s="23" t="str">
        <f t="shared" si="9"/>
        <v/>
      </c>
      <c r="B642" s="38"/>
      <c r="C642" s="34"/>
      <c r="D642" s="180" t="s">
        <v>4</v>
      </c>
      <c r="E642" s="32" t="str">
        <f>IF(A642="","",IF(COUNTIF('Asset Detail'!A:A,A642)&gt;0,"✓ Found","✗ Not Found"))</f>
        <v/>
      </c>
      <c r="F642" s="31" t="str" cm="1">
        <f t="array" ref="F642">IF(A642="","",IFERROR(INDEX('Asset Detail'!C:C,_xlfn.XMATCH(A642,'Asset Detail'!A:A,3)),"—"))</f>
        <v/>
      </c>
      <c r="G642" s="32" t="str" cm="1">
        <f t="array" ref="G642">IF(A642="","",IFERROR(INDEX('Asset Detail'!E:E,_xlfn.XMATCH(A642,'Asset Detail'!A:A,3)),"—"))</f>
        <v/>
      </c>
      <c r="H642" s="34"/>
      <c r="I642" s="39"/>
    </row>
    <row r="643" spans="1:9" x14ac:dyDescent="0.25">
      <c r="A643" s="23" t="str">
        <f t="shared" si="9"/>
        <v/>
      </c>
      <c r="B643" s="38"/>
      <c r="C643" s="34"/>
      <c r="D643" s="180" t="s">
        <v>4</v>
      </c>
      <c r="E643" s="32" t="str">
        <f>IF(A643="","",IF(COUNTIF('Asset Detail'!A:A,A643)&gt;0,"✓ Found","✗ Not Found"))</f>
        <v/>
      </c>
      <c r="F643" s="31" t="str" cm="1">
        <f t="array" ref="F643">IF(A643="","",IFERROR(INDEX('Asset Detail'!C:C,_xlfn.XMATCH(A643,'Asset Detail'!A:A,3)),"—"))</f>
        <v/>
      </c>
      <c r="G643" s="32" t="str" cm="1">
        <f t="array" ref="G643">IF(A643="","",IFERROR(INDEX('Asset Detail'!E:E,_xlfn.XMATCH(A643,'Asset Detail'!A:A,3)),"—"))</f>
        <v/>
      </c>
      <c r="H643" s="34"/>
      <c r="I643" s="39"/>
    </row>
    <row r="644" spans="1:9" x14ac:dyDescent="0.25">
      <c r="A644" s="23" t="str">
        <f t="shared" si="9"/>
        <v/>
      </c>
      <c r="B644" s="38"/>
      <c r="C644" s="34"/>
      <c r="D644" s="180" t="s">
        <v>4</v>
      </c>
      <c r="E644" s="32" t="str">
        <f>IF(A644="","",IF(COUNTIF('Asset Detail'!A:A,A644)&gt;0,"✓ Found","✗ Not Found"))</f>
        <v/>
      </c>
      <c r="F644" s="31" t="str" cm="1">
        <f t="array" ref="F644">IF(A644="","",IFERROR(INDEX('Asset Detail'!C:C,_xlfn.XMATCH(A644,'Asset Detail'!A:A,3)),"—"))</f>
        <v/>
      </c>
      <c r="G644" s="32" t="str" cm="1">
        <f t="array" ref="G644">IF(A644="","",IFERROR(INDEX('Asset Detail'!E:E,_xlfn.XMATCH(A644,'Asset Detail'!A:A,3)),"—"))</f>
        <v/>
      </c>
      <c r="H644" s="34"/>
      <c r="I644" s="39"/>
    </row>
    <row r="645" spans="1:9" x14ac:dyDescent="0.25">
      <c r="A645" s="23" t="str">
        <f t="shared" si="9"/>
        <v/>
      </c>
      <c r="B645" s="38"/>
      <c r="C645" s="34"/>
      <c r="D645" s="180" t="s">
        <v>4</v>
      </c>
      <c r="E645" s="32" t="str">
        <f>IF(A645="","",IF(COUNTIF('Asset Detail'!A:A,A645)&gt;0,"✓ Found","✗ Not Found"))</f>
        <v/>
      </c>
      <c r="F645" s="31" t="str" cm="1">
        <f t="array" ref="F645">IF(A645="","",IFERROR(INDEX('Asset Detail'!C:C,_xlfn.XMATCH(A645,'Asset Detail'!A:A,3)),"—"))</f>
        <v/>
      </c>
      <c r="G645" s="32" t="str" cm="1">
        <f t="array" ref="G645">IF(A645="","",IFERROR(INDEX('Asset Detail'!E:E,_xlfn.XMATCH(A645,'Asset Detail'!A:A,3)),"—"))</f>
        <v/>
      </c>
      <c r="H645" s="34"/>
      <c r="I645" s="39"/>
    </row>
    <row r="646" spans="1:9" x14ac:dyDescent="0.25">
      <c r="A646" s="23" t="str">
        <f t="shared" si="9"/>
        <v/>
      </c>
      <c r="B646" s="38"/>
      <c r="C646" s="34"/>
      <c r="D646" s="180" t="s">
        <v>4</v>
      </c>
      <c r="E646" s="32" t="str">
        <f>IF(A646="","",IF(COUNTIF('Asset Detail'!A:A,A646)&gt;0,"✓ Found","✗ Not Found"))</f>
        <v/>
      </c>
      <c r="F646" s="31" t="str" cm="1">
        <f t="array" ref="F646">IF(A646="","",IFERROR(INDEX('Asset Detail'!C:C,_xlfn.XMATCH(A646,'Asset Detail'!A:A,3)),"—"))</f>
        <v/>
      </c>
      <c r="G646" s="32" t="str" cm="1">
        <f t="array" ref="G646">IF(A646="","",IFERROR(INDEX('Asset Detail'!E:E,_xlfn.XMATCH(A646,'Asset Detail'!A:A,3)),"—"))</f>
        <v/>
      </c>
      <c r="H646" s="34"/>
      <c r="I646" s="39"/>
    </row>
    <row r="647" spans="1:9" x14ac:dyDescent="0.25">
      <c r="A647" s="23" t="str">
        <f t="shared" si="9"/>
        <v/>
      </c>
      <c r="B647" s="38"/>
      <c r="C647" s="34"/>
      <c r="D647" s="180" t="s">
        <v>4</v>
      </c>
      <c r="E647" s="32" t="str">
        <f>IF(A647="","",IF(COUNTIF('Asset Detail'!A:A,A647)&gt;0,"✓ Found","✗ Not Found"))</f>
        <v/>
      </c>
      <c r="F647" s="31" t="str" cm="1">
        <f t="array" ref="F647">IF(A647="","",IFERROR(INDEX('Asset Detail'!C:C,_xlfn.XMATCH(A647,'Asset Detail'!A:A,3)),"—"))</f>
        <v/>
      </c>
      <c r="G647" s="32" t="str" cm="1">
        <f t="array" ref="G647">IF(A647="","",IFERROR(INDEX('Asset Detail'!E:E,_xlfn.XMATCH(A647,'Asset Detail'!A:A,3)),"—"))</f>
        <v/>
      </c>
      <c r="H647" s="34"/>
      <c r="I647" s="39"/>
    </row>
    <row r="648" spans="1:9" x14ac:dyDescent="0.25">
      <c r="A648" s="23" t="str">
        <f t="shared" ref="A648:A711" si="10">SUBSTITUTE(I648, "S", "")</f>
        <v/>
      </c>
      <c r="B648" s="38"/>
      <c r="C648" s="34"/>
      <c r="D648" s="180" t="s">
        <v>4</v>
      </c>
      <c r="E648" s="32" t="str">
        <f>IF(A648="","",IF(COUNTIF('Asset Detail'!A:A,A648)&gt;0,"✓ Found","✗ Not Found"))</f>
        <v/>
      </c>
      <c r="F648" s="31" t="str" cm="1">
        <f t="array" ref="F648">IF(A648="","",IFERROR(INDEX('Asset Detail'!C:C,_xlfn.XMATCH(A648,'Asset Detail'!A:A,3)),"—"))</f>
        <v/>
      </c>
      <c r="G648" s="32" t="str" cm="1">
        <f t="array" ref="G648">IF(A648="","",IFERROR(INDEX('Asset Detail'!E:E,_xlfn.XMATCH(A648,'Asset Detail'!A:A,3)),"—"))</f>
        <v/>
      </c>
      <c r="H648" s="34"/>
      <c r="I648" s="39"/>
    </row>
    <row r="649" spans="1:9" x14ac:dyDescent="0.25">
      <c r="A649" s="23" t="str">
        <f t="shared" si="10"/>
        <v/>
      </c>
      <c r="B649" s="38"/>
      <c r="C649" s="34"/>
      <c r="D649" s="180" t="s">
        <v>4</v>
      </c>
      <c r="E649" s="32" t="str">
        <f>IF(A649="","",IF(COUNTIF('Asset Detail'!A:A,A649)&gt;0,"✓ Found","✗ Not Found"))</f>
        <v/>
      </c>
      <c r="F649" s="31" t="str" cm="1">
        <f t="array" ref="F649">IF(A649="","",IFERROR(INDEX('Asset Detail'!C:C,_xlfn.XMATCH(A649,'Asset Detail'!A:A,3)),"—"))</f>
        <v/>
      </c>
      <c r="G649" s="32" t="str" cm="1">
        <f t="array" ref="G649">IF(A649="","",IFERROR(INDEX('Asset Detail'!E:E,_xlfn.XMATCH(A649,'Asset Detail'!A:A,3)),"—"))</f>
        <v/>
      </c>
      <c r="H649" s="34"/>
      <c r="I649" s="39"/>
    </row>
    <row r="650" spans="1:9" x14ac:dyDescent="0.25">
      <c r="A650" s="23" t="str">
        <f t="shared" si="10"/>
        <v/>
      </c>
      <c r="B650" s="38"/>
      <c r="C650" s="34"/>
      <c r="D650" s="180" t="s">
        <v>4</v>
      </c>
      <c r="E650" s="32" t="str">
        <f>IF(A650="","",IF(COUNTIF('Asset Detail'!A:A,A650)&gt;0,"✓ Found","✗ Not Found"))</f>
        <v/>
      </c>
      <c r="F650" s="31" t="str" cm="1">
        <f t="array" ref="F650">IF(A650="","",IFERROR(INDEX('Asset Detail'!C:C,_xlfn.XMATCH(A650,'Asset Detail'!A:A,3)),"—"))</f>
        <v/>
      </c>
      <c r="G650" s="32" t="str" cm="1">
        <f t="array" ref="G650">IF(A650="","",IFERROR(INDEX('Asset Detail'!E:E,_xlfn.XMATCH(A650,'Asset Detail'!A:A,3)),"—"))</f>
        <v/>
      </c>
      <c r="H650" s="34"/>
      <c r="I650" s="39"/>
    </row>
    <row r="651" spans="1:9" x14ac:dyDescent="0.25">
      <c r="A651" s="23" t="str">
        <f t="shared" si="10"/>
        <v/>
      </c>
      <c r="B651" s="38"/>
      <c r="C651" s="34"/>
      <c r="D651" s="180" t="s">
        <v>4</v>
      </c>
      <c r="E651" s="32" t="str">
        <f>IF(A651="","",IF(COUNTIF('Asset Detail'!A:A,A651)&gt;0,"✓ Found","✗ Not Found"))</f>
        <v/>
      </c>
      <c r="F651" s="31" t="str" cm="1">
        <f t="array" ref="F651">IF(A651="","",IFERROR(INDEX('Asset Detail'!C:C,_xlfn.XMATCH(A651,'Asset Detail'!A:A,3)),"—"))</f>
        <v/>
      </c>
      <c r="G651" s="32" t="str" cm="1">
        <f t="array" ref="G651">IF(A651="","",IFERROR(INDEX('Asset Detail'!E:E,_xlfn.XMATCH(A651,'Asset Detail'!A:A,3)),"—"))</f>
        <v/>
      </c>
      <c r="H651" s="34"/>
      <c r="I651" s="39"/>
    </row>
    <row r="652" spans="1:9" x14ac:dyDescent="0.25">
      <c r="A652" s="23" t="str">
        <f t="shared" si="10"/>
        <v/>
      </c>
      <c r="B652" s="38"/>
      <c r="C652" s="34"/>
      <c r="D652" s="180" t="s">
        <v>4</v>
      </c>
      <c r="E652" s="32" t="str">
        <f>IF(A652="","",IF(COUNTIF('Asset Detail'!A:A,A652)&gt;0,"✓ Found","✗ Not Found"))</f>
        <v/>
      </c>
      <c r="F652" s="31" t="str" cm="1">
        <f t="array" ref="F652">IF(A652="","",IFERROR(INDEX('Asset Detail'!C:C,_xlfn.XMATCH(A652,'Asset Detail'!A:A,3)),"—"))</f>
        <v/>
      </c>
      <c r="G652" s="32" t="str" cm="1">
        <f t="array" ref="G652">IF(A652="","",IFERROR(INDEX('Asset Detail'!E:E,_xlfn.XMATCH(A652,'Asset Detail'!A:A,3)),"—"))</f>
        <v/>
      </c>
      <c r="H652" s="34"/>
      <c r="I652" s="39"/>
    </row>
    <row r="653" spans="1:9" x14ac:dyDescent="0.25">
      <c r="A653" s="23" t="str">
        <f t="shared" si="10"/>
        <v/>
      </c>
      <c r="B653" s="38"/>
      <c r="C653" s="34"/>
      <c r="D653" s="180" t="s">
        <v>4</v>
      </c>
      <c r="E653" s="32" t="str">
        <f>IF(A653="","",IF(COUNTIF('Asset Detail'!A:A,A653)&gt;0,"✓ Found","✗ Not Found"))</f>
        <v/>
      </c>
      <c r="F653" s="31" t="str" cm="1">
        <f t="array" ref="F653">IF(A653="","",IFERROR(INDEX('Asset Detail'!C:C,_xlfn.XMATCH(A653,'Asset Detail'!A:A,3)),"—"))</f>
        <v/>
      </c>
      <c r="G653" s="32" t="str" cm="1">
        <f t="array" ref="G653">IF(A653="","",IFERROR(INDEX('Asset Detail'!E:E,_xlfn.XMATCH(A653,'Asset Detail'!A:A,3)),"—"))</f>
        <v/>
      </c>
      <c r="H653" s="34"/>
      <c r="I653" s="39"/>
    </row>
    <row r="654" spans="1:9" x14ac:dyDescent="0.25">
      <c r="A654" s="23" t="str">
        <f t="shared" si="10"/>
        <v/>
      </c>
      <c r="B654" s="38"/>
      <c r="C654" s="34"/>
      <c r="D654" s="180" t="s">
        <v>4</v>
      </c>
      <c r="E654" s="32" t="str">
        <f>IF(A654="","",IF(COUNTIF('Asset Detail'!A:A,A654)&gt;0,"✓ Found","✗ Not Found"))</f>
        <v/>
      </c>
      <c r="F654" s="31" t="str" cm="1">
        <f t="array" ref="F654">IF(A654="","",IFERROR(INDEX('Asset Detail'!C:C,_xlfn.XMATCH(A654,'Asset Detail'!A:A,3)),"—"))</f>
        <v/>
      </c>
      <c r="G654" s="32" t="str" cm="1">
        <f t="array" ref="G654">IF(A654="","",IFERROR(INDEX('Asset Detail'!E:E,_xlfn.XMATCH(A654,'Asset Detail'!A:A,3)),"—"))</f>
        <v/>
      </c>
      <c r="H654" s="34"/>
      <c r="I654" s="39"/>
    </row>
    <row r="655" spans="1:9" x14ac:dyDescent="0.25">
      <c r="A655" s="23" t="str">
        <f t="shared" si="10"/>
        <v/>
      </c>
      <c r="B655" s="38"/>
      <c r="C655" s="34"/>
      <c r="D655" s="180" t="s">
        <v>4</v>
      </c>
      <c r="E655" s="32" t="str">
        <f>IF(A655="","",IF(COUNTIF('Asset Detail'!A:A,A655)&gt;0,"✓ Found","✗ Not Found"))</f>
        <v/>
      </c>
      <c r="F655" s="31" t="str" cm="1">
        <f t="array" ref="F655">IF(A655="","",IFERROR(INDEX('Asset Detail'!C:C,_xlfn.XMATCH(A655,'Asset Detail'!A:A,3)),"—"))</f>
        <v/>
      </c>
      <c r="G655" s="32" t="str" cm="1">
        <f t="array" ref="G655">IF(A655="","",IFERROR(INDEX('Asset Detail'!E:E,_xlfn.XMATCH(A655,'Asset Detail'!A:A,3)),"—"))</f>
        <v/>
      </c>
      <c r="H655" s="34"/>
      <c r="I655" s="39"/>
    </row>
    <row r="656" spans="1:9" x14ac:dyDescent="0.25">
      <c r="A656" s="23" t="str">
        <f t="shared" si="10"/>
        <v/>
      </c>
      <c r="B656" s="38"/>
      <c r="C656" s="34"/>
      <c r="D656" s="180" t="s">
        <v>4</v>
      </c>
      <c r="E656" s="32" t="str">
        <f>IF(A656="","",IF(COUNTIF('Asset Detail'!A:A,A656)&gt;0,"✓ Found","✗ Not Found"))</f>
        <v/>
      </c>
      <c r="F656" s="31" t="str" cm="1">
        <f t="array" ref="F656">IF(A656="","",IFERROR(INDEX('Asset Detail'!C:C,_xlfn.XMATCH(A656,'Asset Detail'!A:A,3)),"—"))</f>
        <v/>
      </c>
      <c r="G656" s="32" t="str" cm="1">
        <f t="array" ref="G656">IF(A656="","",IFERROR(INDEX('Asset Detail'!E:E,_xlfn.XMATCH(A656,'Asset Detail'!A:A,3)),"—"))</f>
        <v/>
      </c>
      <c r="H656" s="34"/>
      <c r="I656" s="39"/>
    </row>
    <row r="657" spans="1:9" x14ac:dyDescent="0.25">
      <c r="A657" s="23" t="str">
        <f t="shared" si="10"/>
        <v/>
      </c>
      <c r="B657" s="38"/>
      <c r="C657" s="34"/>
      <c r="D657" s="180" t="s">
        <v>4</v>
      </c>
      <c r="E657" s="32" t="str">
        <f>IF(A657="","",IF(COUNTIF('Asset Detail'!A:A,A657)&gt;0,"✓ Found","✗ Not Found"))</f>
        <v/>
      </c>
      <c r="F657" s="31" t="str" cm="1">
        <f t="array" ref="F657">IF(A657="","",IFERROR(INDEX('Asset Detail'!C:C,_xlfn.XMATCH(A657,'Asset Detail'!A:A,3)),"—"))</f>
        <v/>
      </c>
      <c r="G657" s="32" t="str" cm="1">
        <f t="array" ref="G657">IF(A657="","",IFERROR(INDEX('Asset Detail'!E:E,_xlfn.XMATCH(A657,'Asset Detail'!A:A,3)),"—"))</f>
        <v/>
      </c>
      <c r="H657" s="34"/>
      <c r="I657" s="39"/>
    </row>
    <row r="658" spans="1:9" x14ac:dyDescent="0.25">
      <c r="A658" s="23" t="str">
        <f t="shared" si="10"/>
        <v/>
      </c>
      <c r="B658" s="38"/>
      <c r="C658" s="34"/>
      <c r="D658" s="180" t="s">
        <v>4</v>
      </c>
      <c r="E658" s="32" t="str">
        <f>IF(A658="","",IF(COUNTIF('Asset Detail'!A:A,A658)&gt;0,"✓ Found","✗ Not Found"))</f>
        <v/>
      </c>
      <c r="F658" s="31" t="str" cm="1">
        <f t="array" ref="F658">IF(A658="","",IFERROR(INDEX('Asset Detail'!C:C,_xlfn.XMATCH(A658,'Asset Detail'!A:A,3)),"—"))</f>
        <v/>
      </c>
      <c r="G658" s="32" t="str" cm="1">
        <f t="array" ref="G658">IF(A658="","",IFERROR(INDEX('Asset Detail'!E:E,_xlfn.XMATCH(A658,'Asset Detail'!A:A,3)),"—"))</f>
        <v/>
      </c>
      <c r="H658" s="34"/>
      <c r="I658" s="39"/>
    </row>
    <row r="659" spans="1:9" x14ac:dyDescent="0.25">
      <c r="A659" s="23" t="str">
        <f t="shared" si="10"/>
        <v/>
      </c>
      <c r="B659" s="38"/>
      <c r="C659" s="34"/>
      <c r="D659" s="180" t="s">
        <v>4</v>
      </c>
      <c r="E659" s="32" t="str">
        <f>IF(A659="","",IF(COUNTIF('Asset Detail'!A:A,A659)&gt;0,"✓ Found","✗ Not Found"))</f>
        <v/>
      </c>
      <c r="F659" s="31" t="str" cm="1">
        <f t="array" ref="F659">IF(A659="","",IFERROR(INDEX('Asset Detail'!C:C,_xlfn.XMATCH(A659,'Asset Detail'!A:A,3)),"—"))</f>
        <v/>
      </c>
      <c r="G659" s="32" t="str" cm="1">
        <f t="array" ref="G659">IF(A659="","",IFERROR(INDEX('Asset Detail'!E:E,_xlfn.XMATCH(A659,'Asset Detail'!A:A,3)),"—"))</f>
        <v/>
      </c>
      <c r="H659" s="34"/>
      <c r="I659" s="39"/>
    </row>
    <row r="660" spans="1:9" x14ac:dyDescent="0.25">
      <c r="A660" s="23" t="str">
        <f t="shared" si="10"/>
        <v/>
      </c>
      <c r="B660" s="38"/>
      <c r="C660" s="34"/>
      <c r="D660" s="180" t="s">
        <v>4</v>
      </c>
      <c r="E660" s="32" t="str">
        <f>IF(A660="","",IF(COUNTIF('Asset Detail'!A:A,A660)&gt;0,"✓ Found","✗ Not Found"))</f>
        <v/>
      </c>
      <c r="F660" s="31" t="str" cm="1">
        <f t="array" ref="F660">IF(A660="","",IFERROR(INDEX('Asset Detail'!C:C,_xlfn.XMATCH(A660,'Asset Detail'!A:A,3)),"—"))</f>
        <v/>
      </c>
      <c r="G660" s="32" t="str" cm="1">
        <f t="array" ref="G660">IF(A660="","",IFERROR(INDEX('Asset Detail'!E:E,_xlfn.XMATCH(A660,'Asset Detail'!A:A,3)),"—"))</f>
        <v/>
      </c>
      <c r="H660" s="34"/>
      <c r="I660" s="39"/>
    </row>
    <row r="661" spans="1:9" x14ac:dyDescent="0.25">
      <c r="A661" s="23" t="str">
        <f t="shared" si="10"/>
        <v/>
      </c>
      <c r="B661" s="38"/>
      <c r="C661" s="34"/>
      <c r="D661" s="180" t="s">
        <v>4</v>
      </c>
      <c r="E661" s="32" t="str">
        <f>IF(A661="","",IF(COUNTIF('Asset Detail'!A:A,A661)&gt;0,"✓ Found","✗ Not Found"))</f>
        <v/>
      </c>
      <c r="F661" s="31" t="str" cm="1">
        <f t="array" ref="F661">IF(A661="","",IFERROR(INDEX('Asset Detail'!C:C,_xlfn.XMATCH(A661,'Asset Detail'!A:A,3)),"—"))</f>
        <v/>
      </c>
      <c r="G661" s="32" t="str" cm="1">
        <f t="array" ref="G661">IF(A661="","",IFERROR(INDEX('Asset Detail'!E:E,_xlfn.XMATCH(A661,'Asset Detail'!A:A,3)),"—"))</f>
        <v/>
      </c>
      <c r="H661" s="34"/>
      <c r="I661" s="39"/>
    </row>
    <row r="662" spans="1:9" x14ac:dyDescent="0.25">
      <c r="A662" s="23" t="str">
        <f t="shared" si="10"/>
        <v/>
      </c>
      <c r="B662" s="38"/>
      <c r="C662" s="34"/>
      <c r="D662" s="180" t="s">
        <v>4</v>
      </c>
      <c r="E662" s="32" t="str">
        <f>IF(A662="","",IF(COUNTIF('Asset Detail'!A:A,A662)&gt;0,"✓ Found","✗ Not Found"))</f>
        <v/>
      </c>
      <c r="F662" s="31" t="str" cm="1">
        <f t="array" ref="F662">IF(A662="","",IFERROR(INDEX('Asset Detail'!C:C,_xlfn.XMATCH(A662,'Asset Detail'!A:A,3)),"—"))</f>
        <v/>
      </c>
      <c r="G662" s="32" t="str" cm="1">
        <f t="array" ref="G662">IF(A662="","",IFERROR(INDEX('Asset Detail'!E:E,_xlfn.XMATCH(A662,'Asset Detail'!A:A,3)),"—"))</f>
        <v/>
      </c>
      <c r="H662" s="34"/>
      <c r="I662" s="39"/>
    </row>
    <row r="663" spans="1:9" x14ac:dyDescent="0.25">
      <c r="A663" s="23" t="str">
        <f t="shared" si="10"/>
        <v/>
      </c>
      <c r="B663" s="38"/>
      <c r="C663" s="34"/>
      <c r="D663" s="180" t="s">
        <v>4</v>
      </c>
      <c r="E663" s="32" t="str">
        <f>IF(A663="","",IF(COUNTIF('Asset Detail'!A:A,A663)&gt;0,"✓ Found","✗ Not Found"))</f>
        <v/>
      </c>
      <c r="F663" s="31" t="str" cm="1">
        <f t="array" ref="F663">IF(A663="","",IFERROR(INDEX('Asset Detail'!C:C,_xlfn.XMATCH(A663,'Asset Detail'!A:A,3)),"—"))</f>
        <v/>
      </c>
      <c r="G663" s="32" t="str" cm="1">
        <f t="array" ref="G663">IF(A663="","",IFERROR(INDEX('Asset Detail'!E:E,_xlfn.XMATCH(A663,'Asset Detail'!A:A,3)),"—"))</f>
        <v/>
      </c>
      <c r="H663" s="34"/>
      <c r="I663" s="39"/>
    </row>
    <row r="664" spans="1:9" x14ac:dyDescent="0.25">
      <c r="A664" s="23" t="str">
        <f t="shared" si="10"/>
        <v/>
      </c>
      <c r="B664" s="38"/>
      <c r="C664" s="34"/>
      <c r="D664" s="180" t="s">
        <v>4</v>
      </c>
      <c r="E664" s="32" t="str">
        <f>IF(A664="","",IF(COUNTIF('Asset Detail'!A:A,A664)&gt;0,"✓ Found","✗ Not Found"))</f>
        <v/>
      </c>
      <c r="F664" s="31" t="str" cm="1">
        <f t="array" ref="F664">IF(A664="","",IFERROR(INDEX('Asset Detail'!C:C,_xlfn.XMATCH(A664,'Asset Detail'!A:A,3)),"—"))</f>
        <v/>
      </c>
      <c r="G664" s="32" t="str" cm="1">
        <f t="array" ref="G664">IF(A664="","",IFERROR(INDEX('Asset Detail'!E:E,_xlfn.XMATCH(A664,'Asset Detail'!A:A,3)),"—"))</f>
        <v/>
      </c>
      <c r="H664" s="34"/>
      <c r="I664" s="39"/>
    </row>
    <row r="665" spans="1:9" x14ac:dyDescent="0.25">
      <c r="A665" s="23" t="str">
        <f t="shared" si="10"/>
        <v/>
      </c>
      <c r="B665" s="38"/>
      <c r="C665" s="34"/>
      <c r="D665" s="180" t="s">
        <v>4</v>
      </c>
      <c r="E665" s="32" t="str">
        <f>IF(A665="","",IF(COUNTIF('Asset Detail'!A:A,A665)&gt;0,"✓ Found","✗ Not Found"))</f>
        <v/>
      </c>
      <c r="F665" s="31" t="str" cm="1">
        <f t="array" ref="F665">IF(A665="","",IFERROR(INDEX('Asset Detail'!C:C,_xlfn.XMATCH(A665,'Asset Detail'!A:A,3)),"—"))</f>
        <v/>
      </c>
      <c r="G665" s="32" t="str" cm="1">
        <f t="array" ref="G665">IF(A665="","",IFERROR(INDEX('Asset Detail'!E:E,_xlfn.XMATCH(A665,'Asset Detail'!A:A,3)),"—"))</f>
        <v/>
      </c>
      <c r="H665" s="34"/>
      <c r="I665" s="39"/>
    </row>
    <row r="666" spans="1:9" x14ac:dyDescent="0.25">
      <c r="A666" s="23" t="str">
        <f t="shared" si="10"/>
        <v/>
      </c>
      <c r="B666" s="38"/>
      <c r="C666" s="34"/>
      <c r="D666" s="180" t="s">
        <v>4</v>
      </c>
      <c r="E666" s="32" t="str">
        <f>IF(A666="","",IF(COUNTIF('Asset Detail'!A:A,A666)&gt;0,"✓ Found","✗ Not Found"))</f>
        <v/>
      </c>
      <c r="F666" s="31" t="str" cm="1">
        <f t="array" ref="F666">IF(A666="","",IFERROR(INDEX('Asset Detail'!C:C,_xlfn.XMATCH(A666,'Asset Detail'!A:A,3)),"—"))</f>
        <v/>
      </c>
      <c r="G666" s="32" t="str" cm="1">
        <f t="array" ref="G666">IF(A666="","",IFERROR(INDEX('Asset Detail'!E:E,_xlfn.XMATCH(A666,'Asset Detail'!A:A,3)),"—"))</f>
        <v/>
      </c>
      <c r="H666" s="34"/>
      <c r="I666" s="39"/>
    </row>
    <row r="667" spans="1:9" x14ac:dyDescent="0.25">
      <c r="A667" s="23" t="str">
        <f t="shared" si="10"/>
        <v/>
      </c>
      <c r="B667" s="38"/>
      <c r="C667" s="34"/>
      <c r="D667" s="180" t="s">
        <v>4</v>
      </c>
      <c r="E667" s="32" t="str">
        <f>IF(A667="","",IF(COUNTIF('Asset Detail'!A:A,A667)&gt;0,"✓ Found","✗ Not Found"))</f>
        <v/>
      </c>
      <c r="F667" s="31" t="str" cm="1">
        <f t="array" ref="F667">IF(A667="","",IFERROR(INDEX('Asset Detail'!C:C,_xlfn.XMATCH(A667,'Asset Detail'!A:A,3)),"—"))</f>
        <v/>
      </c>
      <c r="G667" s="32" t="str" cm="1">
        <f t="array" ref="G667">IF(A667="","",IFERROR(INDEX('Asset Detail'!E:E,_xlfn.XMATCH(A667,'Asset Detail'!A:A,3)),"—"))</f>
        <v/>
      </c>
      <c r="H667" s="34"/>
      <c r="I667" s="39"/>
    </row>
    <row r="668" spans="1:9" x14ac:dyDescent="0.25">
      <c r="A668" s="23" t="str">
        <f t="shared" si="10"/>
        <v/>
      </c>
      <c r="B668" s="38"/>
      <c r="C668" s="34"/>
      <c r="D668" s="180" t="s">
        <v>4</v>
      </c>
      <c r="E668" s="32" t="str">
        <f>IF(A668="","",IF(COUNTIF('Asset Detail'!A:A,A668)&gt;0,"✓ Found","✗ Not Found"))</f>
        <v/>
      </c>
      <c r="F668" s="31" t="str" cm="1">
        <f t="array" ref="F668">IF(A668="","",IFERROR(INDEX('Asset Detail'!C:C,_xlfn.XMATCH(A668,'Asset Detail'!A:A,3)),"—"))</f>
        <v/>
      </c>
      <c r="G668" s="32" t="str" cm="1">
        <f t="array" ref="G668">IF(A668="","",IFERROR(INDEX('Asset Detail'!E:E,_xlfn.XMATCH(A668,'Asset Detail'!A:A,3)),"—"))</f>
        <v/>
      </c>
      <c r="H668" s="34"/>
      <c r="I668" s="39"/>
    </row>
    <row r="669" spans="1:9" x14ac:dyDescent="0.25">
      <c r="A669" s="23" t="str">
        <f t="shared" si="10"/>
        <v/>
      </c>
      <c r="B669" s="38"/>
      <c r="C669" s="34"/>
      <c r="D669" s="180" t="s">
        <v>4</v>
      </c>
      <c r="E669" s="32" t="str">
        <f>IF(A669="","",IF(COUNTIF('Asset Detail'!A:A,A669)&gt;0,"✓ Found","✗ Not Found"))</f>
        <v/>
      </c>
      <c r="F669" s="31" t="str" cm="1">
        <f t="array" ref="F669">IF(A669="","",IFERROR(INDEX('Asset Detail'!C:C,_xlfn.XMATCH(A669,'Asset Detail'!A:A,3)),"—"))</f>
        <v/>
      </c>
      <c r="G669" s="32" t="str" cm="1">
        <f t="array" ref="G669">IF(A669="","",IFERROR(INDEX('Asset Detail'!E:E,_xlfn.XMATCH(A669,'Asset Detail'!A:A,3)),"—"))</f>
        <v/>
      </c>
      <c r="H669" s="34"/>
      <c r="I669" s="39"/>
    </row>
    <row r="670" spans="1:9" x14ac:dyDescent="0.25">
      <c r="A670" s="23" t="str">
        <f t="shared" si="10"/>
        <v/>
      </c>
      <c r="B670" s="38"/>
      <c r="C670" s="34"/>
      <c r="D670" s="180" t="s">
        <v>4</v>
      </c>
      <c r="E670" s="32" t="str">
        <f>IF(A670="","",IF(COUNTIF('Asset Detail'!A:A,A670)&gt;0,"✓ Found","✗ Not Found"))</f>
        <v/>
      </c>
      <c r="F670" s="31" t="str" cm="1">
        <f t="array" ref="F670">IF(A670="","",IFERROR(INDEX('Asset Detail'!C:C,_xlfn.XMATCH(A670,'Asset Detail'!A:A,3)),"—"))</f>
        <v/>
      </c>
      <c r="G670" s="32" t="str" cm="1">
        <f t="array" ref="G670">IF(A670="","",IFERROR(INDEX('Asset Detail'!E:E,_xlfn.XMATCH(A670,'Asset Detail'!A:A,3)),"—"))</f>
        <v/>
      </c>
      <c r="H670" s="34"/>
      <c r="I670" s="39"/>
    </row>
    <row r="671" spans="1:9" x14ac:dyDescent="0.25">
      <c r="A671" s="23" t="str">
        <f t="shared" si="10"/>
        <v/>
      </c>
      <c r="B671" s="38"/>
      <c r="C671" s="34"/>
      <c r="D671" s="180" t="s">
        <v>4</v>
      </c>
      <c r="E671" s="32" t="str">
        <f>IF(A671="","",IF(COUNTIF('Asset Detail'!A:A,A671)&gt;0,"✓ Found","✗ Not Found"))</f>
        <v/>
      </c>
      <c r="F671" s="31" t="str" cm="1">
        <f t="array" ref="F671">IF(A671="","",IFERROR(INDEX('Asset Detail'!C:C,_xlfn.XMATCH(A671,'Asset Detail'!A:A,3)),"—"))</f>
        <v/>
      </c>
      <c r="G671" s="32" t="str" cm="1">
        <f t="array" ref="G671">IF(A671="","",IFERROR(INDEX('Asset Detail'!E:E,_xlfn.XMATCH(A671,'Asset Detail'!A:A,3)),"—"))</f>
        <v/>
      </c>
      <c r="H671" s="34"/>
      <c r="I671" s="39"/>
    </row>
    <row r="672" spans="1:9" x14ac:dyDescent="0.25">
      <c r="A672" s="23" t="str">
        <f t="shared" si="10"/>
        <v/>
      </c>
      <c r="B672" s="38"/>
      <c r="C672" s="34"/>
      <c r="D672" s="180" t="s">
        <v>4</v>
      </c>
      <c r="E672" s="32" t="str">
        <f>IF(A672="","",IF(COUNTIF('Asset Detail'!A:A,A672)&gt;0,"✓ Found","✗ Not Found"))</f>
        <v/>
      </c>
      <c r="F672" s="31" t="str" cm="1">
        <f t="array" ref="F672">IF(A672="","",IFERROR(INDEX('Asset Detail'!C:C,_xlfn.XMATCH(A672,'Asset Detail'!A:A,3)),"—"))</f>
        <v/>
      </c>
      <c r="G672" s="32" t="str" cm="1">
        <f t="array" ref="G672">IF(A672="","",IFERROR(INDEX('Asset Detail'!E:E,_xlfn.XMATCH(A672,'Asset Detail'!A:A,3)),"—"))</f>
        <v/>
      </c>
      <c r="H672" s="34"/>
      <c r="I672" s="39"/>
    </row>
    <row r="673" spans="1:9" x14ac:dyDescent="0.25">
      <c r="A673" s="23" t="str">
        <f t="shared" si="10"/>
        <v/>
      </c>
      <c r="B673" s="38"/>
      <c r="C673" s="34"/>
      <c r="D673" s="180" t="s">
        <v>4</v>
      </c>
      <c r="E673" s="32" t="str">
        <f>IF(A673="","",IF(COUNTIF('Asset Detail'!A:A,A673)&gt;0,"✓ Found","✗ Not Found"))</f>
        <v/>
      </c>
      <c r="F673" s="31" t="str" cm="1">
        <f t="array" ref="F673">IF(A673="","",IFERROR(INDEX('Asset Detail'!C:C,_xlfn.XMATCH(A673,'Asset Detail'!A:A,3)),"—"))</f>
        <v/>
      </c>
      <c r="G673" s="32" t="str" cm="1">
        <f t="array" ref="G673">IF(A673="","",IFERROR(INDEX('Asset Detail'!E:E,_xlfn.XMATCH(A673,'Asset Detail'!A:A,3)),"—"))</f>
        <v/>
      </c>
      <c r="H673" s="34"/>
      <c r="I673" s="39"/>
    </row>
    <row r="674" spans="1:9" x14ac:dyDescent="0.25">
      <c r="A674" s="23" t="str">
        <f t="shared" si="10"/>
        <v/>
      </c>
      <c r="B674" s="38"/>
      <c r="C674" s="34"/>
      <c r="D674" s="180" t="s">
        <v>4</v>
      </c>
      <c r="E674" s="32" t="str">
        <f>IF(A674="","",IF(COUNTIF('Asset Detail'!A:A,A674)&gt;0,"✓ Found","✗ Not Found"))</f>
        <v/>
      </c>
      <c r="F674" s="31" t="str" cm="1">
        <f t="array" ref="F674">IF(A674="","",IFERROR(INDEX('Asset Detail'!C:C,_xlfn.XMATCH(A674,'Asset Detail'!A:A,3)),"—"))</f>
        <v/>
      </c>
      <c r="G674" s="32" t="str" cm="1">
        <f t="array" ref="G674">IF(A674="","",IFERROR(INDEX('Asset Detail'!E:E,_xlfn.XMATCH(A674,'Asset Detail'!A:A,3)),"—"))</f>
        <v/>
      </c>
      <c r="H674" s="34"/>
      <c r="I674" s="39"/>
    </row>
    <row r="675" spans="1:9" x14ac:dyDescent="0.25">
      <c r="A675" s="23" t="str">
        <f t="shared" si="10"/>
        <v/>
      </c>
      <c r="B675" s="38"/>
      <c r="C675" s="34"/>
      <c r="D675" s="180" t="s">
        <v>4</v>
      </c>
      <c r="E675" s="32" t="str">
        <f>IF(A675="","",IF(COUNTIF('Asset Detail'!A:A,A675)&gt;0,"✓ Found","✗ Not Found"))</f>
        <v/>
      </c>
      <c r="F675" s="31" t="str" cm="1">
        <f t="array" ref="F675">IF(A675="","",IFERROR(INDEX('Asset Detail'!C:C,_xlfn.XMATCH(A675,'Asset Detail'!A:A,3)),"—"))</f>
        <v/>
      </c>
      <c r="G675" s="32" t="str" cm="1">
        <f t="array" ref="G675">IF(A675="","",IFERROR(INDEX('Asset Detail'!E:E,_xlfn.XMATCH(A675,'Asset Detail'!A:A,3)),"—"))</f>
        <v/>
      </c>
      <c r="H675" s="34"/>
      <c r="I675" s="39"/>
    </row>
    <row r="676" spans="1:9" x14ac:dyDescent="0.25">
      <c r="A676" s="23" t="str">
        <f t="shared" si="10"/>
        <v/>
      </c>
      <c r="B676" s="38"/>
      <c r="C676" s="34"/>
      <c r="D676" s="180" t="s">
        <v>4</v>
      </c>
      <c r="E676" s="32" t="str">
        <f>IF(A676="","",IF(COUNTIF('Asset Detail'!A:A,A676)&gt;0,"✓ Found","✗ Not Found"))</f>
        <v/>
      </c>
      <c r="F676" s="31" t="str" cm="1">
        <f t="array" ref="F676">IF(A676="","",IFERROR(INDEX('Asset Detail'!C:C,_xlfn.XMATCH(A676,'Asset Detail'!A:A,3)),"—"))</f>
        <v/>
      </c>
      <c r="G676" s="32" t="str" cm="1">
        <f t="array" ref="G676">IF(A676="","",IFERROR(INDEX('Asset Detail'!E:E,_xlfn.XMATCH(A676,'Asset Detail'!A:A,3)),"—"))</f>
        <v/>
      </c>
      <c r="H676" s="34"/>
      <c r="I676" s="39"/>
    </row>
    <row r="677" spans="1:9" x14ac:dyDescent="0.25">
      <c r="A677" s="23" t="str">
        <f t="shared" si="10"/>
        <v/>
      </c>
      <c r="B677" s="38"/>
      <c r="C677" s="34"/>
      <c r="D677" s="180" t="s">
        <v>4</v>
      </c>
      <c r="E677" s="32" t="str">
        <f>IF(A677="","",IF(COUNTIF('Asset Detail'!A:A,A677)&gt;0,"✓ Found","✗ Not Found"))</f>
        <v/>
      </c>
      <c r="F677" s="31" t="str" cm="1">
        <f t="array" ref="F677">IF(A677="","",IFERROR(INDEX('Asset Detail'!C:C,_xlfn.XMATCH(A677,'Asset Detail'!A:A,3)),"—"))</f>
        <v/>
      </c>
      <c r="G677" s="32" t="str" cm="1">
        <f t="array" ref="G677">IF(A677="","",IFERROR(INDEX('Asset Detail'!E:E,_xlfn.XMATCH(A677,'Asset Detail'!A:A,3)),"—"))</f>
        <v/>
      </c>
      <c r="H677" s="34"/>
      <c r="I677" s="39"/>
    </row>
    <row r="678" spans="1:9" x14ac:dyDescent="0.25">
      <c r="A678" s="23" t="str">
        <f t="shared" si="10"/>
        <v/>
      </c>
      <c r="B678" s="38"/>
      <c r="C678" s="34"/>
      <c r="D678" s="180" t="s">
        <v>4</v>
      </c>
      <c r="E678" s="32" t="str">
        <f>IF(A678="","",IF(COUNTIF('Asset Detail'!A:A,A678)&gt;0,"✓ Found","✗ Not Found"))</f>
        <v/>
      </c>
      <c r="F678" s="31" t="str" cm="1">
        <f t="array" ref="F678">IF(A678="","",IFERROR(INDEX('Asset Detail'!C:C,_xlfn.XMATCH(A678,'Asset Detail'!A:A,3)),"—"))</f>
        <v/>
      </c>
      <c r="G678" s="32" t="str" cm="1">
        <f t="array" ref="G678">IF(A678="","",IFERROR(INDEX('Asset Detail'!E:E,_xlfn.XMATCH(A678,'Asset Detail'!A:A,3)),"—"))</f>
        <v/>
      </c>
      <c r="H678" s="34"/>
      <c r="I678" s="39"/>
    </row>
    <row r="679" spans="1:9" x14ac:dyDescent="0.25">
      <c r="A679" s="23" t="str">
        <f t="shared" si="10"/>
        <v/>
      </c>
      <c r="B679" s="38"/>
      <c r="C679" s="34"/>
      <c r="D679" s="180" t="s">
        <v>4</v>
      </c>
      <c r="E679" s="32" t="str">
        <f>IF(A679="","",IF(COUNTIF('Asset Detail'!A:A,A679)&gt;0,"✓ Found","✗ Not Found"))</f>
        <v/>
      </c>
      <c r="F679" s="31" t="str" cm="1">
        <f t="array" ref="F679">IF(A679="","",IFERROR(INDEX('Asset Detail'!C:C,_xlfn.XMATCH(A679,'Asset Detail'!A:A,3)),"—"))</f>
        <v/>
      </c>
      <c r="G679" s="32" t="str" cm="1">
        <f t="array" ref="G679">IF(A679="","",IFERROR(INDEX('Asset Detail'!E:E,_xlfn.XMATCH(A679,'Asset Detail'!A:A,3)),"—"))</f>
        <v/>
      </c>
      <c r="H679" s="34"/>
      <c r="I679" s="39"/>
    </row>
    <row r="680" spans="1:9" x14ac:dyDescent="0.25">
      <c r="A680" s="23" t="str">
        <f t="shared" si="10"/>
        <v/>
      </c>
      <c r="B680" s="38"/>
      <c r="C680" s="34"/>
      <c r="D680" s="180" t="s">
        <v>4</v>
      </c>
      <c r="E680" s="32" t="str">
        <f>IF(A680="","",IF(COUNTIF('Asset Detail'!A:A,A680)&gt;0,"✓ Found","✗ Not Found"))</f>
        <v/>
      </c>
      <c r="F680" s="31" t="str" cm="1">
        <f t="array" ref="F680">IF(A680="","",IFERROR(INDEX('Asset Detail'!C:C,_xlfn.XMATCH(A680,'Asset Detail'!A:A,3)),"—"))</f>
        <v/>
      </c>
      <c r="G680" s="32" t="str" cm="1">
        <f t="array" ref="G680">IF(A680="","",IFERROR(INDEX('Asset Detail'!E:E,_xlfn.XMATCH(A680,'Asset Detail'!A:A,3)),"—"))</f>
        <v/>
      </c>
      <c r="H680" s="34"/>
      <c r="I680" s="39"/>
    </row>
    <row r="681" spans="1:9" x14ac:dyDescent="0.25">
      <c r="A681" s="23" t="str">
        <f t="shared" si="10"/>
        <v/>
      </c>
      <c r="B681" s="38"/>
      <c r="C681" s="34"/>
      <c r="D681" s="180" t="s">
        <v>4</v>
      </c>
      <c r="E681" s="32" t="str">
        <f>IF(A681="","",IF(COUNTIF('Asset Detail'!A:A,A681)&gt;0,"✓ Found","✗ Not Found"))</f>
        <v/>
      </c>
      <c r="F681" s="31" t="str" cm="1">
        <f t="array" ref="F681">IF(A681="","",IFERROR(INDEX('Asset Detail'!C:C,_xlfn.XMATCH(A681,'Asset Detail'!A:A,3)),"—"))</f>
        <v/>
      </c>
      <c r="G681" s="32" t="str" cm="1">
        <f t="array" ref="G681">IF(A681="","",IFERROR(INDEX('Asset Detail'!E:E,_xlfn.XMATCH(A681,'Asset Detail'!A:A,3)),"—"))</f>
        <v/>
      </c>
      <c r="H681" s="34"/>
      <c r="I681" s="39"/>
    </row>
    <row r="682" spans="1:9" x14ac:dyDescent="0.25">
      <c r="A682" s="23" t="str">
        <f t="shared" si="10"/>
        <v/>
      </c>
      <c r="B682" s="38"/>
      <c r="C682" s="34"/>
      <c r="D682" s="180" t="s">
        <v>4</v>
      </c>
      <c r="E682" s="32" t="str">
        <f>IF(A682="","",IF(COUNTIF('Asset Detail'!A:A,A682)&gt;0,"✓ Found","✗ Not Found"))</f>
        <v/>
      </c>
      <c r="F682" s="31" t="str" cm="1">
        <f t="array" ref="F682">IF(A682="","",IFERROR(INDEX('Asset Detail'!C:C,_xlfn.XMATCH(A682,'Asset Detail'!A:A,3)),"—"))</f>
        <v/>
      </c>
      <c r="G682" s="32" t="str" cm="1">
        <f t="array" ref="G682">IF(A682="","",IFERROR(INDEX('Asset Detail'!E:E,_xlfn.XMATCH(A682,'Asset Detail'!A:A,3)),"—"))</f>
        <v/>
      </c>
      <c r="H682" s="34"/>
      <c r="I682" s="39"/>
    </row>
    <row r="683" spans="1:9" x14ac:dyDescent="0.25">
      <c r="A683" s="23" t="str">
        <f t="shared" si="10"/>
        <v/>
      </c>
      <c r="B683" s="38"/>
      <c r="C683" s="34"/>
      <c r="D683" s="180" t="s">
        <v>4</v>
      </c>
      <c r="E683" s="32" t="str">
        <f>IF(A683="","",IF(COUNTIF('Asset Detail'!A:A,A683)&gt;0,"✓ Found","✗ Not Found"))</f>
        <v/>
      </c>
      <c r="F683" s="31" t="str" cm="1">
        <f t="array" ref="F683">IF(A683="","",IFERROR(INDEX('Asset Detail'!C:C,_xlfn.XMATCH(A683,'Asset Detail'!A:A,3)),"—"))</f>
        <v/>
      </c>
      <c r="G683" s="32" t="str" cm="1">
        <f t="array" ref="G683">IF(A683="","",IFERROR(INDEX('Asset Detail'!E:E,_xlfn.XMATCH(A683,'Asset Detail'!A:A,3)),"—"))</f>
        <v/>
      </c>
      <c r="H683" s="34"/>
      <c r="I683" s="39"/>
    </row>
    <row r="684" spans="1:9" x14ac:dyDescent="0.25">
      <c r="A684" s="23" t="str">
        <f t="shared" si="10"/>
        <v/>
      </c>
      <c r="B684" s="38"/>
      <c r="C684" s="34"/>
      <c r="D684" s="180" t="s">
        <v>4</v>
      </c>
      <c r="E684" s="32" t="str">
        <f>IF(A684="","",IF(COUNTIF('Asset Detail'!A:A,A684)&gt;0,"✓ Found","✗ Not Found"))</f>
        <v/>
      </c>
      <c r="F684" s="31" t="str" cm="1">
        <f t="array" ref="F684">IF(A684="","",IFERROR(INDEX('Asset Detail'!C:C,_xlfn.XMATCH(A684,'Asset Detail'!A:A,3)),"—"))</f>
        <v/>
      </c>
      <c r="G684" s="32" t="str" cm="1">
        <f t="array" ref="G684">IF(A684="","",IFERROR(INDEX('Asset Detail'!E:E,_xlfn.XMATCH(A684,'Asset Detail'!A:A,3)),"—"))</f>
        <v/>
      </c>
      <c r="H684" s="34"/>
      <c r="I684" s="39"/>
    </row>
    <row r="685" spans="1:9" x14ac:dyDescent="0.25">
      <c r="A685" s="23" t="str">
        <f t="shared" si="10"/>
        <v/>
      </c>
      <c r="B685" s="38"/>
      <c r="C685" s="34"/>
      <c r="D685" s="180" t="s">
        <v>4</v>
      </c>
      <c r="E685" s="32" t="str">
        <f>IF(A685="","",IF(COUNTIF('Asset Detail'!A:A,A685)&gt;0,"✓ Found","✗ Not Found"))</f>
        <v/>
      </c>
      <c r="F685" s="31" t="str" cm="1">
        <f t="array" ref="F685">IF(A685="","",IFERROR(INDEX('Asset Detail'!C:C,_xlfn.XMATCH(A685,'Asset Detail'!A:A,3)),"—"))</f>
        <v/>
      </c>
      <c r="G685" s="32" t="str" cm="1">
        <f t="array" ref="G685">IF(A685="","",IFERROR(INDEX('Asset Detail'!E:E,_xlfn.XMATCH(A685,'Asset Detail'!A:A,3)),"—"))</f>
        <v/>
      </c>
      <c r="H685" s="34"/>
      <c r="I685" s="39"/>
    </row>
    <row r="686" spans="1:9" x14ac:dyDescent="0.25">
      <c r="A686" s="23" t="str">
        <f t="shared" si="10"/>
        <v/>
      </c>
      <c r="B686" s="38"/>
      <c r="C686" s="34"/>
      <c r="D686" s="180" t="s">
        <v>4</v>
      </c>
      <c r="E686" s="32" t="str">
        <f>IF(A686="","",IF(COUNTIF('Asset Detail'!A:A,A686)&gt;0,"✓ Found","✗ Not Found"))</f>
        <v/>
      </c>
      <c r="F686" s="31" t="str" cm="1">
        <f t="array" ref="F686">IF(A686="","",IFERROR(INDEX('Asset Detail'!C:C,_xlfn.XMATCH(A686,'Asset Detail'!A:A,3)),"—"))</f>
        <v/>
      </c>
      <c r="G686" s="32" t="str" cm="1">
        <f t="array" ref="G686">IF(A686="","",IFERROR(INDEX('Asset Detail'!E:E,_xlfn.XMATCH(A686,'Asset Detail'!A:A,3)),"—"))</f>
        <v/>
      </c>
      <c r="H686" s="34"/>
      <c r="I686" s="39"/>
    </row>
    <row r="687" spans="1:9" x14ac:dyDescent="0.25">
      <c r="A687" s="23" t="str">
        <f t="shared" si="10"/>
        <v/>
      </c>
      <c r="B687" s="38"/>
      <c r="C687" s="34"/>
      <c r="D687" s="180" t="s">
        <v>4</v>
      </c>
      <c r="E687" s="32" t="str">
        <f>IF(A687="","",IF(COUNTIF('Asset Detail'!A:A,A687)&gt;0,"✓ Found","✗ Not Found"))</f>
        <v/>
      </c>
      <c r="F687" s="31" t="str" cm="1">
        <f t="array" ref="F687">IF(A687="","",IFERROR(INDEX('Asset Detail'!C:C,_xlfn.XMATCH(A687,'Asset Detail'!A:A,3)),"—"))</f>
        <v/>
      </c>
      <c r="G687" s="32" t="str" cm="1">
        <f t="array" ref="G687">IF(A687="","",IFERROR(INDEX('Asset Detail'!E:E,_xlfn.XMATCH(A687,'Asset Detail'!A:A,3)),"—"))</f>
        <v/>
      </c>
      <c r="H687" s="34"/>
      <c r="I687" s="39"/>
    </row>
    <row r="688" spans="1:9" x14ac:dyDescent="0.25">
      <c r="A688" s="23" t="str">
        <f t="shared" si="10"/>
        <v/>
      </c>
      <c r="B688" s="38"/>
      <c r="C688" s="34"/>
      <c r="D688" s="180" t="s">
        <v>4</v>
      </c>
      <c r="E688" s="32" t="str">
        <f>IF(A688="","",IF(COUNTIF('Asset Detail'!A:A,A688)&gt;0,"✓ Found","✗ Not Found"))</f>
        <v/>
      </c>
      <c r="F688" s="31" t="str" cm="1">
        <f t="array" ref="F688">IF(A688="","",IFERROR(INDEX('Asset Detail'!C:C,_xlfn.XMATCH(A688,'Asset Detail'!A:A,3)),"—"))</f>
        <v/>
      </c>
      <c r="G688" s="32" t="str" cm="1">
        <f t="array" ref="G688">IF(A688="","",IFERROR(INDEX('Asset Detail'!E:E,_xlfn.XMATCH(A688,'Asset Detail'!A:A,3)),"—"))</f>
        <v/>
      </c>
      <c r="H688" s="34"/>
      <c r="I688" s="39"/>
    </row>
    <row r="689" spans="1:9" x14ac:dyDescent="0.25">
      <c r="A689" s="23" t="str">
        <f t="shared" si="10"/>
        <v/>
      </c>
      <c r="B689" s="38"/>
      <c r="C689" s="34"/>
      <c r="D689" s="180" t="s">
        <v>4</v>
      </c>
      <c r="E689" s="32" t="str">
        <f>IF(A689="","",IF(COUNTIF('Asset Detail'!A:A,A689)&gt;0,"✓ Found","✗ Not Found"))</f>
        <v/>
      </c>
      <c r="F689" s="31" t="str" cm="1">
        <f t="array" ref="F689">IF(A689="","",IFERROR(INDEX('Asset Detail'!C:C,_xlfn.XMATCH(A689,'Asset Detail'!A:A,3)),"—"))</f>
        <v/>
      </c>
      <c r="G689" s="32" t="str" cm="1">
        <f t="array" ref="G689">IF(A689="","",IFERROR(INDEX('Asset Detail'!E:E,_xlfn.XMATCH(A689,'Asset Detail'!A:A,3)),"—"))</f>
        <v/>
      </c>
      <c r="H689" s="34"/>
      <c r="I689" s="39"/>
    </row>
    <row r="690" spans="1:9" x14ac:dyDescent="0.25">
      <c r="A690" s="23" t="str">
        <f t="shared" si="10"/>
        <v/>
      </c>
      <c r="B690" s="38"/>
      <c r="C690" s="34"/>
      <c r="D690" s="180" t="s">
        <v>4</v>
      </c>
      <c r="E690" s="32" t="str">
        <f>IF(A690="","",IF(COUNTIF('Asset Detail'!A:A,A690)&gt;0,"✓ Found","✗ Not Found"))</f>
        <v/>
      </c>
      <c r="F690" s="31" t="str" cm="1">
        <f t="array" ref="F690">IF(A690="","",IFERROR(INDEX('Asset Detail'!C:C,_xlfn.XMATCH(A690,'Asset Detail'!A:A,3)),"—"))</f>
        <v/>
      </c>
      <c r="G690" s="32" t="str" cm="1">
        <f t="array" ref="G690">IF(A690="","",IFERROR(INDEX('Asset Detail'!E:E,_xlfn.XMATCH(A690,'Asset Detail'!A:A,3)),"—"))</f>
        <v/>
      </c>
      <c r="H690" s="34"/>
      <c r="I690" s="39"/>
    </row>
    <row r="691" spans="1:9" x14ac:dyDescent="0.25">
      <c r="A691" s="23" t="str">
        <f t="shared" si="10"/>
        <v/>
      </c>
      <c r="B691" s="38"/>
      <c r="C691" s="34"/>
      <c r="D691" s="180" t="s">
        <v>4</v>
      </c>
      <c r="E691" s="32" t="str">
        <f>IF(A691="","",IF(COUNTIF('Asset Detail'!A:A,A691)&gt;0,"✓ Found","✗ Not Found"))</f>
        <v/>
      </c>
      <c r="F691" s="31" t="str" cm="1">
        <f t="array" ref="F691">IF(A691="","",IFERROR(INDEX('Asset Detail'!C:C,_xlfn.XMATCH(A691,'Asset Detail'!A:A,3)),"—"))</f>
        <v/>
      </c>
      <c r="G691" s="32" t="str" cm="1">
        <f t="array" ref="G691">IF(A691="","",IFERROR(INDEX('Asset Detail'!E:E,_xlfn.XMATCH(A691,'Asset Detail'!A:A,3)),"—"))</f>
        <v/>
      </c>
      <c r="H691" s="34"/>
      <c r="I691" s="39"/>
    </row>
    <row r="692" spans="1:9" x14ac:dyDescent="0.25">
      <c r="A692" s="23" t="str">
        <f t="shared" si="10"/>
        <v/>
      </c>
      <c r="B692" s="38"/>
      <c r="C692" s="34"/>
      <c r="D692" s="180" t="s">
        <v>4</v>
      </c>
      <c r="E692" s="32" t="str">
        <f>IF(A692="","",IF(COUNTIF('Asset Detail'!A:A,A692)&gt;0,"✓ Found","✗ Not Found"))</f>
        <v/>
      </c>
      <c r="F692" s="31" t="str" cm="1">
        <f t="array" ref="F692">IF(A692="","",IFERROR(INDEX('Asset Detail'!C:C,_xlfn.XMATCH(A692,'Asset Detail'!A:A,3)),"—"))</f>
        <v/>
      </c>
      <c r="G692" s="32" t="str" cm="1">
        <f t="array" ref="G692">IF(A692="","",IFERROR(INDEX('Asset Detail'!E:E,_xlfn.XMATCH(A692,'Asset Detail'!A:A,3)),"—"))</f>
        <v/>
      </c>
      <c r="H692" s="34"/>
      <c r="I692" s="39"/>
    </row>
    <row r="693" spans="1:9" x14ac:dyDescent="0.25">
      <c r="A693" s="23" t="str">
        <f t="shared" si="10"/>
        <v/>
      </c>
      <c r="B693" s="38"/>
      <c r="C693" s="34"/>
      <c r="D693" s="180" t="s">
        <v>4</v>
      </c>
      <c r="E693" s="32" t="str">
        <f>IF(A693="","",IF(COUNTIF('Asset Detail'!A:A,A693)&gt;0,"✓ Found","✗ Not Found"))</f>
        <v/>
      </c>
      <c r="F693" s="31" t="str" cm="1">
        <f t="array" ref="F693">IF(A693="","",IFERROR(INDEX('Asset Detail'!C:C,_xlfn.XMATCH(A693,'Asset Detail'!A:A,3)),"—"))</f>
        <v/>
      </c>
      <c r="G693" s="32" t="str" cm="1">
        <f t="array" ref="G693">IF(A693="","",IFERROR(INDEX('Asset Detail'!E:E,_xlfn.XMATCH(A693,'Asset Detail'!A:A,3)),"—"))</f>
        <v/>
      </c>
      <c r="H693" s="34"/>
      <c r="I693" s="39"/>
    </row>
    <row r="694" spans="1:9" x14ac:dyDescent="0.25">
      <c r="A694" s="23" t="str">
        <f t="shared" si="10"/>
        <v/>
      </c>
      <c r="B694" s="38"/>
      <c r="C694" s="34"/>
      <c r="D694" s="180" t="s">
        <v>4</v>
      </c>
      <c r="E694" s="32" t="str">
        <f>IF(A694="","",IF(COUNTIF('Asset Detail'!A:A,A694)&gt;0,"✓ Found","✗ Not Found"))</f>
        <v/>
      </c>
      <c r="F694" s="31" t="str" cm="1">
        <f t="array" ref="F694">IF(A694="","",IFERROR(INDEX('Asset Detail'!C:C,_xlfn.XMATCH(A694,'Asset Detail'!A:A,3)),"—"))</f>
        <v/>
      </c>
      <c r="G694" s="32" t="str" cm="1">
        <f t="array" ref="G694">IF(A694="","",IFERROR(INDEX('Asset Detail'!E:E,_xlfn.XMATCH(A694,'Asset Detail'!A:A,3)),"—"))</f>
        <v/>
      </c>
      <c r="H694" s="34"/>
      <c r="I694" s="39"/>
    </row>
    <row r="695" spans="1:9" x14ac:dyDescent="0.25">
      <c r="A695" s="23" t="str">
        <f t="shared" si="10"/>
        <v/>
      </c>
      <c r="B695" s="38"/>
      <c r="C695" s="34"/>
      <c r="D695" s="180" t="s">
        <v>4</v>
      </c>
      <c r="E695" s="32" t="str">
        <f>IF(A695="","",IF(COUNTIF('Asset Detail'!A:A,A695)&gt;0,"✓ Found","✗ Not Found"))</f>
        <v/>
      </c>
      <c r="F695" s="31" t="str" cm="1">
        <f t="array" ref="F695">IF(A695="","",IFERROR(INDEX('Asset Detail'!C:C,_xlfn.XMATCH(A695,'Asset Detail'!A:A,3)),"—"))</f>
        <v/>
      </c>
      <c r="G695" s="32" t="str" cm="1">
        <f t="array" ref="G695">IF(A695="","",IFERROR(INDEX('Asset Detail'!E:E,_xlfn.XMATCH(A695,'Asset Detail'!A:A,3)),"—"))</f>
        <v/>
      </c>
      <c r="H695" s="34"/>
      <c r="I695" s="39"/>
    </row>
    <row r="696" spans="1:9" x14ac:dyDescent="0.25">
      <c r="A696" s="23" t="str">
        <f t="shared" si="10"/>
        <v/>
      </c>
      <c r="B696" s="38"/>
      <c r="C696" s="34"/>
      <c r="D696" s="180" t="s">
        <v>4</v>
      </c>
      <c r="E696" s="32" t="str">
        <f>IF(A696="","",IF(COUNTIF('Asset Detail'!A:A,A696)&gt;0,"✓ Found","✗ Not Found"))</f>
        <v/>
      </c>
      <c r="F696" s="31" t="str" cm="1">
        <f t="array" ref="F696">IF(A696="","",IFERROR(INDEX('Asset Detail'!C:C,_xlfn.XMATCH(A696,'Asset Detail'!A:A,3)),"—"))</f>
        <v/>
      </c>
      <c r="G696" s="32" t="str" cm="1">
        <f t="array" ref="G696">IF(A696="","",IFERROR(INDEX('Asset Detail'!E:E,_xlfn.XMATCH(A696,'Asset Detail'!A:A,3)),"—"))</f>
        <v/>
      </c>
      <c r="H696" s="34"/>
      <c r="I696" s="39"/>
    </row>
    <row r="697" spans="1:9" x14ac:dyDescent="0.25">
      <c r="A697" s="23" t="str">
        <f t="shared" si="10"/>
        <v/>
      </c>
      <c r="B697" s="38"/>
      <c r="C697" s="34"/>
      <c r="D697" s="180" t="s">
        <v>4</v>
      </c>
      <c r="E697" s="32" t="str">
        <f>IF(A697="","",IF(COUNTIF('Asset Detail'!A:A,A697)&gt;0,"✓ Found","✗ Not Found"))</f>
        <v/>
      </c>
      <c r="F697" s="31" t="str" cm="1">
        <f t="array" ref="F697">IF(A697="","",IFERROR(INDEX('Asset Detail'!C:C,_xlfn.XMATCH(A697,'Asset Detail'!A:A,3)),"—"))</f>
        <v/>
      </c>
      <c r="G697" s="32" t="str" cm="1">
        <f t="array" ref="G697">IF(A697="","",IFERROR(INDEX('Asset Detail'!E:E,_xlfn.XMATCH(A697,'Asset Detail'!A:A,3)),"—"))</f>
        <v/>
      </c>
      <c r="H697" s="34"/>
      <c r="I697" s="39"/>
    </row>
    <row r="698" spans="1:9" x14ac:dyDescent="0.25">
      <c r="A698" s="23" t="str">
        <f t="shared" si="10"/>
        <v/>
      </c>
      <c r="B698" s="38"/>
      <c r="C698" s="34"/>
      <c r="D698" s="180" t="s">
        <v>4</v>
      </c>
      <c r="E698" s="32" t="str">
        <f>IF(A698="","",IF(COUNTIF('Asset Detail'!A:A,A698)&gt;0,"✓ Found","✗ Not Found"))</f>
        <v/>
      </c>
      <c r="F698" s="31" t="str" cm="1">
        <f t="array" ref="F698">IF(A698="","",IFERROR(INDEX('Asset Detail'!C:C,_xlfn.XMATCH(A698,'Asset Detail'!A:A,3)),"—"))</f>
        <v/>
      </c>
      <c r="G698" s="32" t="str" cm="1">
        <f t="array" ref="G698">IF(A698="","",IFERROR(INDEX('Asset Detail'!E:E,_xlfn.XMATCH(A698,'Asset Detail'!A:A,3)),"—"))</f>
        <v/>
      </c>
      <c r="H698" s="34"/>
      <c r="I698" s="39"/>
    </row>
    <row r="699" spans="1:9" x14ac:dyDescent="0.25">
      <c r="A699" s="23" t="str">
        <f t="shared" si="10"/>
        <v/>
      </c>
      <c r="B699" s="38"/>
      <c r="C699" s="34"/>
      <c r="D699" s="180" t="s">
        <v>4</v>
      </c>
      <c r="E699" s="32" t="str">
        <f>IF(A699="","",IF(COUNTIF('Asset Detail'!A:A,A699)&gt;0,"✓ Found","✗ Not Found"))</f>
        <v/>
      </c>
      <c r="F699" s="31" t="str" cm="1">
        <f t="array" ref="F699">IF(A699="","",IFERROR(INDEX('Asset Detail'!C:C,_xlfn.XMATCH(A699,'Asset Detail'!A:A,3)),"—"))</f>
        <v/>
      </c>
      <c r="G699" s="32" t="str" cm="1">
        <f t="array" ref="G699">IF(A699="","",IFERROR(INDEX('Asset Detail'!E:E,_xlfn.XMATCH(A699,'Asset Detail'!A:A,3)),"—"))</f>
        <v/>
      </c>
      <c r="H699" s="34"/>
      <c r="I699" s="39"/>
    </row>
    <row r="700" spans="1:9" x14ac:dyDescent="0.25">
      <c r="A700" s="23" t="str">
        <f t="shared" si="10"/>
        <v/>
      </c>
      <c r="B700" s="38"/>
      <c r="C700" s="34"/>
      <c r="D700" s="180" t="s">
        <v>4</v>
      </c>
      <c r="E700" s="32" t="str">
        <f>IF(A700="","",IF(COUNTIF('Asset Detail'!A:A,A700)&gt;0,"✓ Found","✗ Not Found"))</f>
        <v/>
      </c>
      <c r="F700" s="31" t="str" cm="1">
        <f t="array" ref="F700">IF(A700="","",IFERROR(INDEX('Asset Detail'!C:C,_xlfn.XMATCH(A700,'Asset Detail'!A:A,3)),"—"))</f>
        <v/>
      </c>
      <c r="G700" s="32" t="str" cm="1">
        <f t="array" ref="G700">IF(A700="","",IFERROR(INDEX('Asset Detail'!E:E,_xlfn.XMATCH(A700,'Asset Detail'!A:A,3)),"—"))</f>
        <v/>
      </c>
      <c r="H700" s="34"/>
      <c r="I700" s="39"/>
    </row>
    <row r="701" spans="1:9" x14ac:dyDescent="0.25">
      <c r="A701" s="23" t="str">
        <f t="shared" si="10"/>
        <v/>
      </c>
      <c r="B701" s="38"/>
      <c r="C701" s="34"/>
      <c r="D701" s="180" t="s">
        <v>4</v>
      </c>
      <c r="E701" s="32" t="str">
        <f>IF(A701="","",IF(COUNTIF('Asset Detail'!A:A,A701)&gt;0,"✓ Found","✗ Not Found"))</f>
        <v/>
      </c>
      <c r="F701" s="31" t="str" cm="1">
        <f t="array" ref="F701">IF(A701="","",IFERROR(INDEX('Asset Detail'!C:C,_xlfn.XMATCH(A701,'Asset Detail'!A:A,3)),"—"))</f>
        <v/>
      </c>
      <c r="G701" s="32" t="str" cm="1">
        <f t="array" ref="G701">IF(A701="","",IFERROR(INDEX('Asset Detail'!E:E,_xlfn.XMATCH(A701,'Asset Detail'!A:A,3)),"—"))</f>
        <v/>
      </c>
      <c r="H701" s="34"/>
      <c r="I701" s="39"/>
    </row>
    <row r="702" spans="1:9" x14ac:dyDescent="0.25">
      <c r="A702" s="23" t="str">
        <f t="shared" si="10"/>
        <v/>
      </c>
      <c r="B702" s="38"/>
      <c r="C702" s="34"/>
      <c r="D702" s="180" t="s">
        <v>4</v>
      </c>
      <c r="E702" s="32" t="str">
        <f>IF(A702="","",IF(COUNTIF('Asset Detail'!A:A,A702)&gt;0,"✓ Found","✗ Not Found"))</f>
        <v/>
      </c>
      <c r="F702" s="31" t="str" cm="1">
        <f t="array" ref="F702">IF(A702="","",IFERROR(INDEX('Asset Detail'!C:C,_xlfn.XMATCH(A702,'Asset Detail'!A:A,3)),"—"))</f>
        <v/>
      </c>
      <c r="G702" s="32" t="str" cm="1">
        <f t="array" ref="G702">IF(A702="","",IFERROR(INDEX('Asset Detail'!E:E,_xlfn.XMATCH(A702,'Asset Detail'!A:A,3)),"—"))</f>
        <v/>
      </c>
      <c r="H702" s="34"/>
      <c r="I702" s="39"/>
    </row>
    <row r="703" spans="1:9" x14ac:dyDescent="0.25">
      <c r="A703" s="23" t="str">
        <f t="shared" si="10"/>
        <v/>
      </c>
      <c r="B703" s="38"/>
      <c r="C703" s="34"/>
      <c r="D703" s="180" t="s">
        <v>4</v>
      </c>
      <c r="E703" s="32" t="str">
        <f>IF(A703="","",IF(COUNTIF('Asset Detail'!A:A,A703)&gt;0,"✓ Found","✗ Not Found"))</f>
        <v/>
      </c>
      <c r="F703" s="31" t="str" cm="1">
        <f t="array" ref="F703">IF(A703="","",IFERROR(INDEX('Asset Detail'!C:C,_xlfn.XMATCH(A703,'Asset Detail'!A:A,3)),"—"))</f>
        <v/>
      </c>
      <c r="G703" s="32" t="str" cm="1">
        <f t="array" ref="G703">IF(A703="","",IFERROR(INDEX('Asset Detail'!E:E,_xlfn.XMATCH(A703,'Asset Detail'!A:A,3)),"—"))</f>
        <v/>
      </c>
      <c r="H703" s="34"/>
      <c r="I703" s="39"/>
    </row>
    <row r="704" spans="1:9" x14ac:dyDescent="0.25">
      <c r="A704" s="23" t="str">
        <f t="shared" si="10"/>
        <v/>
      </c>
      <c r="B704" s="38"/>
      <c r="C704" s="34"/>
      <c r="D704" s="180" t="s">
        <v>4</v>
      </c>
      <c r="E704" s="32" t="str">
        <f>IF(A704="","",IF(COUNTIF('Asset Detail'!A:A,A704)&gt;0,"✓ Found","✗ Not Found"))</f>
        <v/>
      </c>
      <c r="F704" s="31" t="str" cm="1">
        <f t="array" ref="F704">IF(A704="","",IFERROR(INDEX('Asset Detail'!C:C,_xlfn.XMATCH(A704,'Asset Detail'!A:A,3)),"—"))</f>
        <v/>
      </c>
      <c r="G704" s="32" t="str" cm="1">
        <f t="array" ref="G704">IF(A704="","",IFERROR(INDEX('Asset Detail'!E:E,_xlfn.XMATCH(A704,'Asset Detail'!A:A,3)),"—"))</f>
        <v/>
      </c>
      <c r="H704" s="34"/>
      <c r="I704" s="39"/>
    </row>
    <row r="705" spans="1:9" x14ac:dyDescent="0.25">
      <c r="A705" s="23" t="str">
        <f t="shared" si="10"/>
        <v/>
      </c>
      <c r="B705" s="38"/>
      <c r="C705" s="34"/>
      <c r="D705" s="180" t="s">
        <v>4</v>
      </c>
      <c r="E705" s="32" t="str">
        <f>IF(A705="","",IF(COUNTIF('Asset Detail'!A:A,A705)&gt;0,"✓ Found","✗ Not Found"))</f>
        <v/>
      </c>
      <c r="F705" s="31" t="str" cm="1">
        <f t="array" ref="F705">IF(A705="","",IFERROR(INDEX('Asset Detail'!C:C,_xlfn.XMATCH(A705,'Asset Detail'!A:A,3)),"—"))</f>
        <v/>
      </c>
      <c r="G705" s="32" t="str" cm="1">
        <f t="array" ref="G705">IF(A705="","",IFERROR(INDEX('Asset Detail'!E:E,_xlfn.XMATCH(A705,'Asset Detail'!A:A,3)),"—"))</f>
        <v/>
      </c>
      <c r="H705" s="34"/>
      <c r="I705" s="39"/>
    </row>
    <row r="706" spans="1:9" x14ac:dyDescent="0.25">
      <c r="A706" s="23" t="str">
        <f t="shared" si="10"/>
        <v/>
      </c>
      <c r="B706" s="38"/>
      <c r="C706" s="34"/>
      <c r="D706" s="180" t="s">
        <v>4</v>
      </c>
      <c r="E706" s="32" t="str">
        <f>IF(A706="","",IF(COUNTIF('Asset Detail'!A:A,A706)&gt;0,"✓ Found","✗ Not Found"))</f>
        <v/>
      </c>
      <c r="F706" s="31" t="str" cm="1">
        <f t="array" ref="F706">IF(A706="","",IFERROR(INDEX('Asset Detail'!C:C,_xlfn.XMATCH(A706,'Asset Detail'!A:A,3)),"—"))</f>
        <v/>
      </c>
      <c r="G706" s="32" t="str" cm="1">
        <f t="array" ref="G706">IF(A706="","",IFERROR(INDEX('Asset Detail'!E:E,_xlfn.XMATCH(A706,'Asset Detail'!A:A,3)),"—"))</f>
        <v/>
      </c>
      <c r="H706" s="34"/>
      <c r="I706" s="39"/>
    </row>
    <row r="707" spans="1:9" x14ac:dyDescent="0.25">
      <c r="A707" s="23" t="str">
        <f t="shared" si="10"/>
        <v/>
      </c>
      <c r="B707" s="38"/>
      <c r="C707" s="34"/>
      <c r="D707" s="180" t="s">
        <v>4</v>
      </c>
      <c r="E707" s="32" t="str">
        <f>IF(A707="","",IF(COUNTIF('Asset Detail'!A:A,A707)&gt;0,"✓ Found","✗ Not Found"))</f>
        <v/>
      </c>
      <c r="F707" s="31" t="str" cm="1">
        <f t="array" ref="F707">IF(A707="","",IFERROR(INDEX('Asset Detail'!C:C,_xlfn.XMATCH(A707,'Asset Detail'!A:A,3)),"—"))</f>
        <v/>
      </c>
      <c r="G707" s="32" t="str" cm="1">
        <f t="array" ref="G707">IF(A707="","",IFERROR(INDEX('Asset Detail'!E:E,_xlfn.XMATCH(A707,'Asset Detail'!A:A,3)),"—"))</f>
        <v/>
      </c>
      <c r="H707" s="34"/>
      <c r="I707" s="39"/>
    </row>
    <row r="708" spans="1:9" x14ac:dyDescent="0.25">
      <c r="A708" s="23" t="str">
        <f t="shared" si="10"/>
        <v/>
      </c>
      <c r="B708" s="38"/>
      <c r="C708" s="34"/>
      <c r="D708" s="180" t="s">
        <v>4</v>
      </c>
      <c r="E708" s="32" t="str">
        <f>IF(A708="","",IF(COUNTIF('Asset Detail'!A:A,A708)&gt;0,"✓ Found","✗ Not Found"))</f>
        <v/>
      </c>
      <c r="F708" s="31" t="str" cm="1">
        <f t="array" ref="F708">IF(A708="","",IFERROR(INDEX('Asset Detail'!C:C,_xlfn.XMATCH(A708,'Asset Detail'!A:A,3)),"—"))</f>
        <v/>
      </c>
      <c r="G708" s="32" t="str" cm="1">
        <f t="array" ref="G708">IF(A708="","",IFERROR(INDEX('Asset Detail'!E:E,_xlfn.XMATCH(A708,'Asset Detail'!A:A,3)),"—"))</f>
        <v/>
      </c>
      <c r="H708" s="34"/>
      <c r="I708" s="39"/>
    </row>
    <row r="709" spans="1:9" x14ac:dyDescent="0.25">
      <c r="A709" s="23" t="str">
        <f t="shared" si="10"/>
        <v/>
      </c>
      <c r="B709" s="38"/>
      <c r="C709" s="34"/>
      <c r="D709" s="180" t="s">
        <v>4</v>
      </c>
      <c r="E709" s="32" t="str">
        <f>IF(A709="","",IF(COUNTIF('Asset Detail'!A:A,A709)&gt;0,"✓ Found","✗ Not Found"))</f>
        <v/>
      </c>
      <c r="F709" s="31" t="str" cm="1">
        <f t="array" ref="F709">IF(A709="","",IFERROR(INDEX('Asset Detail'!C:C,_xlfn.XMATCH(A709,'Asset Detail'!A:A,3)),"—"))</f>
        <v/>
      </c>
      <c r="G709" s="32" t="str" cm="1">
        <f t="array" ref="G709">IF(A709="","",IFERROR(INDEX('Asset Detail'!E:E,_xlfn.XMATCH(A709,'Asset Detail'!A:A,3)),"—"))</f>
        <v/>
      </c>
      <c r="H709" s="34"/>
      <c r="I709" s="39"/>
    </row>
    <row r="710" spans="1:9" x14ac:dyDescent="0.25">
      <c r="A710" s="23" t="str">
        <f t="shared" si="10"/>
        <v/>
      </c>
      <c r="B710" s="38"/>
      <c r="C710" s="34"/>
      <c r="D710" s="180" t="s">
        <v>4</v>
      </c>
      <c r="E710" s="32" t="str">
        <f>IF(A710="","",IF(COUNTIF('Asset Detail'!A:A,A710)&gt;0,"✓ Found","✗ Not Found"))</f>
        <v/>
      </c>
      <c r="F710" s="31" t="str" cm="1">
        <f t="array" ref="F710">IF(A710="","",IFERROR(INDEX('Asset Detail'!C:C,_xlfn.XMATCH(A710,'Asset Detail'!A:A,3)),"—"))</f>
        <v/>
      </c>
      <c r="G710" s="32" t="str" cm="1">
        <f t="array" ref="G710">IF(A710="","",IFERROR(INDEX('Asset Detail'!E:E,_xlfn.XMATCH(A710,'Asset Detail'!A:A,3)),"—"))</f>
        <v/>
      </c>
      <c r="H710" s="34"/>
      <c r="I710" s="39"/>
    </row>
    <row r="711" spans="1:9" x14ac:dyDescent="0.25">
      <c r="A711" s="23" t="str">
        <f t="shared" si="10"/>
        <v/>
      </c>
      <c r="B711" s="38"/>
      <c r="C711" s="34"/>
      <c r="D711" s="180" t="s">
        <v>4</v>
      </c>
      <c r="E711" s="32" t="str">
        <f>IF(A711="","",IF(COUNTIF('Asset Detail'!A:A,A711)&gt;0,"✓ Found","✗ Not Found"))</f>
        <v/>
      </c>
      <c r="F711" s="31" t="str" cm="1">
        <f t="array" ref="F711">IF(A711="","",IFERROR(INDEX('Asset Detail'!C:C,_xlfn.XMATCH(A711,'Asset Detail'!A:A,3)),"—"))</f>
        <v/>
      </c>
      <c r="G711" s="32" t="str" cm="1">
        <f t="array" ref="G711">IF(A711="","",IFERROR(INDEX('Asset Detail'!E:E,_xlfn.XMATCH(A711,'Asset Detail'!A:A,3)),"—"))</f>
        <v/>
      </c>
      <c r="H711" s="34"/>
      <c r="I711" s="39"/>
    </row>
    <row r="712" spans="1:9" x14ac:dyDescent="0.25">
      <c r="A712" s="23" t="str">
        <f t="shared" ref="A712:A775" si="11">SUBSTITUTE(I712, "S", "")</f>
        <v/>
      </c>
      <c r="B712" s="38"/>
      <c r="C712" s="34"/>
      <c r="D712" s="180" t="s">
        <v>4</v>
      </c>
      <c r="E712" s="32" t="str">
        <f>IF(A712="","",IF(COUNTIF('Asset Detail'!A:A,A712)&gt;0,"✓ Found","✗ Not Found"))</f>
        <v/>
      </c>
      <c r="F712" s="31" t="str" cm="1">
        <f t="array" ref="F712">IF(A712="","",IFERROR(INDEX('Asset Detail'!C:C,_xlfn.XMATCH(A712,'Asset Detail'!A:A,3)),"—"))</f>
        <v/>
      </c>
      <c r="G712" s="32" t="str" cm="1">
        <f t="array" ref="G712">IF(A712="","",IFERROR(INDEX('Asset Detail'!E:E,_xlfn.XMATCH(A712,'Asset Detail'!A:A,3)),"—"))</f>
        <v/>
      </c>
      <c r="H712" s="34"/>
      <c r="I712" s="39"/>
    </row>
    <row r="713" spans="1:9" x14ac:dyDescent="0.25">
      <c r="A713" s="23" t="str">
        <f t="shared" si="11"/>
        <v/>
      </c>
      <c r="B713" s="38"/>
      <c r="C713" s="34"/>
      <c r="D713" s="180" t="s">
        <v>4</v>
      </c>
      <c r="E713" s="32" t="str">
        <f>IF(A713="","",IF(COUNTIF('Asset Detail'!A:A,A713)&gt;0,"✓ Found","✗ Not Found"))</f>
        <v/>
      </c>
      <c r="F713" s="31" t="str" cm="1">
        <f t="array" ref="F713">IF(A713="","",IFERROR(INDEX('Asset Detail'!C:C,_xlfn.XMATCH(A713,'Asset Detail'!A:A,3)),"—"))</f>
        <v/>
      </c>
      <c r="G713" s="32" t="str" cm="1">
        <f t="array" ref="G713">IF(A713="","",IFERROR(INDEX('Asset Detail'!E:E,_xlfn.XMATCH(A713,'Asset Detail'!A:A,3)),"—"))</f>
        <v/>
      </c>
      <c r="H713" s="34"/>
      <c r="I713" s="39"/>
    </row>
    <row r="714" spans="1:9" x14ac:dyDescent="0.25">
      <c r="A714" s="23" t="str">
        <f t="shared" si="11"/>
        <v/>
      </c>
      <c r="B714" s="38"/>
      <c r="C714" s="34"/>
      <c r="D714" s="180" t="s">
        <v>4</v>
      </c>
      <c r="E714" s="32" t="str">
        <f>IF(A714="","",IF(COUNTIF('Asset Detail'!A:A,A714)&gt;0,"✓ Found","✗ Not Found"))</f>
        <v/>
      </c>
      <c r="F714" s="31" t="str" cm="1">
        <f t="array" ref="F714">IF(A714="","",IFERROR(INDEX('Asset Detail'!C:C,_xlfn.XMATCH(A714,'Asset Detail'!A:A,3)),"—"))</f>
        <v/>
      </c>
      <c r="G714" s="32" t="str" cm="1">
        <f t="array" ref="G714">IF(A714="","",IFERROR(INDEX('Asset Detail'!E:E,_xlfn.XMATCH(A714,'Asset Detail'!A:A,3)),"—"))</f>
        <v/>
      </c>
      <c r="H714" s="34"/>
      <c r="I714" s="39"/>
    </row>
    <row r="715" spans="1:9" x14ac:dyDescent="0.25">
      <c r="A715" s="23" t="str">
        <f t="shared" si="11"/>
        <v/>
      </c>
      <c r="B715" s="38"/>
      <c r="C715" s="34"/>
      <c r="D715" s="180" t="s">
        <v>4</v>
      </c>
      <c r="E715" s="32" t="str">
        <f>IF(A715="","",IF(COUNTIF('Asset Detail'!A:A,A715)&gt;0,"✓ Found","✗ Not Found"))</f>
        <v/>
      </c>
      <c r="F715" s="31" t="str" cm="1">
        <f t="array" ref="F715">IF(A715="","",IFERROR(INDEX('Asset Detail'!C:C,_xlfn.XMATCH(A715,'Asset Detail'!A:A,3)),"—"))</f>
        <v/>
      </c>
      <c r="G715" s="32" t="str" cm="1">
        <f t="array" ref="G715">IF(A715="","",IFERROR(INDEX('Asset Detail'!E:E,_xlfn.XMATCH(A715,'Asset Detail'!A:A,3)),"—"))</f>
        <v/>
      </c>
      <c r="H715" s="34"/>
      <c r="I715" s="39"/>
    </row>
    <row r="716" spans="1:9" x14ac:dyDescent="0.25">
      <c r="A716" s="23" t="str">
        <f t="shared" si="11"/>
        <v/>
      </c>
      <c r="B716" s="38"/>
      <c r="C716" s="34"/>
      <c r="D716" s="180" t="s">
        <v>4</v>
      </c>
      <c r="E716" s="32" t="str">
        <f>IF(A716="","",IF(COUNTIF('Asset Detail'!A:A,A716)&gt;0,"✓ Found","✗ Not Found"))</f>
        <v/>
      </c>
      <c r="F716" s="31" t="str" cm="1">
        <f t="array" ref="F716">IF(A716="","",IFERROR(INDEX('Asset Detail'!C:C,_xlfn.XMATCH(A716,'Asset Detail'!A:A,3)),"—"))</f>
        <v/>
      </c>
      <c r="G716" s="32" t="str" cm="1">
        <f t="array" ref="G716">IF(A716="","",IFERROR(INDEX('Asset Detail'!E:E,_xlfn.XMATCH(A716,'Asset Detail'!A:A,3)),"—"))</f>
        <v/>
      </c>
      <c r="H716" s="34"/>
      <c r="I716" s="39"/>
    </row>
    <row r="717" spans="1:9" x14ac:dyDescent="0.25">
      <c r="A717" s="23" t="str">
        <f t="shared" si="11"/>
        <v/>
      </c>
      <c r="B717" s="38"/>
      <c r="C717" s="34"/>
      <c r="D717" s="180" t="s">
        <v>4</v>
      </c>
      <c r="E717" s="32" t="str">
        <f>IF(A717="","",IF(COUNTIF('Asset Detail'!A:A,A717)&gt;0,"✓ Found","✗ Not Found"))</f>
        <v/>
      </c>
      <c r="F717" s="31" t="str" cm="1">
        <f t="array" ref="F717">IF(A717="","",IFERROR(INDEX('Asset Detail'!C:C,_xlfn.XMATCH(A717,'Asset Detail'!A:A,3)),"—"))</f>
        <v/>
      </c>
      <c r="G717" s="32" t="str" cm="1">
        <f t="array" ref="G717">IF(A717="","",IFERROR(INDEX('Asset Detail'!E:E,_xlfn.XMATCH(A717,'Asset Detail'!A:A,3)),"—"))</f>
        <v/>
      </c>
      <c r="H717" s="34"/>
      <c r="I717" s="39"/>
    </row>
    <row r="718" spans="1:9" x14ac:dyDescent="0.25">
      <c r="A718" s="23" t="str">
        <f t="shared" si="11"/>
        <v/>
      </c>
      <c r="B718" s="38"/>
      <c r="C718" s="34"/>
      <c r="D718" s="180" t="s">
        <v>4</v>
      </c>
      <c r="E718" s="32" t="str">
        <f>IF(A718="","",IF(COUNTIF('Asset Detail'!A:A,A718)&gt;0,"✓ Found","✗ Not Found"))</f>
        <v/>
      </c>
      <c r="F718" s="31" t="str" cm="1">
        <f t="array" ref="F718">IF(A718="","",IFERROR(INDEX('Asset Detail'!C:C,_xlfn.XMATCH(A718,'Asset Detail'!A:A,3)),"—"))</f>
        <v/>
      </c>
      <c r="G718" s="32" t="str" cm="1">
        <f t="array" ref="G718">IF(A718="","",IFERROR(INDEX('Asset Detail'!E:E,_xlfn.XMATCH(A718,'Asset Detail'!A:A,3)),"—"))</f>
        <v/>
      </c>
      <c r="H718" s="34"/>
      <c r="I718" s="39"/>
    </row>
    <row r="719" spans="1:9" x14ac:dyDescent="0.25">
      <c r="A719" s="23" t="str">
        <f t="shared" si="11"/>
        <v/>
      </c>
      <c r="B719" s="38"/>
      <c r="C719" s="34"/>
      <c r="D719" s="180" t="s">
        <v>4</v>
      </c>
      <c r="E719" s="32" t="str">
        <f>IF(A719="","",IF(COUNTIF('Asset Detail'!A:A,A719)&gt;0,"✓ Found","✗ Not Found"))</f>
        <v/>
      </c>
      <c r="F719" s="31" t="str" cm="1">
        <f t="array" ref="F719">IF(A719="","",IFERROR(INDEX('Asset Detail'!C:C,_xlfn.XMATCH(A719,'Asset Detail'!A:A,3)),"—"))</f>
        <v/>
      </c>
      <c r="G719" s="32" t="str" cm="1">
        <f t="array" ref="G719">IF(A719="","",IFERROR(INDEX('Asset Detail'!E:E,_xlfn.XMATCH(A719,'Asset Detail'!A:A,3)),"—"))</f>
        <v/>
      </c>
      <c r="H719" s="34"/>
      <c r="I719" s="39"/>
    </row>
    <row r="720" spans="1:9" x14ac:dyDescent="0.25">
      <c r="A720" s="23" t="str">
        <f t="shared" si="11"/>
        <v/>
      </c>
      <c r="B720" s="38"/>
      <c r="C720" s="34"/>
      <c r="D720" s="180" t="s">
        <v>4</v>
      </c>
      <c r="E720" s="32" t="str">
        <f>IF(A720="","",IF(COUNTIF('Asset Detail'!A:A,A720)&gt;0,"✓ Found","✗ Not Found"))</f>
        <v/>
      </c>
      <c r="F720" s="31" t="str" cm="1">
        <f t="array" ref="F720">IF(A720="","",IFERROR(INDEX('Asset Detail'!C:C,_xlfn.XMATCH(A720,'Asset Detail'!A:A,3)),"—"))</f>
        <v/>
      </c>
      <c r="G720" s="32" t="str" cm="1">
        <f t="array" ref="G720">IF(A720="","",IFERROR(INDEX('Asset Detail'!E:E,_xlfn.XMATCH(A720,'Asset Detail'!A:A,3)),"—"))</f>
        <v/>
      </c>
      <c r="H720" s="34"/>
      <c r="I720" s="39"/>
    </row>
    <row r="721" spans="1:9" x14ac:dyDescent="0.25">
      <c r="A721" s="23" t="str">
        <f t="shared" si="11"/>
        <v/>
      </c>
      <c r="B721" s="38"/>
      <c r="C721" s="34"/>
      <c r="D721" s="180" t="s">
        <v>4</v>
      </c>
      <c r="E721" s="32" t="str">
        <f>IF(A721="","",IF(COUNTIF('Asset Detail'!A:A,A721)&gt;0,"✓ Found","✗ Not Found"))</f>
        <v/>
      </c>
      <c r="F721" s="31" t="str" cm="1">
        <f t="array" ref="F721">IF(A721="","",IFERROR(INDEX('Asset Detail'!C:C,_xlfn.XMATCH(A721,'Asset Detail'!A:A,3)),"—"))</f>
        <v/>
      </c>
      <c r="G721" s="32" t="str" cm="1">
        <f t="array" ref="G721">IF(A721="","",IFERROR(INDEX('Asset Detail'!E:E,_xlfn.XMATCH(A721,'Asset Detail'!A:A,3)),"—"))</f>
        <v/>
      </c>
      <c r="H721" s="34"/>
      <c r="I721" s="39"/>
    </row>
    <row r="722" spans="1:9" x14ac:dyDescent="0.25">
      <c r="A722" s="23" t="str">
        <f t="shared" si="11"/>
        <v/>
      </c>
      <c r="B722" s="38"/>
      <c r="C722" s="34"/>
      <c r="D722" s="180" t="s">
        <v>4</v>
      </c>
      <c r="E722" s="32" t="str">
        <f>IF(A722="","",IF(COUNTIF('Asset Detail'!A:A,A722)&gt;0,"✓ Found","✗ Not Found"))</f>
        <v/>
      </c>
      <c r="F722" s="31" t="str" cm="1">
        <f t="array" ref="F722">IF(A722="","",IFERROR(INDEX('Asset Detail'!C:C,_xlfn.XMATCH(A722,'Asset Detail'!A:A,3)),"—"))</f>
        <v/>
      </c>
      <c r="G722" s="32" t="str" cm="1">
        <f t="array" ref="G722">IF(A722="","",IFERROR(INDEX('Asset Detail'!E:E,_xlfn.XMATCH(A722,'Asset Detail'!A:A,3)),"—"))</f>
        <v/>
      </c>
      <c r="H722" s="34"/>
      <c r="I722" s="39"/>
    </row>
    <row r="723" spans="1:9" x14ac:dyDescent="0.25">
      <c r="A723" s="23" t="str">
        <f t="shared" si="11"/>
        <v/>
      </c>
      <c r="B723" s="38"/>
      <c r="C723" s="34"/>
      <c r="D723" s="180" t="s">
        <v>4</v>
      </c>
      <c r="E723" s="32" t="str">
        <f>IF(A723="","",IF(COUNTIF('Asset Detail'!A:A,A723)&gt;0,"✓ Found","✗ Not Found"))</f>
        <v/>
      </c>
      <c r="F723" s="31" t="str" cm="1">
        <f t="array" ref="F723">IF(A723="","",IFERROR(INDEX('Asset Detail'!C:C,_xlfn.XMATCH(A723,'Asset Detail'!A:A,3)),"—"))</f>
        <v/>
      </c>
      <c r="G723" s="32" t="str" cm="1">
        <f t="array" ref="G723">IF(A723="","",IFERROR(INDEX('Asset Detail'!E:E,_xlfn.XMATCH(A723,'Asset Detail'!A:A,3)),"—"))</f>
        <v/>
      </c>
      <c r="H723" s="34"/>
      <c r="I723" s="39"/>
    </row>
    <row r="724" spans="1:9" x14ac:dyDescent="0.25">
      <c r="A724" s="23" t="str">
        <f t="shared" si="11"/>
        <v/>
      </c>
      <c r="B724" s="38"/>
      <c r="C724" s="34"/>
      <c r="D724" s="180" t="s">
        <v>4</v>
      </c>
      <c r="E724" s="32" t="str">
        <f>IF(A724="","",IF(COUNTIF('Asset Detail'!A:A,A724)&gt;0,"✓ Found","✗ Not Found"))</f>
        <v/>
      </c>
      <c r="F724" s="31" t="str" cm="1">
        <f t="array" ref="F724">IF(A724="","",IFERROR(INDEX('Asset Detail'!C:C,_xlfn.XMATCH(A724,'Asset Detail'!A:A,3)),"—"))</f>
        <v/>
      </c>
      <c r="G724" s="32" t="str" cm="1">
        <f t="array" ref="G724">IF(A724="","",IFERROR(INDEX('Asset Detail'!E:E,_xlfn.XMATCH(A724,'Asset Detail'!A:A,3)),"—"))</f>
        <v/>
      </c>
      <c r="H724" s="34"/>
      <c r="I724" s="39"/>
    </row>
    <row r="725" spans="1:9" x14ac:dyDescent="0.25">
      <c r="A725" s="23" t="str">
        <f t="shared" si="11"/>
        <v/>
      </c>
      <c r="B725" s="38"/>
      <c r="C725" s="34"/>
      <c r="D725" s="180" t="s">
        <v>4</v>
      </c>
      <c r="E725" s="32" t="str">
        <f>IF(A725="","",IF(COUNTIF('Asset Detail'!A:A,A725)&gt;0,"✓ Found","✗ Not Found"))</f>
        <v/>
      </c>
      <c r="F725" s="31" t="str" cm="1">
        <f t="array" ref="F725">IF(A725="","",IFERROR(INDEX('Asset Detail'!C:C,_xlfn.XMATCH(A725,'Asset Detail'!A:A,3)),"—"))</f>
        <v/>
      </c>
      <c r="G725" s="32" t="str" cm="1">
        <f t="array" ref="G725">IF(A725="","",IFERROR(INDEX('Asset Detail'!E:E,_xlfn.XMATCH(A725,'Asset Detail'!A:A,3)),"—"))</f>
        <v/>
      </c>
      <c r="H725" s="34"/>
      <c r="I725" s="39"/>
    </row>
    <row r="726" spans="1:9" x14ac:dyDescent="0.25">
      <c r="A726" s="23" t="str">
        <f t="shared" si="11"/>
        <v/>
      </c>
      <c r="B726" s="38"/>
      <c r="C726" s="34"/>
      <c r="D726" s="180" t="s">
        <v>4</v>
      </c>
      <c r="E726" s="32" t="str">
        <f>IF(A726="","",IF(COUNTIF('Asset Detail'!A:A,A726)&gt;0,"✓ Found","✗ Not Found"))</f>
        <v/>
      </c>
      <c r="F726" s="31" t="str" cm="1">
        <f t="array" ref="F726">IF(A726="","",IFERROR(INDEX('Asset Detail'!C:C,_xlfn.XMATCH(A726,'Asset Detail'!A:A,3)),"—"))</f>
        <v/>
      </c>
      <c r="G726" s="32" t="str" cm="1">
        <f t="array" ref="G726">IF(A726="","",IFERROR(INDEX('Asset Detail'!E:E,_xlfn.XMATCH(A726,'Asset Detail'!A:A,3)),"—"))</f>
        <v/>
      </c>
      <c r="H726" s="34"/>
      <c r="I726" s="39"/>
    </row>
    <row r="727" spans="1:9" x14ac:dyDescent="0.25">
      <c r="A727" s="23" t="str">
        <f t="shared" si="11"/>
        <v/>
      </c>
      <c r="B727" s="38"/>
      <c r="C727" s="34"/>
      <c r="D727" s="180" t="s">
        <v>4</v>
      </c>
      <c r="E727" s="32" t="str">
        <f>IF(A727="","",IF(COUNTIF('Asset Detail'!A:A,A727)&gt;0,"✓ Found","✗ Not Found"))</f>
        <v/>
      </c>
      <c r="F727" s="31" t="str" cm="1">
        <f t="array" ref="F727">IF(A727="","",IFERROR(INDEX('Asset Detail'!C:C,_xlfn.XMATCH(A727,'Asset Detail'!A:A,3)),"—"))</f>
        <v/>
      </c>
      <c r="G727" s="32" t="str" cm="1">
        <f t="array" ref="G727">IF(A727="","",IFERROR(INDEX('Asset Detail'!E:E,_xlfn.XMATCH(A727,'Asset Detail'!A:A,3)),"—"))</f>
        <v/>
      </c>
      <c r="H727" s="34"/>
      <c r="I727" s="39"/>
    </row>
    <row r="728" spans="1:9" x14ac:dyDescent="0.25">
      <c r="A728" s="23" t="str">
        <f t="shared" si="11"/>
        <v/>
      </c>
      <c r="B728" s="38"/>
      <c r="C728" s="34"/>
      <c r="D728" s="180" t="s">
        <v>4</v>
      </c>
      <c r="E728" s="32" t="str">
        <f>IF(A728="","",IF(COUNTIF('Asset Detail'!A:A,A728)&gt;0,"✓ Found","✗ Not Found"))</f>
        <v/>
      </c>
      <c r="F728" s="31" t="str" cm="1">
        <f t="array" ref="F728">IF(A728="","",IFERROR(INDEX('Asset Detail'!C:C,_xlfn.XMATCH(A728,'Asset Detail'!A:A,3)),"—"))</f>
        <v/>
      </c>
      <c r="G728" s="32" t="str" cm="1">
        <f t="array" ref="G728">IF(A728="","",IFERROR(INDEX('Asset Detail'!E:E,_xlfn.XMATCH(A728,'Asset Detail'!A:A,3)),"—"))</f>
        <v/>
      </c>
      <c r="H728" s="34"/>
      <c r="I728" s="39"/>
    </row>
    <row r="729" spans="1:9" x14ac:dyDescent="0.25">
      <c r="A729" s="23" t="str">
        <f t="shared" si="11"/>
        <v/>
      </c>
      <c r="B729" s="38"/>
      <c r="C729" s="34"/>
      <c r="D729" s="180" t="s">
        <v>4</v>
      </c>
      <c r="E729" s="32" t="str">
        <f>IF(A729="","",IF(COUNTIF('Asset Detail'!A:A,A729)&gt;0,"✓ Found","✗ Not Found"))</f>
        <v/>
      </c>
      <c r="F729" s="31" t="str" cm="1">
        <f t="array" ref="F729">IF(A729="","",IFERROR(INDEX('Asset Detail'!C:C,_xlfn.XMATCH(A729,'Asset Detail'!A:A,3)),"—"))</f>
        <v/>
      </c>
      <c r="G729" s="32" t="str" cm="1">
        <f t="array" ref="G729">IF(A729="","",IFERROR(INDEX('Asset Detail'!E:E,_xlfn.XMATCH(A729,'Asset Detail'!A:A,3)),"—"))</f>
        <v/>
      </c>
      <c r="H729" s="34"/>
      <c r="I729" s="39"/>
    </row>
    <row r="730" spans="1:9" x14ac:dyDescent="0.25">
      <c r="A730" s="23" t="str">
        <f t="shared" si="11"/>
        <v/>
      </c>
      <c r="B730" s="38"/>
      <c r="C730" s="34"/>
      <c r="D730" s="180" t="s">
        <v>4</v>
      </c>
      <c r="E730" s="32" t="str">
        <f>IF(A730="","",IF(COUNTIF('Asset Detail'!A:A,A730)&gt;0,"✓ Found","✗ Not Found"))</f>
        <v/>
      </c>
      <c r="F730" s="31" t="str" cm="1">
        <f t="array" ref="F730">IF(A730="","",IFERROR(INDEX('Asset Detail'!C:C,_xlfn.XMATCH(A730,'Asset Detail'!A:A,3)),"—"))</f>
        <v/>
      </c>
      <c r="G730" s="32" t="str" cm="1">
        <f t="array" ref="G730">IF(A730="","",IFERROR(INDEX('Asset Detail'!E:E,_xlfn.XMATCH(A730,'Asset Detail'!A:A,3)),"—"))</f>
        <v/>
      </c>
      <c r="H730" s="34"/>
      <c r="I730" s="39"/>
    </row>
    <row r="731" spans="1:9" x14ac:dyDescent="0.25">
      <c r="A731" s="23" t="str">
        <f t="shared" si="11"/>
        <v/>
      </c>
      <c r="B731" s="38"/>
      <c r="C731" s="34"/>
      <c r="D731" s="180" t="s">
        <v>4</v>
      </c>
      <c r="E731" s="32" t="str">
        <f>IF(A731="","",IF(COUNTIF('Asset Detail'!A:A,A731)&gt;0,"✓ Found","✗ Not Found"))</f>
        <v/>
      </c>
      <c r="F731" s="31" t="str" cm="1">
        <f t="array" ref="F731">IF(A731="","",IFERROR(INDEX('Asset Detail'!C:C,_xlfn.XMATCH(A731,'Asset Detail'!A:A,3)),"—"))</f>
        <v/>
      </c>
      <c r="G731" s="32" t="str" cm="1">
        <f t="array" ref="G731">IF(A731="","",IFERROR(INDEX('Asset Detail'!E:E,_xlfn.XMATCH(A731,'Asset Detail'!A:A,3)),"—"))</f>
        <v/>
      </c>
      <c r="H731" s="34"/>
      <c r="I731" s="39"/>
    </row>
    <row r="732" spans="1:9" x14ac:dyDescent="0.25">
      <c r="A732" s="23" t="str">
        <f t="shared" si="11"/>
        <v/>
      </c>
      <c r="B732" s="38"/>
      <c r="C732" s="34"/>
      <c r="D732" s="180" t="s">
        <v>4</v>
      </c>
      <c r="E732" s="32" t="str">
        <f>IF(A732="","",IF(COUNTIF('Asset Detail'!A:A,A732)&gt;0,"✓ Found","✗ Not Found"))</f>
        <v/>
      </c>
      <c r="F732" s="31" t="str" cm="1">
        <f t="array" ref="F732">IF(A732="","",IFERROR(INDEX('Asset Detail'!C:C,_xlfn.XMATCH(A732,'Asset Detail'!A:A,3)),"—"))</f>
        <v/>
      </c>
      <c r="G732" s="32" t="str" cm="1">
        <f t="array" ref="G732">IF(A732="","",IFERROR(INDEX('Asset Detail'!E:E,_xlfn.XMATCH(A732,'Asset Detail'!A:A,3)),"—"))</f>
        <v/>
      </c>
      <c r="H732" s="34"/>
      <c r="I732" s="39"/>
    </row>
    <row r="733" spans="1:9" x14ac:dyDescent="0.25">
      <c r="A733" s="23" t="str">
        <f t="shared" si="11"/>
        <v/>
      </c>
      <c r="B733" s="38"/>
      <c r="C733" s="34"/>
      <c r="D733" s="180" t="s">
        <v>4</v>
      </c>
      <c r="E733" s="32" t="str">
        <f>IF(A733="","",IF(COUNTIF('Asset Detail'!A:A,A733)&gt;0,"✓ Found","✗ Not Found"))</f>
        <v/>
      </c>
      <c r="F733" s="31" t="str" cm="1">
        <f t="array" ref="F733">IF(A733="","",IFERROR(INDEX('Asset Detail'!C:C,_xlfn.XMATCH(A733,'Asset Detail'!A:A,3)),"—"))</f>
        <v/>
      </c>
      <c r="G733" s="32" t="str" cm="1">
        <f t="array" ref="G733">IF(A733="","",IFERROR(INDEX('Asset Detail'!E:E,_xlfn.XMATCH(A733,'Asset Detail'!A:A,3)),"—"))</f>
        <v/>
      </c>
      <c r="H733" s="34"/>
      <c r="I733" s="39"/>
    </row>
    <row r="734" spans="1:9" x14ac:dyDescent="0.25">
      <c r="A734" s="23" t="str">
        <f t="shared" si="11"/>
        <v/>
      </c>
      <c r="B734" s="38"/>
      <c r="C734" s="34"/>
      <c r="D734" s="180" t="s">
        <v>4</v>
      </c>
      <c r="E734" s="32" t="str">
        <f>IF(A734="","",IF(COUNTIF('Asset Detail'!A:A,A734)&gt;0,"✓ Found","✗ Not Found"))</f>
        <v/>
      </c>
      <c r="F734" s="31" t="str" cm="1">
        <f t="array" ref="F734">IF(A734="","",IFERROR(INDEX('Asset Detail'!C:C,_xlfn.XMATCH(A734,'Asset Detail'!A:A,3)),"—"))</f>
        <v/>
      </c>
      <c r="G734" s="32" t="str" cm="1">
        <f t="array" ref="G734">IF(A734="","",IFERROR(INDEX('Asset Detail'!E:E,_xlfn.XMATCH(A734,'Asset Detail'!A:A,3)),"—"))</f>
        <v/>
      </c>
      <c r="H734" s="34"/>
      <c r="I734" s="39"/>
    </row>
    <row r="735" spans="1:9" x14ac:dyDescent="0.25">
      <c r="A735" s="23" t="str">
        <f t="shared" si="11"/>
        <v/>
      </c>
      <c r="B735" s="38"/>
      <c r="C735" s="34"/>
      <c r="D735" s="180" t="s">
        <v>4</v>
      </c>
      <c r="E735" s="32" t="str">
        <f>IF(A735="","",IF(COUNTIF('Asset Detail'!A:A,A735)&gt;0,"✓ Found","✗ Not Found"))</f>
        <v/>
      </c>
      <c r="F735" s="31" t="str" cm="1">
        <f t="array" ref="F735">IF(A735="","",IFERROR(INDEX('Asset Detail'!C:C,_xlfn.XMATCH(A735,'Asset Detail'!A:A,3)),"—"))</f>
        <v/>
      </c>
      <c r="G735" s="32" t="str" cm="1">
        <f t="array" ref="G735">IF(A735="","",IFERROR(INDEX('Asset Detail'!E:E,_xlfn.XMATCH(A735,'Asset Detail'!A:A,3)),"—"))</f>
        <v/>
      </c>
      <c r="H735" s="34"/>
      <c r="I735" s="39"/>
    </row>
    <row r="736" spans="1:9" x14ac:dyDescent="0.25">
      <c r="A736" s="23" t="str">
        <f t="shared" si="11"/>
        <v/>
      </c>
      <c r="B736" s="38"/>
      <c r="C736" s="34"/>
      <c r="D736" s="180" t="s">
        <v>4</v>
      </c>
      <c r="E736" s="32" t="str">
        <f>IF(A736="","",IF(COUNTIF('Asset Detail'!A:A,A736)&gt;0,"✓ Found","✗ Not Found"))</f>
        <v/>
      </c>
      <c r="F736" s="31" t="str" cm="1">
        <f t="array" ref="F736">IF(A736="","",IFERROR(INDEX('Asset Detail'!C:C,_xlfn.XMATCH(A736,'Asset Detail'!A:A,3)),"—"))</f>
        <v/>
      </c>
      <c r="G736" s="32" t="str" cm="1">
        <f t="array" ref="G736">IF(A736="","",IFERROR(INDEX('Asset Detail'!E:E,_xlfn.XMATCH(A736,'Asset Detail'!A:A,3)),"—"))</f>
        <v/>
      </c>
      <c r="H736" s="34"/>
      <c r="I736" s="39"/>
    </row>
    <row r="737" spans="1:9" x14ac:dyDescent="0.25">
      <c r="A737" s="23" t="str">
        <f t="shared" si="11"/>
        <v/>
      </c>
      <c r="B737" s="38"/>
      <c r="C737" s="34"/>
      <c r="D737" s="180" t="s">
        <v>4</v>
      </c>
      <c r="E737" s="32" t="str">
        <f>IF(A737="","",IF(COUNTIF('Asset Detail'!A:A,A737)&gt;0,"✓ Found","✗ Not Found"))</f>
        <v/>
      </c>
      <c r="F737" s="31" t="str" cm="1">
        <f t="array" ref="F737">IF(A737="","",IFERROR(INDEX('Asset Detail'!C:C,_xlfn.XMATCH(A737,'Asset Detail'!A:A,3)),"—"))</f>
        <v/>
      </c>
      <c r="G737" s="32" t="str" cm="1">
        <f t="array" ref="G737">IF(A737="","",IFERROR(INDEX('Asset Detail'!E:E,_xlfn.XMATCH(A737,'Asset Detail'!A:A,3)),"—"))</f>
        <v/>
      </c>
      <c r="H737" s="34"/>
      <c r="I737" s="39"/>
    </row>
    <row r="738" spans="1:9" x14ac:dyDescent="0.25">
      <c r="A738" s="23" t="str">
        <f t="shared" si="11"/>
        <v/>
      </c>
      <c r="B738" s="38"/>
      <c r="C738" s="34"/>
      <c r="D738" s="180" t="s">
        <v>4</v>
      </c>
      <c r="E738" s="32" t="str">
        <f>IF(A738="","",IF(COUNTIF('Asset Detail'!A:A,A738)&gt;0,"✓ Found","✗ Not Found"))</f>
        <v/>
      </c>
      <c r="F738" s="31" t="str" cm="1">
        <f t="array" ref="F738">IF(A738="","",IFERROR(INDEX('Asset Detail'!C:C,_xlfn.XMATCH(A738,'Asset Detail'!A:A,3)),"—"))</f>
        <v/>
      </c>
      <c r="G738" s="32" t="str" cm="1">
        <f t="array" ref="G738">IF(A738="","",IFERROR(INDEX('Asset Detail'!E:E,_xlfn.XMATCH(A738,'Asset Detail'!A:A,3)),"—"))</f>
        <v/>
      </c>
      <c r="H738" s="34"/>
      <c r="I738" s="39"/>
    </row>
    <row r="739" spans="1:9" x14ac:dyDescent="0.25">
      <c r="A739" s="23" t="str">
        <f t="shared" si="11"/>
        <v/>
      </c>
      <c r="B739" s="38"/>
      <c r="C739" s="34"/>
      <c r="D739" s="180" t="s">
        <v>4</v>
      </c>
      <c r="E739" s="32" t="str">
        <f>IF(A739="","",IF(COUNTIF('Asset Detail'!A:A,A739)&gt;0,"✓ Found","✗ Not Found"))</f>
        <v/>
      </c>
      <c r="F739" s="31" t="str" cm="1">
        <f t="array" ref="F739">IF(A739="","",IFERROR(INDEX('Asset Detail'!C:C,_xlfn.XMATCH(A739,'Asset Detail'!A:A,3)),"—"))</f>
        <v/>
      </c>
      <c r="G739" s="32" t="str" cm="1">
        <f t="array" ref="G739">IF(A739="","",IFERROR(INDEX('Asset Detail'!E:E,_xlfn.XMATCH(A739,'Asset Detail'!A:A,3)),"—"))</f>
        <v/>
      </c>
      <c r="H739" s="34"/>
      <c r="I739" s="39"/>
    </row>
    <row r="740" spans="1:9" x14ac:dyDescent="0.25">
      <c r="A740" s="23" t="str">
        <f t="shared" si="11"/>
        <v/>
      </c>
      <c r="B740" s="38"/>
      <c r="C740" s="34"/>
      <c r="D740" s="180" t="s">
        <v>4</v>
      </c>
      <c r="E740" s="32" t="str">
        <f>IF(A740="","",IF(COUNTIF('Asset Detail'!A:A,A740)&gt;0,"✓ Found","✗ Not Found"))</f>
        <v/>
      </c>
      <c r="F740" s="31" t="str" cm="1">
        <f t="array" ref="F740">IF(A740="","",IFERROR(INDEX('Asset Detail'!C:C,_xlfn.XMATCH(A740,'Asset Detail'!A:A,3)),"—"))</f>
        <v/>
      </c>
      <c r="G740" s="32" t="str" cm="1">
        <f t="array" ref="G740">IF(A740="","",IFERROR(INDEX('Asset Detail'!E:E,_xlfn.XMATCH(A740,'Asset Detail'!A:A,3)),"—"))</f>
        <v/>
      </c>
      <c r="H740" s="34"/>
      <c r="I740" s="39"/>
    </row>
    <row r="741" spans="1:9" x14ac:dyDescent="0.25">
      <c r="A741" s="23" t="str">
        <f t="shared" si="11"/>
        <v/>
      </c>
      <c r="B741" s="38"/>
      <c r="C741" s="34"/>
      <c r="D741" s="180" t="s">
        <v>4</v>
      </c>
      <c r="E741" s="32" t="str">
        <f>IF(A741="","",IF(COUNTIF('Asset Detail'!A:A,A741)&gt;0,"✓ Found","✗ Not Found"))</f>
        <v/>
      </c>
      <c r="F741" s="31" t="str" cm="1">
        <f t="array" ref="F741">IF(A741="","",IFERROR(INDEX('Asset Detail'!C:C,_xlfn.XMATCH(A741,'Asset Detail'!A:A,3)),"—"))</f>
        <v/>
      </c>
      <c r="G741" s="32" t="str" cm="1">
        <f t="array" ref="G741">IF(A741="","",IFERROR(INDEX('Asset Detail'!E:E,_xlfn.XMATCH(A741,'Asset Detail'!A:A,3)),"—"))</f>
        <v/>
      </c>
      <c r="H741" s="34"/>
      <c r="I741" s="39"/>
    </row>
    <row r="742" spans="1:9" x14ac:dyDescent="0.25">
      <c r="A742" s="23" t="str">
        <f t="shared" si="11"/>
        <v/>
      </c>
      <c r="B742" s="38"/>
      <c r="C742" s="34"/>
      <c r="D742" s="180" t="s">
        <v>4</v>
      </c>
      <c r="E742" s="32" t="str">
        <f>IF(A742="","",IF(COUNTIF('Asset Detail'!A:A,A742)&gt;0,"✓ Found","✗ Not Found"))</f>
        <v/>
      </c>
      <c r="F742" s="31" t="str" cm="1">
        <f t="array" ref="F742">IF(A742="","",IFERROR(INDEX('Asset Detail'!C:C,_xlfn.XMATCH(A742,'Asset Detail'!A:A,3)),"—"))</f>
        <v/>
      </c>
      <c r="G742" s="32" t="str" cm="1">
        <f t="array" ref="G742">IF(A742="","",IFERROR(INDEX('Asset Detail'!E:E,_xlfn.XMATCH(A742,'Asset Detail'!A:A,3)),"—"))</f>
        <v/>
      </c>
      <c r="H742" s="34"/>
      <c r="I742" s="39"/>
    </row>
    <row r="743" spans="1:9" x14ac:dyDescent="0.25">
      <c r="A743" s="23" t="str">
        <f t="shared" si="11"/>
        <v/>
      </c>
      <c r="B743" s="38"/>
      <c r="C743" s="34"/>
      <c r="D743" s="180" t="s">
        <v>4</v>
      </c>
      <c r="E743" s="32" t="str">
        <f>IF(A743="","",IF(COUNTIF('Asset Detail'!A:A,A743)&gt;0,"✓ Found","✗ Not Found"))</f>
        <v/>
      </c>
      <c r="F743" s="31" t="str" cm="1">
        <f t="array" ref="F743">IF(A743="","",IFERROR(INDEX('Asset Detail'!C:C,_xlfn.XMATCH(A743,'Asset Detail'!A:A,3)),"—"))</f>
        <v/>
      </c>
      <c r="G743" s="32" t="str" cm="1">
        <f t="array" ref="G743">IF(A743="","",IFERROR(INDEX('Asset Detail'!E:E,_xlfn.XMATCH(A743,'Asset Detail'!A:A,3)),"—"))</f>
        <v/>
      </c>
      <c r="H743" s="34"/>
      <c r="I743" s="39"/>
    </row>
    <row r="744" spans="1:9" x14ac:dyDescent="0.25">
      <c r="A744" s="23" t="str">
        <f t="shared" si="11"/>
        <v/>
      </c>
      <c r="B744" s="38"/>
      <c r="C744" s="34"/>
      <c r="D744" s="180" t="s">
        <v>4</v>
      </c>
      <c r="E744" s="32" t="str">
        <f>IF(A744="","",IF(COUNTIF('Asset Detail'!A:A,A744)&gt;0,"✓ Found","✗ Not Found"))</f>
        <v/>
      </c>
      <c r="F744" s="31" t="str" cm="1">
        <f t="array" ref="F744">IF(A744="","",IFERROR(INDEX('Asset Detail'!C:C,_xlfn.XMATCH(A744,'Asset Detail'!A:A,3)),"—"))</f>
        <v/>
      </c>
      <c r="G744" s="32" t="str" cm="1">
        <f t="array" ref="G744">IF(A744="","",IFERROR(INDEX('Asset Detail'!E:E,_xlfn.XMATCH(A744,'Asset Detail'!A:A,3)),"—"))</f>
        <v/>
      </c>
      <c r="H744" s="34"/>
      <c r="I744" s="39"/>
    </row>
    <row r="745" spans="1:9" x14ac:dyDescent="0.25">
      <c r="A745" s="23" t="str">
        <f t="shared" si="11"/>
        <v/>
      </c>
      <c r="B745" s="38"/>
      <c r="C745" s="34"/>
      <c r="D745" s="180" t="s">
        <v>4</v>
      </c>
      <c r="E745" s="32" t="str">
        <f>IF(A745="","",IF(COUNTIF('Asset Detail'!A:A,A745)&gt;0,"✓ Found","✗ Not Found"))</f>
        <v/>
      </c>
      <c r="F745" s="31" t="str" cm="1">
        <f t="array" ref="F745">IF(A745="","",IFERROR(INDEX('Asset Detail'!C:C,_xlfn.XMATCH(A745,'Asset Detail'!A:A,3)),"—"))</f>
        <v/>
      </c>
      <c r="G745" s="32" t="str" cm="1">
        <f t="array" ref="G745">IF(A745="","",IFERROR(INDEX('Asset Detail'!E:E,_xlfn.XMATCH(A745,'Asset Detail'!A:A,3)),"—"))</f>
        <v/>
      </c>
      <c r="H745" s="34"/>
      <c r="I745" s="39"/>
    </row>
    <row r="746" spans="1:9" x14ac:dyDescent="0.25">
      <c r="A746" s="23" t="str">
        <f t="shared" si="11"/>
        <v/>
      </c>
      <c r="B746" s="38"/>
      <c r="C746" s="34"/>
      <c r="D746" s="180" t="s">
        <v>4</v>
      </c>
      <c r="E746" s="32" t="str">
        <f>IF(A746="","",IF(COUNTIF('Asset Detail'!A:A,A746)&gt;0,"✓ Found","✗ Not Found"))</f>
        <v/>
      </c>
      <c r="F746" s="31" t="str" cm="1">
        <f t="array" ref="F746">IF(A746="","",IFERROR(INDEX('Asset Detail'!C:C,_xlfn.XMATCH(A746,'Asset Detail'!A:A,3)),"—"))</f>
        <v/>
      </c>
      <c r="G746" s="32" t="str" cm="1">
        <f t="array" ref="G746">IF(A746="","",IFERROR(INDEX('Asset Detail'!E:E,_xlfn.XMATCH(A746,'Asset Detail'!A:A,3)),"—"))</f>
        <v/>
      </c>
      <c r="H746" s="34"/>
      <c r="I746" s="39"/>
    </row>
    <row r="747" spans="1:9" x14ac:dyDescent="0.25">
      <c r="A747" s="23" t="str">
        <f t="shared" si="11"/>
        <v/>
      </c>
      <c r="B747" s="38"/>
      <c r="C747" s="34"/>
      <c r="D747" s="180" t="s">
        <v>4</v>
      </c>
      <c r="E747" s="32" t="str">
        <f>IF(A747="","",IF(COUNTIF('Asset Detail'!A:A,A747)&gt;0,"✓ Found","✗ Not Found"))</f>
        <v/>
      </c>
      <c r="F747" s="31" t="str" cm="1">
        <f t="array" ref="F747">IF(A747="","",IFERROR(INDEX('Asset Detail'!C:C,_xlfn.XMATCH(A747,'Asset Detail'!A:A,3)),"—"))</f>
        <v/>
      </c>
      <c r="G747" s="32" t="str" cm="1">
        <f t="array" ref="G747">IF(A747="","",IFERROR(INDEX('Asset Detail'!E:E,_xlfn.XMATCH(A747,'Asset Detail'!A:A,3)),"—"))</f>
        <v/>
      </c>
      <c r="H747" s="34"/>
      <c r="I747" s="39"/>
    </row>
    <row r="748" spans="1:9" x14ac:dyDescent="0.25">
      <c r="A748" s="23" t="str">
        <f t="shared" si="11"/>
        <v/>
      </c>
      <c r="B748" s="38"/>
      <c r="C748" s="34"/>
      <c r="D748" s="180" t="s">
        <v>4</v>
      </c>
      <c r="E748" s="32" t="str">
        <f>IF(A748="","",IF(COUNTIF('Asset Detail'!A:A,A748)&gt;0,"✓ Found","✗ Not Found"))</f>
        <v/>
      </c>
      <c r="F748" s="31" t="str" cm="1">
        <f t="array" ref="F748">IF(A748="","",IFERROR(INDEX('Asset Detail'!C:C,_xlfn.XMATCH(A748,'Asset Detail'!A:A,3)),"—"))</f>
        <v/>
      </c>
      <c r="G748" s="32" t="str" cm="1">
        <f t="array" ref="G748">IF(A748="","",IFERROR(INDEX('Asset Detail'!E:E,_xlfn.XMATCH(A748,'Asset Detail'!A:A,3)),"—"))</f>
        <v/>
      </c>
      <c r="H748" s="34"/>
      <c r="I748" s="39"/>
    </row>
    <row r="749" spans="1:9" x14ac:dyDescent="0.25">
      <c r="A749" s="23" t="str">
        <f t="shared" si="11"/>
        <v/>
      </c>
      <c r="B749" s="38"/>
      <c r="C749" s="34"/>
      <c r="D749" s="180" t="s">
        <v>4</v>
      </c>
      <c r="E749" s="32" t="str">
        <f>IF(A749="","",IF(COUNTIF('Asset Detail'!A:A,A749)&gt;0,"✓ Found","✗ Not Found"))</f>
        <v/>
      </c>
      <c r="F749" s="31" t="str" cm="1">
        <f t="array" ref="F749">IF(A749="","",IFERROR(INDEX('Asset Detail'!C:C,_xlfn.XMATCH(A749,'Asset Detail'!A:A,3)),"—"))</f>
        <v/>
      </c>
      <c r="G749" s="32" t="str" cm="1">
        <f t="array" ref="G749">IF(A749="","",IFERROR(INDEX('Asset Detail'!E:E,_xlfn.XMATCH(A749,'Asset Detail'!A:A,3)),"—"))</f>
        <v/>
      </c>
      <c r="H749" s="34"/>
      <c r="I749" s="39"/>
    </row>
    <row r="750" spans="1:9" x14ac:dyDescent="0.25">
      <c r="A750" s="23" t="str">
        <f t="shared" si="11"/>
        <v/>
      </c>
      <c r="B750" s="38"/>
      <c r="C750" s="34"/>
      <c r="D750" s="180" t="s">
        <v>4</v>
      </c>
      <c r="E750" s="32" t="str">
        <f>IF(A750="","",IF(COUNTIF('Asset Detail'!A:A,A750)&gt;0,"✓ Found","✗ Not Found"))</f>
        <v/>
      </c>
      <c r="F750" s="31" t="str" cm="1">
        <f t="array" ref="F750">IF(A750="","",IFERROR(INDEX('Asset Detail'!C:C,_xlfn.XMATCH(A750,'Asset Detail'!A:A,3)),"—"))</f>
        <v/>
      </c>
      <c r="G750" s="32" t="str" cm="1">
        <f t="array" ref="G750">IF(A750="","",IFERROR(INDEX('Asset Detail'!E:E,_xlfn.XMATCH(A750,'Asset Detail'!A:A,3)),"—"))</f>
        <v/>
      </c>
      <c r="H750" s="34"/>
      <c r="I750" s="39"/>
    </row>
    <row r="751" spans="1:9" x14ac:dyDescent="0.25">
      <c r="A751" s="23" t="str">
        <f t="shared" si="11"/>
        <v/>
      </c>
      <c r="B751" s="38"/>
      <c r="C751" s="34"/>
      <c r="D751" s="180" t="s">
        <v>4</v>
      </c>
      <c r="E751" s="32" t="str">
        <f>IF(A751="","",IF(COUNTIF('Asset Detail'!A:A,A751)&gt;0,"✓ Found","✗ Not Found"))</f>
        <v/>
      </c>
      <c r="F751" s="31" t="str" cm="1">
        <f t="array" ref="F751">IF(A751="","",IFERROR(INDEX('Asset Detail'!C:C,_xlfn.XMATCH(A751,'Asset Detail'!A:A,3)),"—"))</f>
        <v/>
      </c>
      <c r="G751" s="32" t="str" cm="1">
        <f t="array" ref="G751">IF(A751="","",IFERROR(INDEX('Asset Detail'!E:E,_xlfn.XMATCH(A751,'Asset Detail'!A:A,3)),"—"))</f>
        <v/>
      </c>
      <c r="H751" s="34"/>
      <c r="I751" s="39"/>
    </row>
    <row r="752" spans="1:9" x14ac:dyDescent="0.25">
      <c r="A752" s="23" t="str">
        <f t="shared" si="11"/>
        <v/>
      </c>
      <c r="B752" s="38"/>
      <c r="C752" s="34"/>
      <c r="D752" s="180" t="s">
        <v>4</v>
      </c>
      <c r="E752" s="32" t="str">
        <f>IF(A752="","",IF(COUNTIF('Asset Detail'!A:A,A752)&gt;0,"✓ Found","✗ Not Found"))</f>
        <v/>
      </c>
      <c r="F752" s="31" t="str" cm="1">
        <f t="array" ref="F752">IF(A752="","",IFERROR(INDEX('Asset Detail'!C:C,_xlfn.XMATCH(A752,'Asset Detail'!A:A,3)),"—"))</f>
        <v/>
      </c>
      <c r="G752" s="32" t="str" cm="1">
        <f t="array" ref="G752">IF(A752="","",IFERROR(INDEX('Asset Detail'!E:E,_xlfn.XMATCH(A752,'Asset Detail'!A:A,3)),"—"))</f>
        <v/>
      </c>
      <c r="H752" s="34"/>
      <c r="I752" s="39"/>
    </row>
    <row r="753" spans="1:9" x14ac:dyDescent="0.25">
      <c r="A753" s="23" t="str">
        <f t="shared" si="11"/>
        <v/>
      </c>
      <c r="B753" s="38"/>
      <c r="C753" s="34"/>
      <c r="D753" s="180" t="s">
        <v>4</v>
      </c>
      <c r="E753" s="32" t="str">
        <f>IF(A753="","",IF(COUNTIF('Asset Detail'!A:A,A753)&gt;0,"✓ Found","✗ Not Found"))</f>
        <v/>
      </c>
      <c r="F753" s="31" t="str" cm="1">
        <f t="array" ref="F753">IF(A753="","",IFERROR(INDEX('Asset Detail'!C:C,_xlfn.XMATCH(A753,'Asset Detail'!A:A,3)),"—"))</f>
        <v/>
      </c>
      <c r="G753" s="32" t="str" cm="1">
        <f t="array" ref="G753">IF(A753="","",IFERROR(INDEX('Asset Detail'!E:E,_xlfn.XMATCH(A753,'Asset Detail'!A:A,3)),"—"))</f>
        <v/>
      </c>
      <c r="H753" s="34"/>
      <c r="I753" s="39"/>
    </row>
    <row r="754" spans="1:9" x14ac:dyDescent="0.25">
      <c r="A754" s="23" t="str">
        <f t="shared" si="11"/>
        <v/>
      </c>
      <c r="B754" s="38"/>
      <c r="C754" s="34"/>
      <c r="D754" s="180" t="s">
        <v>4</v>
      </c>
      <c r="E754" s="32" t="str">
        <f>IF(A754="","",IF(COUNTIF('Asset Detail'!A:A,A754)&gt;0,"✓ Found","✗ Not Found"))</f>
        <v/>
      </c>
      <c r="F754" s="31" t="str" cm="1">
        <f t="array" ref="F754">IF(A754="","",IFERROR(INDEX('Asset Detail'!C:C,_xlfn.XMATCH(A754,'Asset Detail'!A:A,3)),"—"))</f>
        <v/>
      </c>
      <c r="G754" s="32" t="str" cm="1">
        <f t="array" ref="G754">IF(A754="","",IFERROR(INDEX('Asset Detail'!E:E,_xlfn.XMATCH(A754,'Asset Detail'!A:A,3)),"—"))</f>
        <v/>
      </c>
      <c r="H754" s="34"/>
      <c r="I754" s="39"/>
    </row>
    <row r="755" spans="1:9" x14ac:dyDescent="0.25">
      <c r="A755" s="23" t="str">
        <f t="shared" si="11"/>
        <v/>
      </c>
      <c r="B755" s="38"/>
      <c r="C755" s="34"/>
      <c r="D755" s="180" t="s">
        <v>4</v>
      </c>
      <c r="E755" s="32" t="str">
        <f>IF(A755="","",IF(COUNTIF('Asset Detail'!A:A,A755)&gt;0,"✓ Found","✗ Not Found"))</f>
        <v/>
      </c>
      <c r="F755" s="31" t="str" cm="1">
        <f t="array" ref="F755">IF(A755="","",IFERROR(INDEX('Asset Detail'!C:C,_xlfn.XMATCH(A755,'Asset Detail'!A:A,3)),"—"))</f>
        <v/>
      </c>
      <c r="G755" s="32" t="str" cm="1">
        <f t="array" ref="G755">IF(A755="","",IFERROR(INDEX('Asset Detail'!E:E,_xlfn.XMATCH(A755,'Asset Detail'!A:A,3)),"—"))</f>
        <v/>
      </c>
      <c r="H755" s="34"/>
      <c r="I755" s="39"/>
    </row>
    <row r="756" spans="1:9" x14ac:dyDescent="0.25">
      <c r="A756" s="23" t="str">
        <f t="shared" si="11"/>
        <v/>
      </c>
      <c r="B756" s="38"/>
      <c r="C756" s="34"/>
      <c r="D756" s="180" t="s">
        <v>4</v>
      </c>
      <c r="E756" s="32" t="str">
        <f>IF(A756="","",IF(COUNTIF('Asset Detail'!A:A,A756)&gt;0,"✓ Found","✗ Not Found"))</f>
        <v/>
      </c>
      <c r="F756" s="31" t="str" cm="1">
        <f t="array" ref="F756">IF(A756="","",IFERROR(INDEX('Asset Detail'!C:C,_xlfn.XMATCH(A756,'Asset Detail'!A:A,3)),"—"))</f>
        <v/>
      </c>
      <c r="G756" s="32" t="str" cm="1">
        <f t="array" ref="G756">IF(A756="","",IFERROR(INDEX('Asset Detail'!E:E,_xlfn.XMATCH(A756,'Asset Detail'!A:A,3)),"—"))</f>
        <v/>
      </c>
      <c r="H756" s="34"/>
      <c r="I756" s="39"/>
    </row>
    <row r="757" spans="1:9" x14ac:dyDescent="0.25">
      <c r="A757" s="23" t="str">
        <f t="shared" si="11"/>
        <v/>
      </c>
      <c r="B757" s="38"/>
      <c r="C757" s="34"/>
      <c r="D757" s="180" t="s">
        <v>4</v>
      </c>
      <c r="E757" s="32" t="str">
        <f>IF(A757="","",IF(COUNTIF('Asset Detail'!A:A,A757)&gt;0,"✓ Found","✗ Not Found"))</f>
        <v/>
      </c>
      <c r="F757" s="31" t="str" cm="1">
        <f t="array" ref="F757">IF(A757="","",IFERROR(INDEX('Asset Detail'!C:C,_xlfn.XMATCH(A757,'Asset Detail'!A:A,3)),"—"))</f>
        <v/>
      </c>
      <c r="G757" s="32" t="str" cm="1">
        <f t="array" ref="G757">IF(A757="","",IFERROR(INDEX('Asset Detail'!E:E,_xlfn.XMATCH(A757,'Asset Detail'!A:A,3)),"—"))</f>
        <v/>
      </c>
      <c r="H757" s="34"/>
      <c r="I757" s="39"/>
    </row>
    <row r="758" spans="1:9" x14ac:dyDescent="0.25">
      <c r="A758" s="23" t="str">
        <f t="shared" si="11"/>
        <v/>
      </c>
      <c r="B758" s="38"/>
      <c r="C758" s="34"/>
      <c r="D758" s="180" t="s">
        <v>4</v>
      </c>
      <c r="E758" s="32" t="str">
        <f>IF(A758="","",IF(COUNTIF('Asset Detail'!A:A,A758)&gt;0,"✓ Found","✗ Not Found"))</f>
        <v/>
      </c>
      <c r="F758" s="31" t="str" cm="1">
        <f t="array" ref="F758">IF(A758="","",IFERROR(INDEX('Asset Detail'!C:C,_xlfn.XMATCH(A758,'Asset Detail'!A:A,3)),"—"))</f>
        <v/>
      </c>
      <c r="G758" s="32" t="str" cm="1">
        <f t="array" ref="G758">IF(A758="","",IFERROR(INDEX('Asset Detail'!E:E,_xlfn.XMATCH(A758,'Asset Detail'!A:A,3)),"—"))</f>
        <v/>
      </c>
      <c r="H758" s="34"/>
      <c r="I758" s="39"/>
    </row>
    <row r="759" spans="1:9" x14ac:dyDescent="0.25">
      <c r="A759" s="23" t="str">
        <f t="shared" si="11"/>
        <v/>
      </c>
      <c r="B759" s="38"/>
      <c r="C759" s="34"/>
      <c r="D759" s="180" t="s">
        <v>4</v>
      </c>
      <c r="E759" s="32" t="str">
        <f>IF(A759="","",IF(COUNTIF('Asset Detail'!A:A,A759)&gt;0,"✓ Found","✗ Not Found"))</f>
        <v/>
      </c>
      <c r="F759" s="31" t="str" cm="1">
        <f t="array" ref="F759">IF(A759="","",IFERROR(INDEX('Asset Detail'!C:C,_xlfn.XMATCH(A759,'Asset Detail'!A:A,3)),"—"))</f>
        <v/>
      </c>
      <c r="G759" s="32" t="str" cm="1">
        <f t="array" ref="G759">IF(A759="","",IFERROR(INDEX('Asset Detail'!E:E,_xlfn.XMATCH(A759,'Asset Detail'!A:A,3)),"—"))</f>
        <v/>
      </c>
      <c r="H759" s="34"/>
      <c r="I759" s="39"/>
    </row>
    <row r="760" spans="1:9" x14ac:dyDescent="0.25">
      <c r="A760" s="23" t="str">
        <f t="shared" si="11"/>
        <v/>
      </c>
      <c r="B760" s="38"/>
      <c r="C760" s="34"/>
      <c r="D760" s="180" t="s">
        <v>4</v>
      </c>
      <c r="E760" s="32" t="str">
        <f>IF(A760="","",IF(COUNTIF('Asset Detail'!A:A,A760)&gt;0,"✓ Found","✗ Not Found"))</f>
        <v/>
      </c>
      <c r="F760" s="31" t="str" cm="1">
        <f t="array" ref="F760">IF(A760="","",IFERROR(INDEX('Asset Detail'!C:C,_xlfn.XMATCH(A760,'Asset Detail'!A:A,3)),"—"))</f>
        <v/>
      </c>
      <c r="G760" s="32" t="str" cm="1">
        <f t="array" ref="G760">IF(A760="","",IFERROR(INDEX('Asset Detail'!E:E,_xlfn.XMATCH(A760,'Asset Detail'!A:A,3)),"—"))</f>
        <v/>
      </c>
      <c r="H760" s="34"/>
      <c r="I760" s="39"/>
    </row>
    <row r="761" spans="1:9" x14ac:dyDescent="0.25">
      <c r="A761" s="23" t="str">
        <f t="shared" si="11"/>
        <v/>
      </c>
      <c r="B761" s="38"/>
      <c r="C761" s="34"/>
      <c r="D761" s="180" t="s">
        <v>4</v>
      </c>
      <c r="E761" s="32" t="str">
        <f>IF(A761="","",IF(COUNTIF('Asset Detail'!A:A,A761)&gt;0,"✓ Found","✗ Not Found"))</f>
        <v/>
      </c>
      <c r="F761" s="31" t="str" cm="1">
        <f t="array" ref="F761">IF(A761="","",IFERROR(INDEX('Asset Detail'!C:C,_xlfn.XMATCH(A761,'Asset Detail'!A:A,3)),"—"))</f>
        <v/>
      </c>
      <c r="G761" s="32" t="str" cm="1">
        <f t="array" ref="G761">IF(A761="","",IFERROR(INDEX('Asset Detail'!E:E,_xlfn.XMATCH(A761,'Asset Detail'!A:A,3)),"—"))</f>
        <v/>
      </c>
      <c r="H761" s="34"/>
      <c r="I761" s="39"/>
    </row>
    <row r="762" spans="1:9" x14ac:dyDescent="0.25">
      <c r="A762" s="23" t="str">
        <f t="shared" si="11"/>
        <v/>
      </c>
      <c r="B762" s="38"/>
      <c r="C762" s="34"/>
      <c r="D762" s="180" t="s">
        <v>4</v>
      </c>
      <c r="E762" s="32" t="str">
        <f>IF(A762="","",IF(COUNTIF('Asset Detail'!A:A,A762)&gt;0,"✓ Found","✗ Not Found"))</f>
        <v/>
      </c>
      <c r="F762" s="31" t="str" cm="1">
        <f t="array" ref="F762">IF(A762="","",IFERROR(INDEX('Asset Detail'!C:C,_xlfn.XMATCH(A762,'Asset Detail'!A:A,3)),"—"))</f>
        <v/>
      </c>
      <c r="G762" s="32" t="str" cm="1">
        <f t="array" ref="G762">IF(A762="","",IFERROR(INDEX('Asset Detail'!E:E,_xlfn.XMATCH(A762,'Asset Detail'!A:A,3)),"—"))</f>
        <v/>
      </c>
      <c r="H762" s="34"/>
      <c r="I762" s="39"/>
    </row>
    <row r="763" spans="1:9" x14ac:dyDescent="0.25">
      <c r="A763" s="23" t="str">
        <f t="shared" si="11"/>
        <v/>
      </c>
      <c r="B763" s="38"/>
      <c r="C763" s="34"/>
      <c r="D763" s="180" t="s">
        <v>4</v>
      </c>
      <c r="E763" s="32" t="str">
        <f>IF(A763="","",IF(COUNTIF('Asset Detail'!A:A,A763)&gt;0,"✓ Found","✗ Not Found"))</f>
        <v/>
      </c>
      <c r="F763" s="31" t="str" cm="1">
        <f t="array" ref="F763">IF(A763="","",IFERROR(INDEX('Asset Detail'!C:C,_xlfn.XMATCH(A763,'Asset Detail'!A:A,3)),"—"))</f>
        <v/>
      </c>
      <c r="G763" s="32" t="str" cm="1">
        <f t="array" ref="G763">IF(A763="","",IFERROR(INDEX('Asset Detail'!E:E,_xlfn.XMATCH(A763,'Asset Detail'!A:A,3)),"—"))</f>
        <v/>
      </c>
      <c r="H763" s="34"/>
      <c r="I763" s="39"/>
    </row>
    <row r="764" spans="1:9" x14ac:dyDescent="0.25">
      <c r="A764" s="23" t="str">
        <f t="shared" si="11"/>
        <v/>
      </c>
      <c r="B764" s="38"/>
      <c r="C764" s="34"/>
      <c r="D764" s="180" t="s">
        <v>4</v>
      </c>
      <c r="E764" s="32" t="str">
        <f>IF(A764="","",IF(COUNTIF('Asset Detail'!A:A,A764)&gt;0,"✓ Found","✗ Not Found"))</f>
        <v/>
      </c>
      <c r="F764" s="31" t="str" cm="1">
        <f t="array" ref="F764">IF(A764="","",IFERROR(INDEX('Asset Detail'!C:C,_xlfn.XMATCH(A764,'Asset Detail'!A:A,3)),"—"))</f>
        <v/>
      </c>
      <c r="G764" s="32" t="str" cm="1">
        <f t="array" ref="G764">IF(A764="","",IFERROR(INDEX('Asset Detail'!E:E,_xlfn.XMATCH(A764,'Asset Detail'!A:A,3)),"—"))</f>
        <v/>
      </c>
      <c r="H764" s="34"/>
      <c r="I764" s="39"/>
    </row>
    <row r="765" spans="1:9" x14ac:dyDescent="0.25">
      <c r="A765" s="23" t="str">
        <f t="shared" si="11"/>
        <v/>
      </c>
      <c r="B765" s="38"/>
      <c r="C765" s="34"/>
      <c r="D765" s="180" t="s">
        <v>4</v>
      </c>
      <c r="E765" s="32" t="str">
        <f>IF(A765="","",IF(COUNTIF('Asset Detail'!A:A,A765)&gt;0,"✓ Found","✗ Not Found"))</f>
        <v/>
      </c>
      <c r="F765" s="31" t="str" cm="1">
        <f t="array" ref="F765">IF(A765="","",IFERROR(INDEX('Asset Detail'!C:C,_xlfn.XMATCH(A765,'Asset Detail'!A:A,3)),"—"))</f>
        <v/>
      </c>
      <c r="G765" s="32" t="str" cm="1">
        <f t="array" ref="G765">IF(A765="","",IFERROR(INDEX('Asset Detail'!E:E,_xlfn.XMATCH(A765,'Asset Detail'!A:A,3)),"—"))</f>
        <v/>
      </c>
      <c r="H765" s="34"/>
      <c r="I765" s="39"/>
    </row>
    <row r="766" spans="1:9" x14ac:dyDescent="0.25">
      <c r="A766" s="23" t="str">
        <f t="shared" si="11"/>
        <v/>
      </c>
      <c r="B766" s="38"/>
      <c r="C766" s="34"/>
      <c r="D766" s="180" t="s">
        <v>4</v>
      </c>
      <c r="E766" s="32" t="str">
        <f>IF(A766="","",IF(COUNTIF('Asset Detail'!A:A,A766)&gt;0,"✓ Found","✗ Not Found"))</f>
        <v/>
      </c>
      <c r="F766" s="31" t="str" cm="1">
        <f t="array" ref="F766">IF(A766="","",IFERROR(INDEX('Asset Detail'!C:C,_xlfn.XMATCH(A766,'Asset Detail'!A:A,3)),"—"))</f>
        <v/>
      </c>
      <c r="G766" s="32" t="str" cm="1">
        <f t="array" ref="G766">IF(A766="","",IFERROR(INDEX('Asset Detail'!E:E,_xlfn.XMATCH(A766,'Asset Detail'!A:A,3)),"—"))</f>
        <v/>
      </c>
      <c r="H766" s="34"/>
      <c r="I766" s="39"/>
    </row>
    <row r="767" spans="1:9" x14ac:dyDescent="0.25">
      <c r="A767" s="23" t="str">
        <f t="shared" si="11"/>
        <v/>
      </c>
      <c r="B767" s="38"/>
      <c r="C767" s="34"/>
      <c r="D767" s="180" t="s">
        <v>4</v>
      </c>
      <c r="E767" s="32" t="str">
        <f>IF(A767="","",IF(COUNTIF('Asset Detail'!A:A,A767)&gt;0,"✓ Found","✗ Not Found"))</f>
        <v/>
      </c>
      <c r="F767" s="31" t="str" cm="1">
        <f t="array" ref="F767">IF(A767="","",IFERROR(INDEX('Asset Detail'!C:C,_xlfn.XMATCH(A767,'Asset Detail'!A:A,3)),"—"))</f>
        <v/>
      </c>
      <c r="G767" s="32" t="str" cm="1">
        <f t="array" ref="G767">IF(A767="","",IFERROR(INDEX('Asset Detail'!E:E,_xlfn.XMATCH(A767,'Asset Detail'!A:A,3)),"—"))</f>
        <v/>
      </c>
      <c r="H767" s="34"/>
      <c r="I767" s="39"/>
    </row>
    <row r="768" spans="1:9" x14ac:dyDescent="0.25">
      <c r="A768" s="23" t="str">
        <f t="shared" si="11"/>
        <v/>
      </c>
      <c r="B768" s="38"/>
      <c r="C768" s="34"/>
      <c r="D768" s="180" t="s">
        <v>4</v>
      </c>
      <c r="E768" s="32" t="str">
        <f>IF(A768="","",IF(COUNTIF('Asset Detail'!A:A,A768)&gt;0,"✓ Found","✗ Not Found"))</f>
        <v/>
      </c>
      <c r="F768" s="31" t="str" cm="1">
        <f t="array" ref="F768">IF(A768="","",IFERROR(INDEX('Asset Detail'!C:C,_xlfn.XMATCH(A768,'Asset Detail'!A:A,3)),"—"))</f>
        <v/>
      </c>
      <c r="G768" s="32" t="str" cm="1">
        <f t="array" ref="G768">IF(A768="","",IFERROR(INDEX('Asset Detail'!E:E,_xlfn.XMATCH(A768,'Asset Detail'!A:A,3)),"—"))</f>
        <v/>
      </c>
      <c r="H768" s="34"/>
      <c r="I768" s="39"/>
    </row>
    <row r="769" spans="1:9" x14ac:dyDescent="0.25">
      <c r="A769" s="23" t="str">
        <f t="shared" si="11"/>
        <v/>
      </c>
      <c r="B769" s="38"/>
      <c r="C769" s="34"/>
      <c r="D769" s="180" t="s">
        <v>4</v>
      </c>
      <c r="E769" s="32" t="str">
        <f>IF(A769="","",IF(COUNTIF('Asset Detail'!A:A,A769)&gt;0,"✓ Found","✗ Not Found"))</f>
        <v/>
      </c>
      <c r="F769" s="31" t="str" cm="1">
        <f t="array" ref="F769">IF(A769="","",IFERROR(INDEX('Asset Detail'!C:C,_xlfn.XMATCH(A769,'Asset Detail'!A:A,3)),"—"))</f>
        <v/>
      </c>
      <c r="G769" s="32" t="str" cm="1">
        <f t="array" ref="G769">IF(A769="","",IFERROR(INDEX('Asset Detail'!E:E,_xlfn.XMATCH(A769,'Asset Detail'!A:A,3)),"—"))</f>
        <v/>
      </c>
      <c r="H769" s="34"/>
      <c r="I769" s="39"/>
    </row>
    <row r="770" spans="1:9" x14ac:dyDescent="0.25">
      <c r="A770" s="23" t="str">
        <f t="shared" si="11"/>
        <v/>
      </c>
      <c r="B770" s="38"/>
      <c r="C770" s="34"/>
      <c r="D770" s="180" t="s">
        <v>4</v>
      </c>
      <c r="E770" s="32" t="str">
        <f>IF(A770="","",IF(COUNTIF('Asset Detail'!A:A,A770)&gt;0,"✓ Found","✗ Not Found"))</f>
        <v/>
      </c>
      <c r="F770" s="31" t="str" cm="1">
        <f t="array" ref="F770">IF(A770="","",IFERROR(INDEX('Asset Detail'!C:C,_xlfn.XMATCH(A770,'Asset Detail'!A:A,3)),"—"))</f>
        <v/>
      </c>
      <c r="G770" s="32" t="str" cm="1">
        <f t="array" ref="G770">IF(A770="","",IFERROR(INDEX('Asset Detail'!E:E,_xlfn.XMATCH(A770,'Asset Detail'!A:A,3)),"—"))</f>
        <v/>
      </c>
      <c r="H770" s="34"/>
      <c r="I770" s="39"/>
    </row>
    <row r="771" spans="1:9" x14ac:dyDescent="0.25">
      <c r="A771" s="23" t="str">
        <f t="shared" si="11"/>
        <v/>
      </c>
      <c r="B771" s="38"/>
      <c r="C771" s="34"/>
      <c r="D771" s="180" t="s">
        <v>4</v>
      </c>
      <c r="E771" s="32" t="str">
        <f>IF(A771="","",IF(COUNTIF('Asset Detail'!A:A,A771)&gt;0,"✓ Found","✗ Not Found"))</f>
        <v/>
      </c>
      <c r="F771" s="31" t="str" cm="1">
        <f t="array" ref="F771">IF(A771="","",IFERROR(INDEX('Asset Detail'!C:C,_xlfn.XMATCH(A771,'Asset Detail'!A:A,3)),"—"))</f>
        <v/>
      </c>
      <c r="G771" s="32" t="str" cm="1">
        <f t="array" ref="G771">IF(A771="","",IFERROR(INDEX('Asset Detail'!E:E,_xlfn.XMATCH(A771,'Asset Detail'!A:A,3)),"—"))</f>
        <v/>
      </c>
      <c r="H771" s="34"/>
      <c r="I771" s="39"/>
    </row>
    <row r="772" spans="1:9" x14ac:dyDescent="0.25">
      <c r="A772" s="23" t="str">
        <f t="shared" si="11"/>
        <v/>
      </c>
      <c r="B772" s="38"/>
      <c r="C772" s="34"/>
      <c r="D772" s="180" t="s">
        <v>4</v>
      </c>
      <c r="E772" s="32" t="str">
        <f>IF(A772="","",IF(COUNTIF('Asset Detail'!A:A,A772)&gt;0,"✓ Found","✗ Not Found"))</f>
        <v/>
      </c>
      <c r="F772" s="31" t="str" cm="1">
        <f t="array" ref="F772">IF(A772="","",IFERROR(INDEX('Asset Detail'!C:C,_xlfn.XMATCH(A772,'Asset Detail'!A:A,3)),"—"))</f>
        <v/>
      </c>
      <c r="G772" s="32" t="str" cm="1">
        <f t="array" ref="G772">IF(A772="","",IFERROR(INDEX('Asset Detail'!E:E,_xlfn.XMATCH(A772,'Asset Detail'!A:A,3)),"—"))</f>
        <v/>
      </c>
      <c r="H772" s="34"/>
      <c r="I772" s="39"/>
    </row>
    <row r="773" spans="1:9" x14ac:dyDescent="0.25">
      <c r="A773" s="23" t="str">
        <f t="shared" si="11"/>
        <v/>
      </c>
      <c r="B773" s="38"/>
      <c r="C773" s="34"/>
      <c r="D773" s="180" t="s">
        <v>4</v>
      </c>
      <c r="E773" s="32" t="str">
        <f>IF(A773="","",IF(COUNTIF('Asset Detail'!A:A,A773)&gt;0,"✓ Found","✗ Not Found"))</f>
        <v/>
      </c>
      <c r="F773" s="31" t="str" cm="1">
        <f t="array" ref="F773">IF(A773="","",IFERROR(INDEX('Asset Detail'!C:C,_xlfn.XMATCH(A773,'Asset Detail'!A:A,3)),"—"))</f>
        <v/>
      </c>
      <c r="G773" s="32" t="str" cm="1">
        <f t="array" ref="G773">IF(A773="","",IFERROR(INDEX('Asset Detail'!E:E,_xlfn.XMATCH(A773,'Asset Detail'!A:A,3)),"—"))</f>
        <v/>
      </c>
      <c r="H773" s="34"/>
      <c r="I773" s="39"/>
    </row>
    <row r="774" spans="1:9" x14ac:dyDescent="0.25">
      <c r="A774" s="23" t="str">
        <f t="shared" si="11"/>
        <v/>
      </c>
      <c r="B774" s="38"/>
      <c r="C774" s="34"/>
      <c r="D774" s="180" t="s">
        <v>4</v>
      </c>
      <c r="E774" s="32" t="str">
        <f>IF(A774="","",IF(COUNTIF('Asset Detail'!A:A,A774)&gt;0,"✓ Found","✗ Not Found"))</f>
        <v/>
      </c>
      <c r="F774" s="31" t="str" cm="1">
        <f t="array" ref="F774">IF(A774="","",IFERROR(INDEX('Asset Detail'!C:C,_xlfn.XMATCH(A774,'Asset Detail'!A:A,3)),"—"))</f>
        <v/>
      </c>
      <c r="G774" s="32" t="str" cm="1">
        <f t="array" ref="G774">IF(A774="","",IFERROR(INDEX('Asset Detail'!E:E,_xlfn.XMATCH(A774,'Asset Detail'!A:A,3)),"—"))</f>
        <v/>
      </c>
      <c r="H774" s="34"/>
      <c r="I774" s="39"/>
    </row>
    <row r="775" spans="1:9" x14ac:dyDescent="0.25">
      <c r="A775" s="23" t="str">
        <f t="shared" si="11"/>
        <v/>
      </c>
      <c r="B775" s="38"/>
      <c r="C775" s="34"/>
      <c r="D775" s="180" t="s">
        <v>4</v>
      </c>
      <c r="E775" s="32" t="str">
        <f>IF(A775="","",IF(COUNTIF('Asset Detail'!A:A,A775)&gt;0,"✓ Found","✗ Not Found"))</f>
        <v/>
      </c>
      <c r="F775" s="31" t="str" cm="1">
        <f t="array" ref="F775">IF(A775="","",IFERROR(INDEX('Asset Detail'!C:C,_xlfn.XMATCH(A775,'Asset Detail'!A:A,3)),"—"))</f>
        <v/>
      </c>
      <c r="G775" s="32" t="str" cm="1">
        <f t="array" ref="G775">IF(A775="","",IFERROR(INDEX('Asset Detail'!E:E,_xlfn.XMATCH(A775,'Asset Detail'!A:A,3)),"—"))</f>
        <v/>
      </c>
      <c r="H775" s="34"/>
      <c r="I775" s="39"/>
    </row>
    <row r="776" spans="1:9" x14ac:dyDescent="0.25">
      <c r="A776" s="23" t="str">
        <f t="shared" ref="A776:A839" si="12">SUBSTITUTE(I776, "S", "")</f>
        <v/>
      </c>
      <c r="B776" s="38"/>
      <c r="C776" s="34"/>
      <c r="D776" s="180" t="s">
        <v>4</v>
      </c>
      <c r="E776" s="32" t="str">
        <f>IF(A776="","",IF(COUNTIF('Asset Detail'!A:A,A776)&gt;0,"✓ Found","✗ Not Found"))</f>
        <v/>
      </c>
      <c r="F776" s="31" t="str" cm="1">
        <f t="array" ref="F776">IF(A776="","",IFERROR(INDEX('Asset Detail'!C:C,_xlfn.XMATCH(A776,'Asset Detail'!A:A,3)),"—"))</f>
        <v/>
      </c>
      <c r="G776" s="32" t="str" cm="1">
        <f t="array" ref="G776">IF(A776="","",IFERROR(INDEX('Asset Detail'!E:E,_xlfn.XMATCH(A776,'Asset Detail'!A:A,3)),"—"))</f>
        <v/>
      </c>
      <c r="H776" s="34"/>
      <c r="I776" s="39"/>
    </row>
    <row r="777" spans="1:9" x14ac:dyDescent="0.25">
      <c r="A777" s="23" t="str">
        <f t="shared" si="12"/>
        <v/>
      </c>
      <c r="B777" s="38"/>
      <c r="C777" s="34"/>
      <c r="D777" s="180" t="s">
        <v>4</v>
      </c>
      <c r="E777" s="32" t="str">
        <f>IF(A777="","",IF(COUNTIF('Asset Detail'!A:A,A777)&gt;0,"✓ Found","✗ Not Found"))</f>
        <v/>
      </c>
      <c r="F777" s="31" t="str" cm="1">
        <f t="array" ref="F777">IF(A777="","",IFERROR(INDEX('Asset Detail'!C:C,_xlfn.XMATCH(A777,'Asset Detail'!A:A,3)),"—"))</f>
        <v/>
      </c>
      <c r="G777" s="32" t="str" cm="1">
        <f t="array" ref="G777">IF(A777="","",IFERROR(INDEX('Asset Detail'!E:E,_xlfn.XMATCH(A777,'Asset Detail'!A:A,3)),"—"))</f>
        <v/>
      </c>
      <c r="H777" s="34"/>
      <c r="I777" s="39"/>
    </row>
    <row r="778" spans="1:9" x14ac:dyDescent="0.25">
      <c r="A778" s="23" t="str">
        <f t="shared" si="12"/>
        <v/>
      </c>
      <c r="B778" s="38"/>
      <c r="C778" s="34"/>
      <c r="D778" s="180" t="s">
        <v>4</v>
      </c>
      <c r="E778" s="32" t="str">
        <f>IF(A778="","",IF(COUNTIF('Asset Detail'!A:A,A778)&gt;0,"✓ Found","✗ Not Found"))</f>
        <v/>
      </c>
      <c r="F778" s="31" t="str" cm="1">
        <f t="array" ref="F778">IF(A778="","",IFERROR(INDEX('Asset Detail'!C:C,_xlfn.XMATCH(A778,'Asset Detail'!A:A,3)),"—"))</f>
        <v/>
      </c>
      <c r="G778" s="32" t="str" cm="1">
        <f t="array" ref="G778">IF(A778="","",IFERROR(INDEX('Asset Detail'!E:E,_xlfn.XMATCH(A778,'Asset Detail'!A:A,3)),"—"))</f>
        <v/>
      </c>
      <c r="H778" s="34"/>
      <c r="I778" s="39"/>
    </row>
    <row r="779" spans="1:9" x14ac:dyDescent="0.25">
      <c r="A779" s="23" t="str">
        <f t="shared" si="12"/>
        <v/>
      </c>
      <c r="B779" s="38"/>
      <c r="C779" s="34"/>
      <c r="D779" s="180" t="s">
        <v>4</v>
      </c>
      <c r="E779" s="32" t="str">
        <f>IF(A779="","",IF(COUNTIF('Asset Detail'!A:A,A779)&gt;0,"✓ Found","✗ Not Found"))</f>
        <v/>
      </c>
      <c r="F779" s="31" t="str" cm="1">
        <f t="array" ref="F779">IF(A779="","",IFERROR(INDEX('Asset Detail'!C:C,_xlfn.XMATCH(A779,'Asset Detail'!A:A,3)),"—"))</f>
        <v/>
      </c>
      <c r="G779" s="32" t="str" cm="1">
        <f t="array" ref="G779">IF(A779="","",IFERROR(INDEX('Asset Detail'!E:E,_xlfn.XMATCH(A779,'Asset Detail'!A:A,3)),"—"))</f>
        <v/>
      </c>
      <c r="H779" s="34"/>
      <c r="I779" s="39"/>
    </row>
    <row r="780" spans="1:9" x14ac:dyDescent="0.25">
      <c r="A780" s="23" t="str">
        <f t="shared" si="12"/>
        <v/>
      </c>
      <c r="B780" s="38"/>
      <c r="C780" s="34"/>
      <c r="D780" s="180" t="s">
        <v>4</v>
      </c>
      <c r="E780" s="32" t="str">
        <f>IF(A780="","",IF(COUNTIF('Asset Detail'!A:A,A780)&gt;0,"✓ Found","✗ Not Found"))</f>
        <v/>
      </c>
      <c r="F780" s="31" t="str" cm="1">
        <f t="array" ref="F780">IF(A780="","",IFERROR(INDEX('Asset Detail'!C:C,_xlfn.XMATCH(A780,'Asset Detail'!A:A,3)),"—"))</f>
        <v/>
      </c>
      <c r="G780" s="32" t="str" cm="1">
        <f t="array" ref="G780">IF(A780="","",IFERROR(INDEX('Asset Detail'!E:E,_xlfn.XMATCH(A780,'Asset Detail'!A:A,3)),"—"))</f>
        <v/>
      </c>
      <c r="H780" s="34"/>
      <c r="I780" s="39"/>
    </row>
    <row r="781" spans="1:9" x14ac:dyDescent="0.25">
      <c r="A781" s="23" t="str">
        <f t="shared" si="12"/>
        <v/>
      </c>
      <c r="B781" s="38"/>
      <c r="C781" s="34"/>
      <c r="D781" s="180" t="s">
        <v>4</v>
      </c>
      <c r="E781" s="32" t="str">
        <f>IF(A781="","",IF(COUNTIF('Asset Detail'!A:A,A781)&gt;0,"✓ Found","✗ Not Found"))</f>
        <v/>
      </c>
      <c r="F781" s="31" t="str" cm="1">
        <f t="array" ref="F781">IF(A781="","",IFERROR(INDEX('Asset Detail'!C:C,_xlfn.XMATCH(A781,'Asset Detail'!A:A,3)),"—"))</f>
        <v/>
      </c>
      <c r="G781" s="32" t="str" cm="1">
        <f t="array" ref="G781">IF(A781="","",IFERROR(INDEX('Asset Detail'!E:E,_xlfn.XMATCH(A781,'Asset Detail'!A:A,3)),"—"))</f>
        <v/>
      </c>
      <c r="H781" s="34"/>
      <c r="I781" s="39"/>
    </row>
    <row r="782" spans="1:9" x14ac:dyDescent="0.25">
      <c r="A782" s="23" t="str">
        <f t="shared" si="12"/>
        <v/>
      </c>
      <c r="B782" s="38"/>
      <c r="C782" s="34"/>
      <c r="D782" s="180" t="s">
        <v>4</v>
      </c>
      <c r="E782" s="32" t="str">
        <f>IF(A782="","",IF(COUNTIF('Asset Detail'!A:A,A782)&gt;0,"✓ Found","✗ Not Found"))</f>
        <v/>
      </c>
      <c r="F782" s="31" t="str" cm="1">
        <f t="array" ref="F782">IF(A782="","",IFERROR(INDEX('Asset Detail'!C:C,_xlfn.XMATCH(A782,'Asset Detail'!A:A,3)),"—"))</f>
        <v/>
      </c>
      <c r="G782" s="32" t="str" cm="1">
        <f t="array" ref="G782">IF(A782="","",IFERROR(INDEX('Asset Detail'!E:E,_xlfn.XMATCH(A782,'Asset Detail'!A:A,3)),"—"))</f>
        <v/>
      </c>
      <c r="H782" s="34"/>
      <c r="I782" s="39"/>
    </row>
    <row r="783" spans="1:9" x14ac:dyDescent="0.25">
      <c r="A783" s="23" t="str">
        <f t="shared" si="12"/>
        <v/>
      </c>
      <c r="B783" s="38"/>
      <c r="C783" s="34"/>
      <c r="D783" s="180" t="s">
        <v>4</v>
      </c>
      <c r="E783" s="32" t="str">
        <f>IF(A783="","",IF(COUNTIF('Asset Detail'!A:A,A783)&gt;0,"✓ Found","✗ Not Found"))</f>
        <v/>
      </c>
      <c r="F783" s="31" t="str" cm="1">
        <f t="array" ref="F783">IF(A783="","",IFERROR(INDEX('Asset Detail'!C:C,_xlfn.XMATCH(A783,'Asset Detail'!A:A,3)),"—"))</f>
        <v/>
      </c>
      <c r="G783" s="32" t="str" cm="1">
        <f t="array" ref="G783">IF(A783="","",IFERROR(INDEX('Asset Detail'!E:E,_xlfn.XMATCH(A783,'Asset Detail'!A:A,3)),"—"))</f>
        <v/>
      </c>
      <c r="H783" s="34"/>
      <c r="I783" s="39"/>
    </row>
    <row r="784" spans="1:9" x14ac:dyDescent="0.25">
      <c r="A784" s="23" t="str">
        <f t="shared" si="12"/>
        <v/>
      </c>
      <c r="B784" s="38"/>
      <c r="C784" s="34"/>
      <c r="D784" s="180" t="s">
        <v>4</v>
      </c>
      <c r="E784" s="32" t="str">
        <f>IF(A784="","",IF(COUNTIF('Asset Detail'!A:A,A784)&gt;0,"✓ Found","✗ Not Found"))</f>
        <v/>
      </c>
      <c r="F784" s="31" t="str" cm="1">
        <f t="array" ref="F784">IF(A784="","",IFERROR(INDEX('Asset Detail'!C:C,_xlfn.XMATCH(A784,'Asset Detail'!A:A,3)),"—"))</f>
        <v/>
      </c>
      <c r="G784" s="32" t="str" cm="1">
        <f t="array" ref="G784">IF(A784="","",IFERROR(INDEX('Asset Detail'!E:E,_xlfn.XMATCH(A784,'Asset Detail'!A:A,3)),"—"))</f>
        <v/>
      </c>
      <c r="H784" s="34"/>
      <c r="I784" s="39"/>
    </row>
    <row r="785" spans="1:9" x14ac:dyDescent="0.25">
      <c r="A785" s="23" t="str">
        <f t="shared" si="12"/>
        <v/>
      </c>
      <c r="B785" s="38"/>
      <c r="C785" s="34"/>
      <c r="D785" s="180" t="s">
        <v>4</v>
      </c>
      <c r="E785" s="32" t="str">
        <f>IF(A785="","",IF(COUNTIF('Asset Detail'!A:A,A785)&gt;0,"✓ Found","✗ Not Found"))</f>
        <v/>
      </c>
      <c r="F785" s="31" t="str" cm="1">
        <f t="array" ref="F785">IF(A785="","",IFERROR(INDEX('Asset Detail'!C:C,_xlfn.XMATCH(A785,'Asset Detail'!A:A,3)),"—"))</f>
        <v/>
      </c>
      <c r="G785" s="32" t="str" cm="1">
        <f t="array" ref="G785">IF(A785="","",IFERROR(INDEX('Asset Detail'!E:E,_xlfn.XMATCH(A785,'Asset Detail'!A:A,3)),"—"))</f>
        <v/>
      </c>
      <c r="H785" s="34"/>
      <c r="I785" s="39"/>
    </row>
    <row r="786" spans="1:9" x14ac:dyDescent="0.25">
      <c r="A786" s="23" t="str">
        <f t="shared" si="12"/>
        <v/>
      </c>
      <c r="B786" s="38"/>
      <c r="C786" s="34"/>
      <c r="D786" s="180" t="s">
        <v>4</v>
      </c>
      <c r="E786" s="32" t="str">
        <f>IF(A786="","",IF(COUNTIF('Asset Detail'!A:A,A786)&gt;0,"✓ Found","✗ Not Found"))</f>
        <v/>
      </c>
      <c r="F786" s="31" t="str" cm="1">
        <f t="array" ref="F786">IF(A786="","",IFERROR(INDEX('Asset Detail'!C:C,_xlfn.XMATCH(A786,'Asset Detail'!A:A,3)),"—"))</f>
        <v/>
      </c>
      <c r="G786" s="32" t="str" cm="1">
        <f t="array" ref="G786">IF(A786="","",IFERROR(INDEX('Asset Detail'!E:E,_xlfn.XMATCH(A786,'Asset Detail'!A:A,3)),"—"))</f>
        <v/>
      </c>
      <c r="H786" s="34"/>
      <c r="I786" s="39"/>
    </row>
    <row r="787" spans="1:9" x14ac:dyDescent="0.25">
      <c r="A787" s="23" t="str">
        <f t="shared" si="12"/>
        <v/>
      </c>
      <c r="B787" s="38"/>
      <c r="C787" s="34"/>
      <c r="D787" s="180" t="s">
        <v>4</v>
      </c>
      <c r="E787" s="32" t="str">
        <f>IF(A787="","",IF(COUNTIF('Asset Detail'!A:A,A787)&gt;0,"✓ Found","✗ Not Found"))</f>
        <v/>
      </c>
      <c r="F787" s="31" t="str" cm="1">
        <f t="array" ref="F787">IF(A787="","",IFERROR(INDEX('Asset Detail'!C:C,_xlfn.XMATCH(A787,'Asset Detail'!A:A,3)),"—"))</f>
        <v/>
      </c>
      <c r="G787" s="32" t="str" cm="1">
        <f t="array" ref="G787">IF(A787="","",IFERROR(INDEX('Asset Detail'!E:E,_xlfn.XMATCH(A787,'Asset Detail'!A:A,3)),"—"))</f>
        <v/>
      </c>
      <c r="H787" s="34"/>
      <c r="I787" s="39"/>
    </row>
    <row r="788" spans="1:9" x14ac:dyDescent="0.25">
      <c r="A788" s="23" t="str">
        <f t="shared" si="12"/>
        <v/>
      </c>
      <c r="B788" s="38"/>
      <c r="C788" s="34"/>
      <c r="D788" s="180" t="s">
        <v>4</v>
      </c>
      <c r="E788" s="32" t="str">
        <f>IF(A788="","",IF(COUNTIF('Asset Detail'!A:A,A788)&gt;0,"✓ Found","✗ Not Found"))</f>
        <v/>
      </c>
      <c r="F788" s="31" t="str" cm="1">
        <f t="array" ref="F788">IF(A788="","",IFERROR(INDEX('Asset Detail'!C:C,_xlfn.XMATCH(A788,'Asset Detail'!A:A,3)),"—"))</f>
        <v/>
      </c>
      <c r="G788" s="32" t="str" cm="1">
        <f t="array" ref="G788">IF(A788="","",IFERROR(INDEX('Asset Detail'!E:E,_xlfn.XMATCH(A788,'Asset Detail'!A:A,3)),"—"))</f>
        <v/>
      </c>
      <c r="H788" s="34"/>
      <c r="I788" s="39"/>
    </row>
    <row r="789" spans="1:9" x14ac:dyDescent="0.25">
      <c r="A789" s="23" t="str">
        <f t="shared" si="12"/>
        <v/>
      </c>
      <c r="B789" s="38"/>
      <c r="C789" s="34"/>
      <c r="D789" s="180" t="s">
        <v>4</v>
      </c>
      <c r="E789" s="32" t="str">
        <f>IF(A789="","",IF(COUNTIF('Asset Detail'!A:A,A789)&gt;0,"✓ Found","✗ Not Found"))</f>
        <v/>
      </c>
      <c r="F789" s="31" t="str" cm="1">
        <f t="array" ref="F789">IF(A789="","",IFERROR(INDEX('Asset Detail'!C:C,_xlfn.XMATCH(A789,'Asset Detail'!A:A,3)),"—"))</f>
        <v/>
      </c>
      <c r="G789" s="32" t="str" cm="1">
        <f t="array" ref="G789">IF(A789="","",IFERROR(INDEX('Asset Detail'!E:E,_xlfn.XMATCH(A789,'Asset Detail'!A:A,3)),"—"))</f>
        <v/>
      </c>
      <c r="H789" s="34"/>
      <c r="I789" s="39"/>
    </row>
    <row r="790" spans="1:9" x14ac:dyDescent="0.25">
      <c r="A790" s="23" t="str">
        <f t="shared" si="12"/>
        <v/>
      </c>
      <c r="B790" s="38"/>
      <c r="C790" s="34"/>
      <c r="D790" s="180" t="s">
        <v>4</v>
      </c>
      <c r="E790" s="32" t="str">
        <f>IF(A790="","",IF(COUNTIF('Asset Detail'!A:A,A790)&gt;0,"✓ Found","✗ Not Found"))</f>
        <v/>
      </c>
      <c r="F790" s="31" t="str" cm="1">
        <f t="array" ref="F790">IF(A790="","",IFERROR(INDEX('Asset Detail'!C:C,_xlfn.XMATCH(A790,'Asset Detail'!A:A,3)),"—"))</f>
        <v/>
      </c>
      <c r="G790" s="32" t="str" cm="1">
        <f t="array" ref="G790">IF(A790="","",IFERROR(INDEX('Asset Detail'!E:E,_xlfn.XMATCH(A790,'Asset Detail'!A:A,3)),"—"))</f>
        <v/>
      </c>
      <c r="H790" s="34"/>
      <c r="I790" s="39"/>
    </row>
    <row r="791" spans="1:9" x14ac:dyDescent="0.25">
      <c r="A791" s="23" t="str">
        <f t="shared" si="12"/>
        <v/>
      </c>
      <c r="B791" s="38"/>
      <c r="C791" s="34"/>
      <c r="D791" s="180" t="s">
        <v>4</v>
      </c>
      <c r="E791" s="32" t="str">
        <f>IF(A791="","",IF(COUNTIF('Asset Detail'!A:A,A791)&gt;0,"✓ Found","✗ Not Found"))</f>
        <v/>
      </c>
      <c r="F791" s="31" t="str" cm="1">
        <f t="array" ref="F791">IF(A791="","",IFERROR(INDEX('Asset Detail'!C:C,_xlfn.XMATCH(A791,'Asset Detail'!A:A,3)),"—"))</f>
        <v/>
      </c>
      <c r="G791" s="32" t="str" cm="1">
        <f t="array" ref="G791">IF(A791="","",IFERROR(INDEX('Asset Detail'!E:E,_xlfn.XMATCH(A791,'Asset Detail'!A:A,3)),"—"))</f>
        <v/>
      </c>
      <c r="H791" s="34"/>
      <c r="I791" s="39"/>
    </row>
    <row r="792" spans="1:9" x14ac:dyDescent="0.25">
      <c r="A792" s="23" t="str">
        <f t="shared" si="12"/>
        <v/>
      </c>
      <c r="B792" s="38"/>
      <c r="C792" s="34"/>
      <c r="D792" s="180" t="s">
        <v>4</v>
      </c>
      <c r="E792" s="32" t="str">
        <f>IF(A792="","",IF(COUNTIF('Asset Detail'!A:A,A792)&gt;0,"✓ Found","✗ Not Found"))</f>
        <v/>
      </c>
      <c r="F792" s="31" t="str" cm="1">
        <f t="array" ref="F792">IF(A792="","",IFERROR(INDEX('Asset Detail'!C:C,_xlfn.XMATCH(A792,'Asset Detail'!A:A,3)),"—"))</f>
        <v/>
      </c>
      <c r="G792" s="32" t="str" cm="1">
        <f t="array" ref="G792">IF(A792="","",IFERROR(INDEX('Asset Detail'!E:E,_xlfn.XMATCH(A792,'Asset Detail'!A:A,3)),"—"))</f>
        <v/>
      </c>
      <c r="H792" s="34"/>
      <c r="I792" s="39"/>
    </row>
    <row r="793" spans="1:9" x14ac:dyDescent="0.25">
      <c r="A793" s="23" t="str">
        <f t="shared" si="12"/>
        <v/>
      </c>
      <c r="B793" s="38"/>
      <c r="C793" s="34"/>
      <c r="D793" s="180" t="s">
        <v>4</v>
      </c>
      <c r="E793" s="32" t="str">
        <f>IF(A793="","",IF(COUNTIF('Asset Detail'!A:A,A793)&gt;0,"✓ Found","✗ Not Found"))</f>
        <v/>
      </c>
      <c r="F793" s="31" t="str" cm="1">
        <f t="array" ref="F793">IF(A793="","",IFERROR(INDEX('Asset Detail'!C:C,_xlfn.XMATCH(A793,'Asset Detail'!A:A,3)),"—"))</f>
        <v/>
      </c>
      <c r="G793" s="32" t="str" cm="1">
        <f t="array" ref="G793">IF(A793="","",IFERROR(INDEX('Asset Detail'!E:E,_xlfn.XMATCH(A793,'Asset Detail'!A:A,3)),"—"))</f>
        <v/>
      </c>
      <c r="H793" s="34"/>
      <c r="I793" s="39"/>
    </row>
    <row r="794" spans="1:9" x14ac:dyDescent="0.25">
      <c r="A794" s="23" t="str">
        <f t="shared" si="12"/>
        <v/>
      </c>
      <c r="B794" s="38"/>
      <c r="C794" s="34"/>
      <c r="D794" s="180" t="s">
        <v>4</v>
      </c>
      <c r="E794" s="32" t="str">
        <f>IF(A794="","",IF(COUNTIF('Asset Detail'!A:A,A794)&gt;0,"✓ Found","✗ Not Found"))</f>
        <v/>
      </c>
      <c r="F794" s="31" t="str" cm="1">
        <f t="array" ref="F794">IF(A794="","",IFERROR(INDEX('Asset Detail'!C:C,_xlfn.XMATCH(A794,'Asset Detail'!A:A,3)),"—"))</f>
        <v/>
      </c>
      <c r="G794" s="32" t="str" cm="1">
        <f t="array" ref="G794">IF(A794="","",IFERROR(INDEX('Asset Detail'!E:E,_xlfn.XMATCH(A794,'Asset Detail'!A:A,3)),"—"))</f>
        <v/>
      </c>
      <c r="H794" s="34"/>
      <c r="I794" s="39"/>
    </row>
    <row r="795" spans="1:9" x14ac:dyDescent="0.25">
      <c r="A795" s="23" t="str">
        <f t="shared" si="12"/>
        <v/>
      </c>
      <c r="B795" s="38"/>
      <c r="C795" s="34"/>
      <c r="D795" s="180" t="s">
        <v>4</v>
      </c>
      <c r="E795" s="32" t="str">
        <f>IF(A795="","",IF(COUNTIF('Asset Detail'!A:A,A795)&gt;0,"✓ Found","✗ Not Found"))</f>
        <v/>
      </c>
      <c r="F795" s="31" t="str" cm="1">
        <f t="array" ref="F795">IF(A795="","",IFERROR(INDEX('Asset Detail'!C:C,_xlfn.XMATCH(A795,'Asset Detail'!A:A,3)),"—"))</f>
        <v/>
      </c>
      <c r="G795" s="32" t="str" cm="1">
        <f t="array" ref="G795">IF(A795="","",IFERROR(INDEX('Asset Detail'!E:E,_xlfn.XMATCH(A795,'Asset Detail'!A:A,3)),"—"))</f>
        <v/>
      </c>
      <c r="H795" s="34"/>
      <c r="I795" s="39"/>
    </row>
    <row r="796" spans="1:9" x14ac:dyDescent="0.25">
      <c r="A796" s="23" t="str">
        <f t="shared" si="12"/>
        <v/>
      </c>
      <c r="B796" s="38"/>
      <c r="C796" s="34"/>
      <c r="D796" s="180" t="s">
        <v>4</v>
      </c>
      <c r="E796" s="32" t="str">
        <f>IF(A796="","",IF(COUNTIF('Asset Detail'!A:A,A796)&gt;0,"✓ Found","✗ Not Found"))</f>
        <v/>
      </c>
      <c r="F796" s="31" t="str" cm="1">
        <f t="array" ref="F796">IF(A796="","",IFERROR(INDEX('Asset Detail'!C:C,_xlfn.XMATCH(A796,'Asset Detail'!A:A,3)),"—"))</f>
        <v/>
      </c>
      <c r="G796" s="32" t="str" cm="1">
        <f t="array" ref="G796">IF(A796="","",IFERROR(INDEX('Asset Detail'!E:E,_xlfn.XMATCH(A796,'Asset Detail'!A:A,3)),"—"))</f>
        <v/>
      </c>
      <c r="H796" s="34"/>
      <c r="I796" s="39"/>
    </row>
    <row r="797" spans="1:9" x14ac:dyDescent="0.25">
      <c r="A797" s="23" t="str">
        <f t="shared" si="12"/>
        <v/>
      </c>
      <c r="B797" s="38"/>
      <c r="C797" s="34"/>
      <c r="D797" s="180" t="s">
        <v>4</v>
      </c>
      <c r="E797" s="32" t="str">
        <f>IF(A797="","",IF(COUNTIF('Asset Detail'!A:A,A797)&gt;0,"✓ Found","✗ Not Found"))</f>
        <v/>
      </c>
      <c r="F797" s="31" t="str" cm="1">
        <f t="array" ref="F797">IF(A797="","",IFERROR(INDEX('Asset Detail'!C:C,_xlfn.XMATCH(A797,'Asset Detail'!A:A,3)),"—"))</f>
        <v/>
      </c>
      <c r="G797" s="32" t="str" cm="1">
        <f t="array" ref="G797">IF(A797="","",IFERROR(INDEX('Asset Detail'!E:E,_xlfn.XMATCH(A797,'Asset Detail'!A:A,3)),"—"))</f>
        <v/>
      </c>
      <c r="H797" s="34"/>
      <c r="I797" s="39"/>
    </row>
    <row r="798" spans="1:9" x14ac:dyDescent="0.25">
      <c r="A798" s="23" t="str">
        <f t="shared" si="12"/>
        <v/>
      </c>
      <c r="B798" s="38"/>
      <c r="C798" s="34"/>
      <c r="D798" s="180" t="s">
        <v>4</v>
      </c>
      <c r="E798" s="32" t="str">
        <f>IF(A798="","",IF(COUNTIF('Asset Detail'!A:A,A798)&gt;0,"✓ Found","✗ Not Found"))</f>
        <v/>
      </c>
      <c r="F798" s="31" t="str" cm="1">
        <f t="array" ref="F798">IF(A798="","",IFERROR(INDEX('Asset Detail'!C:C,_xlfn.XMATCH(A798,'Asset Detail'!A:A,3)),"—"))</f>
        <v/>
      </c>
      <c r="G798" s="32" t="str" cm="1">
        <f t="array" ref="G798">IF(A798="","",IFERROR(INDEX('Asset Detail'!E:E,_xlfn.XMATCH(A798,'Asset Detail'!A:A,3)),"—"))</f>
        <v/>
      </c>
      <c r="H798" s="34"/>
      <c r="I798" s="39"/>
    </row>
    <row r="799" spans="1:9" x14ac:dyDescent="0.25">
      <c r="A799" s="23" t="str">
        <f t="shared" si="12"/>
        <v/>
      </c>
      <c r="B799" s="38"/>
      <c r="C799" s="34"/>
      <c r="D799" s="180" t="s">
        <v>4</v>
      </c>
      <c r="E799" s="32" t="str">
        <f>IF(A799="","",IF(COUNTIF('Asset Detail'!A:A,A799)&gt;0,"✓ Found","✗ Not Found"))</f>
        <v/>
      </c>
      <c r="F799" s="31" t="str" cm="1">
        <f t="array" ref="F799">IF(A799="","",IFERROR(INDEX('Asset Detail'!C:C,_xlfn.XMATCH(A799,'Asset Detail'!A:A,3)),"—"))</f>
        <v/>
      </c>
      <c r="G799" s="32" t="str" cm="1">
        <f t="array" ref="G799">IF(A799="","",IFERROR(INDEX('Asset Detail'!E:E,_xlfn.XMATCH(A799,'Asset Detail'!A:A,3)),"—"))</f>
        <v/>
      </c>
      <c r="H799" s="34"/>
      <c r="I799" s="39"/>
    </row>
    <row r="800" spans="1:9" x14ac:dyDescent="0.25">
      <c r="A800" s="23" t="str">
        <f t="shared" si="12"/>
        <v/>
      </c>
      <c r="B800" s="38"/>
      <c r="C800" s="34"/>
      <c r="D800" s="180" t="s">
        <v>4</v>
      </c>
      <c r="E800" s="32" t="str">
        <f>IF(A800="","",IF(COUNTIF('Asset Detail'!A:A,A800)&gt;0,"✓ Found","✗ Not Found"))</f>
        <v/>
      </c>
      <c r="F800" s="31" t="str" cm="1">
        <f t="array" ref="F800">IF(A800="","",IFERROR(INDEX('Asset Detail'!C:C,_xlfn.XMATCH(A800,'Asset Detail'!A:A,3)),"—"))</f>
        <v/>
      </c>
      <c r="G800" s="32" t="str" cm="1">
        <f t="array" ref="G800">IF(A800="","",IFERROR(INDEX('Asset Detail'!E:E,_xlfn.XMATCH(A800,'Asset Detail'!A:A,3)),"—"))</f>
        <v/>
      </c>
      <c r="H800" s="34"/>
      <c r="I800" s="39"/>
    </row>
    <row r="801" spans="1:9" x14ac:dyDescent="0.25">
      <c r="A801" s="23" t="str">
        <f t="shared" si="12"/>
        <v/>
      </c>
      <c r="B801" s="38"/>
      <c r="C801" s="34"/>
      <c r="D801" s="180" t="s">
        <v>4</v>
      </c>
      <c r="E801" s="32" t="str">
        <f>IF(A801="","",IF(COUNTIF('Asset Detail'!A:A,A801)&gt;0,"✓ Found","✗ Not Found"))</f>
        <v/>
      </c>
      <c r="F801" s="31" t="str" cm="1">
        <f t="array" ref="F801">IF(A801="","",IFERROR(INDEX('Asset Detail'!C:C,_xlfn.XMATCH(A801,'Asset Detail'!A:A,3)),"—"))</f>
        <v/>
      </c>
      <c r="G801" s="32" t="str" cm="1">
        <f t="array" ref="G801">IF(A801="","",IFERROR(INDEX('Asset Detail'!E:E,_xlfn.XMATCH(A801,'Asset Detail'!A:A,3)),"—"))</f>
        <v/>
      </c>
      <c r="H801" s="34"/>
      <c r="I801" s="39"/>
    </row>
    <row r="802" spans="1:9" x14ac:dyDescent="0.25">
      <c r="A802" s="23" t="str">
        <f t="shared" si="12"/>
        <v/>
      </c>
      <c r="B802" s="38"/>
      <c r="C802" s="34"/>
      <c r="D802" s="180" t="s">
        <v>4</v>
      </c>
      <c r="E802" s="32" t="str">
        <f>IF(A802="","",IF(COUNTIF('Asset Detail'!A:A,A802)&gt;0,"✓ Found","✗ Not Found"))</f>
        <v/>
      </c>
      <c r="F802" s="31" t="str" cm="1">
        <f t="array" ref="F802">IF(A802="","",IFERROR(INDEX('Asset Detail'!C:C,_xlfn.XMATCH(A802,'Asset Detail'!A:A,3)),"—"))</f>
        <v/>
      </c>
      <c r="G802" s="32" t="str" cm="1">
        <f t="array" ref="G802">IF(A802="","",IFERROR(INDEX('Asset Detail'!E:E,_xlfn.XMATCH(A802,'Asset Detail'!A:A,3)),"—"))</f>
        <v/>
      </c>
      <c r="H802" s="34"/>
      <c r="I802" s="39"/>
    </row>
    <row r="803" spans="1:9" x14ac:dyDescent="0.25">
      <c r="A803" s="23" t="str">
        <f t="shared" si="12"/>
        <v/>
      </c>
      <c r="B803" s="38"/>
      <c r="C803" s="34"/>
      <c r="D803" s="180" t="s">
        <v>4</v>
      </c>
      <c r="E803" s="32" t="str">
        <f>IF(A803="","",IF(COUNTIF('Asset Detail'!A:A,A803)&gt;0,"✓ Found","✗ Not Found"))</f>
        <v/>
      </c>
      <c r="F803" s="31" t="str" cm="1">
        <f t="array" ref="F803">IF(A803="","",IFERROR(INDEX('Asset Detail'!C:C,_xlfn.XMATCH(A803,'Asset Detail'!A:A,3)),"—"))</f>
        <v/>
      </c>
      <c r="G803" s="32" t="str" cm="1">
        <f t="array" ref="G803">IF(A803="","",IFERROR(INDEX('Asset Detail'!E:E,_xlfn.XMATCH(A803,'Asset Detail'!A:A,3)),"—"))</f>
        <v/>
      </c>
      <c r="H803" s="34"/>
      <c r="I803" s="39"/>
    </row>
    <row r="804" spans="1:9" x14ac:dyDescent="0.25">
      <c r="A804" s="23" t="str">
        <f t="shared" si="12"/>
        <v/>
      </c>
      <c r="B804" s="38"/>
      <c r="C804" s="34"/>
      <c r="D804" s="180" t="s">
        <v>4</v>
      </c>
      <c r="E804" s="32" t="str">
        <f>IF(A804="","",IF(COUNTIF('Asset Detail'!A:A,A804)&gt;0,"✓ Found","✗ Not Found"))</f>
        <v/>
      </c>
      <c r="F804" s="31" t="str" cm="1">
        <f t="array" ref="F804">IF(A804="","",IFERROR(INDEX('Asset Detail'!C:C,_xlfn.XMATCH(A804,'Asset Detail'!A:A,3)),"—"))</f>
        <v/>
      </c>
      <c r="G804" s="32" t="str" cm="1">
        <f t="array" ref="G804">IF(A804="","",IFERROR(INDEX('Asset Detail'!E:E,_xlfn.XMATCH(A804,'Asset Detail'!A:A,3)),"—"))</f>
        <v/>
      </c>
      <c r="H804" s="34"/>
      <c r="I804" s="39"/>
    </row>
    <row r="805" spans="1:9" x14ac:dyDescent="0.25">
      <c r="A805" s="23" t="str">
        <f t="shared" si="12"/>
        <v/>
      </c>
      <c r="B805" s="38"/>
      <c r="C805" s="34"/>
      <c r="D805" s="180" t="s">
        <v>4</v>
      </c>
      <c r="E805" s="32" t="str">
        <f>IF(A805="","",IF(COUNTIF('Asset Detail'!A:A,A805)&gt;0,"✓ Found","✗ Not Found"))</f>
        <v/>
      </c>
      <c r="F805" s="31" t="str" cm="1">
        <f t="array" ref="F805">IF(A805="","",IFERROR(INDEX('Asset Detail'!C:C,_xlfn.XMATCH(A805,'Asset Detail'!A:A,3)),"—"))</f>
        <v/>
      </c>
      <c r="G805" s="32" t="str" cm="1">
        <f t="array" ref="G805">IF(A805="","",IFERROR(INDEX('Asset Detail'!E:E,_xlfn.XMATCH(A805,'Asset Detail'!A:A,3)),"—"))</f>
        <v/>
      </c>
      <c r="H805" s="34"/>
      <c r="I805" s="39"/>
    </row>
    <row r="806" spans="1:9" x14ac:dyDescent="0.25">
      <c r="A806" s="23" t="str">
        <f t="shared" si="12"/>
        <v/>
      </c>
      <c r="B806" s="38"/>
      <c r="C806" s="34"/>
      <c r="D806" s="180" t="s">
        <v>4</v>
      </c>
      <c r="E806" s="32" t="str">
        <f>IF(A806="","",IF(COUNTIF('Asset Detail'!A:A,A806)&gt;0,"✓ Found","✗ Not Found"))</f>
        <v/>
      </c>
      <c r="F806" s="31" t="str" cm="1">
        <f t="array" ref="F806">IF(A806="","",IFERROR(INDEX('Asset Detail'!C:C,_xlfn.XMATCH(A806,'Asset Detail'!A:A,3)),"—"))</f>
        <v/>
      </c>
      <c r="G806" s="32" t="str" cm="1">
        <f t="array" ref="G806">IF(A806="","",IFERROR(INDEX('Asset Detail'!E:E,_xlfn.XMATCH(A806,'Asset Detail'!A:A,3)),"—"))</f>
        <v/>
      </c>
      <c r="H806" s="34"/>
      <c r="I806" s="39"/>
    </row>
    <row r="807" spans="1:9" x14ac:dyDescent="0.25">
      <c r="A807" s="23" t="str">
        <f t="shared" si="12"/>
        <v/>
      </c>
      <c r="B807" s="38"/>
      <c r="C807" s="34"/>
      <c r="D807" s="180" t="s">
        <v>4</v>
      </c>
      <c r="E807" s="32" t="str">
        <f>IF(A807="","",IF(COUNTIF('Asset Detail'!A:A,A807)&gt;0,"✓ Found","✗ Not Found"))</f>
        <v/>
      </c>
      <c r="F807" s="31" t="str" cm="1">
        <f t="array" ref="F807">IF(A807="","",IFERROR(INDEX('Asset Detail'!C:C,_xlfn.XMATCH(A807,'Asset Detail'!A:A,3)),"—"))</f>
        <v/>
      </c>
      <c r="G807" s="32" t="str" cm="1">
        <f t="array" ref="G807">IF(A807="","",IFERROR(INDEX('Asset Detail'!E:E,_xlfn.XMATCH(A807,'Asset Detail'!A:A,3)),"—"))</f>
        <v/>
      </c>
      <c r="H807" s="34"/>
      <c r="I807" s="39"/>
    </row>
    <row r="808" spans="1:9" x14ac:dyDescent="0.25">
      <c r="A808" s="23" t="str">
        <f t="shared" si="12"/>
        <v/>
      </c>
      <c r="B808" s="38"/>
      <c r="C808" s="34"/>
      <c r="D808" s="180" t="s">
        <v>4</v>
      </c>
      <c r="E808" s="32" t="str">
        <f>IF(A808="","",IF(COUNTIF('Asset Detail'!A:A,A808)&gt;0,"✓ Found","✗ Not Found"))</f>
        <v/>
      </c>
      <c r="F808" s="31" t="str" cm="1">
        <f t="array" ref="F808">IF(A808="","",IFERROR(INDEX('Asset Detail'!C:C,_xlfn.XMATCH(A808,'Asset Detail'!A:A,3)),"—"))</f>
        <v/>
      </c>
      <c r="G808" s="32" t="str" cm="1">
        <f t="array" ref="G808">IF(A808="","",IFERROR(INDEX('Asset Detail'!E:E,_xlfn.XMATCH(A808,'Asset Detail'!A:A,3)),"—"))</f>
        <v/>
      </c>
      <c r="H808" s="34"/>
      <c r="I808" s="39"/>
    </row>
    <row r="809" spans="1:9" x14ac:dyDescent="0.25">
      <c r="A809" s="23" t="str">
        <f t="shared" si="12"/>
        <v/>
      </c>
      <c r="B809" s="38"/>
      <c r="C809" s="34"/>
      <c r="D809" s="180" t="s">
        <v>4</v>
      </c>
      <c r="E809" s="32" t="str">
        <f>IF(A809="","",IF(COUNTIF('Asset Detail'!A:A,A809)&gt;0,"✓ Found","✗ Not Found"))</f>
        <v/>
      </c>
      <c r="F809" s="31" t="str" cm="1">
        <f t="array" ref="F809">IF(A809="","",IFERROR(INDEX('Asset Detail'!C:C,_xlfn.XMATCH(A809,'Asset Detail'!A:A,3)),"—"))</f>
        <v/>
      </c>
      <c r="G809" s="32" t="str" cm="1">
        <f t="array" ref="G809">IF(A809="","",IFERROR(INDEX('Asset Detail'!E:E,_xlfn.XMATCH(A809,'Asset Detail'!A:A,3)),"—"))</f>
        <v/>
      </c>
      <c r="H809" s="34"/>
      <c r="I809" s="39"/>
    </row>
    <row r="810" spans="1:9" x14ac:dyDescent="0.25">
      <c r="A810" s="23" t="str">
        <f t="shared" si="12"/>
        <v/>
      </c>
      <c r="B810" s="38"/>
      <c r="C810" s="34"/>
      <c r="D810" s="180" t="s">
        <v>4</v>
      </c>
      <c r="E810" s="32" t="str">
        <f>IF(A810="","",IF(COUNTIF('Asset Detail'!A:A,A810)&gt;0,"✓ Found","✗ Not Found"))</f>
        <v/>
      </c>
      <c r="F810" s="31" t="str" cm="1">
        <f t="array" ref="F810">IF(A810="","",IFERROR(INDEX('Asset Detail'!C:C,_xlfn.XMATCH(A810,'Asset Detail'!A:A,3)),"—"))</f>
        <v/>
      </c>
      <c r="G810" s="32" t="str" cm="1">
        <f t="array" ref="G810">IF(A810="","",IFERROR(INDEX('Asset Detail'!E:E,_xlfn.XMATCH(A810,'Asset Detail'!A:A,3)),"—"))</f>
        <v/>
      </c>
      <c r="H810" s="34"/>
      <c r="I810" s="39"/>
    </row>
    <row r="811" spans="1:9" x14ac:dyDescent="0.25">
      <c r="A811" s="23" t="str">
        <f t="shared" si="12"/>
        <v/>
      </c>
      <c r="B811" s="38"/>
      <c r="C811" s="34"/>
      <c r="D811" s="180" t="s">
        <v>4</v>
      </c>
      <c r="E811" s="32" t="str">
        <f>IF(A811="","",IF(COUNTIF('Asset Detail'!A:A,A811)&gt;0,"✓ Found","✗ Not Found"))</f>
        <v/>
      </c>
      <c r="F811" s="31" t="str" cm="1">
        <f t="array" ref="F811">IF(A811="","",IFERROR(INDEX('Asset Detail'!C:C,_xlfn.XMATCH(A811,'Asset Detail'!A:A,3)),"—"))</f>
        <v/>
      </c>
      <c r="G811" s="32" t="str" cm="1">
        <f t="array" ref="G811">IF(A811="","",IFERROR(INDEX('Asset Detail'!E:E,_xlfn.XMATCH(A811,'Asset Detail'!A:A,3)),"—"))</f>
        <v/>
      </c>
      <c r="H811" s="34"/>
      <c r="I811" s="39"/>
    </row>
    <row r="812" spans="1:9" x14ac:dyDescent="0.25">
      <c r="A812" s="23" t="str">
        <f t="shared" si="12"/>
        <v/>
      </c>
      <c r="B812" s="38"/>
      <c r="C812" s="34"/>
      <c r="D812" s="180" t="s">
        <v>4</v>
      </c>
      <c r="E812" s="32" t="str">
        <f>IF(A812="","",IF(COUNTIF('Asset Detail'!A:A,A812)&gt;0,"✓ Found","✗ Not Found"))</f>
        <v/>
      </c>
      <c r="F812" s="31" t="str" cm="1">
        <f t="array" ref="F812">IF(A812="","",IFERROR(INDEX('Asset Detail'!C:C,_xlfn.XMATCH(A812,'Asset Detail'!A:A,3)),"—"))</f>
        <v/>
      </c>
      <c r="G812" s="32" t="str" cm="1">
        <f t="array" ref="G812">IF(A812="","",IFERROR(INDEX('Asset Detail'!E:E,_xlfn.XMATCH(A812,'Asset Detail'!A:A,3)),"—"))</f>
        <v/>
      </c>
      <c r="H812" s="34"/>
      <c r="I812" s="39"/>
    </row>
    <row r="813" spans="1:9" x14ac:dyDescent="0.25">
      <c r="A813" s="23" t="str">
        <f t="shared" si="12"/>
        <v/>
      </c>
      <c r="B813" s="38"/>
      <c r="C813" s="34"/>
      <c r="D813" s="180" t="s">
        <v>4</v>
      </c>
      <c r="E813" s="32" t="str">
        <f>IF(A813="","",IF(COUNTIF('Asset Detail'!A:A,A813)&gt;0,"✓ Found","✗ Not Found"))</f>
        <v/>
      </c>
      <c r="F813" s="31" t="str" cm="1">
        <f t="array" ref="F813">IF(A813="","",IFERROR(INDEX('Asset Detail'!C:C,_xlfn.XMATCH(A813,'Asset Detail'!A:A,3)),"—"))</f>
        <v/>
      </c>
      <c r="G813" s="32" t="str" cm="1">
        <f t="array" ref="G813">IF(A813="","",IFERROR(INDEX('Asset Detail'!E:E,_xlfn.XMATCH(A813,'Asset Detail'!A:A,3)),"—"))</f>
        <v/>
      </c>
      <c r="H813" s="34"/>
      <c r="I813" s="39"/>
    </row>
    <row r="814" spans="1:9" x14ac:dyDescent="0.25">
      <c r="A814" s="23" t="str">
        <f t="shared" si="12"/>
        <v/>
      </c>
      <c r="B814" s="38"/>
      <c r="C814" s="34"/>
      <c r="D814" s="180" t="s">
        <v>4</v>
      </c>
      <c r="E814" s="32" t="str">
        <f>IF(A814="","",IF(COUNTIF('Asset Detail'!A:A,A814)&gt;0,"✓ Found","✗ Not Found"))</f>
        <v/>
      </c>
      <c r="F814" s="31" t="str" cm="1">
        <f t="array" ref="F814">IF(A814="","",IFERROR(INDEX('Asset Detail'!C:C,_xlfn.XMATCH(A814,'Asset Detail'!A:A,3)),"—"))</f>
        <v/>
      </c>
      <c r="G814" s="32" t="str" cm="1">
        <f t="array" ref="G814">IF(A814="","",IFERROR(INDEX('Asset Detail'!E:E,_xlfn.XMATCH(A814,'Asset Detail'!A:A,3)),"—"))</f>
        <v/>
      </c>
      <c r="H814" s="34"/>
      <c r="I814" s="39"/>
    </row>
    <row r="815" spans="1:9" x14ac:dyDescent="0.25">
      <c r="A815" s="23" t="str">
        <f t="shared" si="12"/>
        <v/>
      </c>
      <c r="B815" s="38"/>
      <c r="C815" s="34"/>
      <c r="D815" s="180" t="s">
        <v>4</v>
      </c>
      <c r="E815" s="32" t="str">
        <f>IF(A815="","",IF(COUNTIF('Asset Detail'!A:A,A815)&gt;0,"✓ Found","✗ Not Found"))</f>
        <v/>
      </c>
      <c r="F815" s="31" t="str" cm="1">
        <f t="array" ref="F815">IF(A815="","",IFERROR(INDEX('Asset Detail'!C:C,_xlfn.XMATCH(A815,'Asset Detail'!A:A,3)),"—"))</f>
        <v/>
      </c>
      <c r="G815" s="32" t="str" cm="1">
        <f t="array" ref="G815">IF(A815="","",IFERROR(INDEX('Asset Detail'!E:E,_xlfn.XMATCH(A815,'Asset Detail'!A:A,3)),"—"))</f>
        <v/>
      </c>
      <c r="H815" s="34"/>
      <c r="I815" s="39"/>
    </row>
    <row r="816" spans="1:9" x14ac:dyDescent="0.25">
      <c r="A816" s="23" t="str">
        <f t="shared" si="12"/>
        <v/>
      </c>
      <c r="B816" s="38"/>
      <c r="C816" s="34"/>
      <c r="D816" s="180" t="s">
        <v>4</v>
      </c>
      <c r="E816" s="32" t="str">
        <f>IF(A816="","",IF(COUNTIF('Asset Detail'!A:A,A816)&gt;0,"✓ Found","✗ Not Found"))</f>
        <v/>
      </c>
      <c r="F816" s="31" t="str" cm="1">
        <f t="array" ref="F816">IF(A816="","",IFERROR(INDEX('Asset Detail'!C:C,_xlfn.XMATCH(A816,'Asset Detail'!A:A,3)),"—"))</f>
        <v/>
      </c>
      <c r="G816" s="32" t="str" cm="1">
        <f t="array" ref="G816">IF(A816="","",IFERROR(INDEX('Asset Detail'!E:E,_xlfn.XMATCH(A816,'Asset Detail'!A:A,3)),"—"))</f>
        <v/>
      </c>
      <c r="H816" s="34"/>
      <c r="I816" s="39"/>
    </row>
    <row r="817" spans="1:9" x14ac:dyDescent="0.25">
      <c r="A817" s="23" t="str">
        <f t="shared" si="12"/>
        <v/>
      </c>
      <c r="B817" s="38"/>
      <c r="C817" s="34"/>
      <c r="D817" s="180" t="s">
        <v>4</v>
      </c>
      <c r="E817" s="32" t="str">
        <f>IF(A817="","",IF(COUNTIF('Asset Detail'!A:A,A817)&gt;0,"✓ Found","✗ Not Found"))</f>
        <v/>
      </c>
      <c r="F817" s="31" t="str" cm="1">
        <f t="array" ref="F817">IF(A817="","",IFERROR(INDEX('Asset Detail'!C:C,_xlfn.XMATCH(A817,'Asset Detail'!A:A,3)),"—"))</f>
        <v/>
      </c>
      <c r="G817" s="32" t="str" cm="1">
        <f t="array" ref="G817">IF(A817="","",IFERROR(INDEX('Asset Detail'!E:E,_xlfn.XMATCH(A817,'Asset Detail'!A:A,3)),"—"))</f>
        <v/>
      </c>
      <c r="H817" s="34"/>
      <c r="I817" s="39"/>
    </row>
    <row r="818" spans="1:9" x14ac:dyDescent="0.25">
      <c r="A818" s="23" t="str">
        <f t="shared" si="12"/>
        <v/>
      </c>
      <c r="B818" s="38"/>
      <c r="C818" s="34"/>
      <c r="D818" s="180" t="s">
        <v>4</v>
      </c>
      <c r="E818" s="32" t="str">
        <f>IF(A818="","",IF(COUNTIF('Asset Detail'!A:A,A818)&gt;0,"✓ Found","✗ Not Found"))</f>
        <v/>
      </c>
      <c r="F818" s="31" t="str" cm="1">
        <f t="array" ref="F818">IF(A818="","",IFERROR(INDEX('Asset Detail'!C:C,_xlfn.XMATCH(A818,'Asset Detail'!A:A,3)),"—"))</f>
        <v/>
      </c>
      <c r="G818" s="32" t="str" cm="1">
        <f t="array" ref="G818">IF(A818="","",IFERROR(INDEX('Asset Detail'!E:E,_xlfn.XMATCH(A818,'Asset Detail'!A:A,3)),"—"))</f>
        <v/>
      </c>
      <c r="H818" s="34"/>
      <c r="I818" s="39"/>
    </row>
    <row r="819" spans="1:9" x14ac:dyDescent="0.25">
      <c r="A819" s="23" t="str">
        <f t="shared" si="12"/>
        <v/>
      </c>
      <c r="B819" s="38"/>
      <c r="C819" s="34"/>
      <c r="D819" s="180" t="s">
        <v>4</v>
      </c>
      <c r="E819" s="32" t="str">
        <f>IF(A819="","",IF(COUNTIF('Asset Detail'!A:A,A819)&gt;0,"✓ Found","✗ Not Found"))</f>
        <v/>
      </c>
      <c r="F819" s="31" t="str" cm="1">
        <f t="array" ref="F819">IF(A819="","",IFERROR(INDEX('Asset Detail'!C:C,_xlfn.XMATCH(A819,'Asset Detail'!A:A,3)),"—"))</f>
        <v/>
      </c>
      <c r="G819" s="32" t="str" cm="1">
        <f t="array" ref="G819">IF(A819="","",IFERROR(INDEX('Asset Detail'!E:E,_xlfn.XMATCH(A819,'Asset Detail'!A:A,3)),"—"))</f>
        <v/>
      </c>
      <c r="H819" s="34"/>
      <c r="I819" s="39"/>
    </row>
    <row r="820" spans="1:9" x14ac:dyDescent="0.25">
      <c r="A820" s="23" t="str">
        <f t="shared" si="12"/>
        <v/>
      </c>
      <c r="B820" s="38"/>
      <c r="C820" s="34"/>
      <c r="D820" s="180" t="s">
        <v>4</v>
      </c>
      <c r="E820" s="32" t="str">
        <f>IF(A820="","",IF(COUNTIF('Asset Detail'!A:A,A820)&gt;0,"✓ Found","✗ Not Found"))</f>
        <v/>
      </c>
      <c r="F820" s="31" t="str" cm="1">
        <f t="array" ref="F820">IF(A820="","",IFERROR(INDEX('Asset Detail'!C:C,_xlfn.XMATCH(A820,'Asset Detail'!A:A,3)),"—"))</f>
        <v/>
      </c>
      <c r="G820" s="32" t="str" cm="1">
        <f t="array" ref="G820">IF(A820="","",IFERROR(INDEX('Asset Detail'!E:E,_xlfn.XMATCH(A820,'Asset Detail'!A:A,3)),"—"))</f>
        <v/>
      </c>
      <c r="H820" s="34"/>
      <c r="I820" s="39"/>
    </row>
    <row r="821" spans="1:9" x14ac:dyDescent="0.25">
      <c r="A821" s="23" t="str">
        <f t="shared" si="12"/>
        <v/>
      </c>
      <c r="B821" s="38"/>
      <c r="C821" s="34"/>
      <c r="D821" s="180" t="s">
        <v>4</v>
      </c>
      <c r="E821" s="32" t="str">
        <f>IF(A821="","",IF(COUNTIF('Asset Detail'!A:A,A821)&gt;0,"✓ Found","✗ Not Found"))</f>
        <v/>
      </c>
      <c r="F821" s="31" t="str" cm="1">
        <f t="array" ref="F821">IF(A821="","",IFERROR(INDEX('Asset Detail'!C:C,_xlfn.XMATCH(A821,'Asset Detail'!A:A,3)),"—"))</f>
        <v/>
      </c>
      <c r="G821" s="32" t="str" cm="1">
        <f t="array" ref="G821">IF(A821="","",IFERROR(INDEX('Asset Detail'!E:E,_xlfn.XMATCH(A821,'Asset Detail'!A:A,3)),"—"))</f>
        <v/>
      </c>
      <c r="H821" s="34"/>
      <c r="I821" s="39"/>
    </row>
    <row r="822" spans="1:9" x14ac:dyDescent="0.25">
      <c r="A822" s="23" t="str">
        <f t="shared" si="12"/>
        <v/>
      </c>
      <c r="B822" s="38"/>
      <c r="C822" s="34"/>
      <c r="D822" s="180" t="s">
        <v>4</v>
      </c>
      <c r="E822" s="32" t="str">
        <f>IF(A822="","",IF(COUNTIF('Asset Detail'!A:A,A822)&gt;0,"✓ Found","✗ Not Found"))</f>
        <v/>
      </c>
      <c r="F822" s="31" t="str" cm="1">
        <f t="array" ref="F822">IF(A822="","",IFERROR(INDEX('Asset Detail'!C:C,_xlfn.XMATCH(A822,'Asset Detail'!A:A,3)),"—"))</f>
        <v/>
      </c>
      <c r="G822" s="32" t="str" cm="1">
        <f t="array" ref="G822">IF(A822="","",IFERROR(INDEX('Asset Detail'!E:E,_xlfn.XMATCH(A822,'Asset Detail'!A:A,3)),"—"))</f>
        <v/>
      </c>
      <c r="H822" s="34"/>
      <c r="I822" s="39"/>
    </row>
    <row r="823" spans="1:9" x14ac:dyDescent="0.25">
      <c r="A823" s="23" t="str">
        <f t="shared" si="12"/>
        <v/>
      </c>
      <c r="B823" s="38"/>
      <c r="C823" s="34"/>
      <c r="D823" s="180" t="s">
        <v>4</v>
      </c>
      <c r="E823" s="32" t="str">
        <f>IF(A823="","",IF(COUNTIF('Asset Detail'!A:A,A823)&gt;0,"✓ Found","✗ Not Found"))</f>
        <v/>
      </c>
      <c r="F823" s="31" t="str" cm="1">
        <f t="array" ref="F823">IF(A823="","",IFERROR(INDEX('Asset Detail'!C:C,_xlfn.XMATCH(A823,'Asset Detail'!A:A,3)),"—"))</f>
        <v/>
      </c>
      <c r="G823" s="32" t="str" cm="1">
        <f t="array" ref="G823">IF(A823="","",IFERROR(INDEX('Asset Detail'!E:E,_xlfn.XMATCH(A823,'Asset Detail'!A:A,3)),"—"))</f>
        <v/>
      </c>
      <c r="H823" s="34"/>
      <c r="I823" s="39"/>
    </row>
    <row r="824" spans="1:9" x14ac:dyDescent="0.25">
      <c r="A824" s="23" t="str">
        <f t="shared" si="12"/>
        <v/>
      </c>
      <c r="B824" s="38"/>
      <c r="C824" s="34"/>
      <c r="D824" s="180" t="s">
        <v>4</v>
      </c>
      <c r="E824" s="32" t="str">
        <f>IF(A824="","",IF(COUNTIF('Asset Detail'!A:A,A824)&gt;0,"✓ Found","✗ Not Found"))</f>
        <v/>
      </c>
      <c r="F824" s="31" t="str" cm="1">
        <f t="array" ref="F824">IF(A824="","",IFERROR(INDEX('Asset Detail'!C:C,_xlfn.XMATCH(A824,'Asset Detail'!A:A,3)),"—"))</f>
        <v/>
      </c>
      <c r="G824" s="32" t="str" cm="1">
        <f t="array" ref="G824">IF(A824="","",IFERROR(INDEX('Asset Detail'!E:E,_xlfn.XMATCH(A824,'Asset Detail'!A:A,3)),"—"))</f>
        <v/>
      </c>
      <c r="H824" s="34"/>
      <c r="I824" s="39"/>
    </row>
    <row r="825" spans="1:9" x14ac:dyDescent="0.25">
      <c r="A825" s="23" t="str">
        <f t="shared" si="12"/>
        <v/>
      </c>
      <c r="B825" s="38"/>
      <c r="C825" s="34"/>
      <c r="D825" s="180" t="s">
        <v>4</v>
      </c>
      <c r="E825" s="32" t="str">
        <f>IF(A825="","",IF(COUNTIF('Asset Detail'!A:A,A825)&gt;0,"✓ Found","✗ Not Found"))</f>
        <v/>
      </c>
      <c r="F825" s="31" t="str" cm="1">
        <f t="array" ref="F825">IF(A825="","",IFERROR(INDEX('Asset Detail'!C:C,_xlfn.XMATCH(A825,'Asset Detail'!A:A,3)),"—"))</f>
        <v/>
      </c>
      <c r="G825" s="32" t="str" cm="1">
        <f t="array" ref="G825">IF(A825="","",IFERROR(INDEX('Asset Detail'!E:E,_xlfn.XMATCH(A825,'Asset Detail'!A:A,3)),"—"))</f>
        <v/>
      </c>
      <c r="H825" s="34"/>
      <c r="I825" s="39"/>
    </row>
    <row r="826" spans="1:9" x14ac:dyDescent="0.25">
      <c r="A826" s="23" t="str">
        <f t="shared" si="12"/>
        <v/>
      </c>
      <c r="B826" s="38"/>
      <c r="C826" s="34"/>
      <c r="D826" s="180" t="s">
        <v>4</v>
      </c>
      <c r="E826" s="32" t="str">
        <f>IF(A826="","",IF(COUNTIF('Asset Detail'!A:A,A826)&gt;0,"✓ Found","✗ Not Found"))</f>
        <v/>
      </c>
      <c r="F826" s="31" t="str" cm="1">
        <f t="array" ref="F826">IF(A826="","",IFERROR(INDEX('Asset Detail'!C:C,_xlfn.XMATCH(A826,'Asset Detail'!A:A,3)),"—"))</f>
        <v/>
      </c>
      <c r="G826" s="32" t="str" cm="1">
        <f t="array" ref="G826">IF(A826="","",IFERROR(INDEX('Asset Detail'!E:E,_xlfn.XMATCH(A826,'Asset Detail'!A:A,3)),"—"))</f>
        <v/>
      </c>
      <c r="H826" s="34"/>
      <c r="I826" s="39"/>
    </row>
    <row r="827" spans="1:9" x14ac:dyDescent="0.25">
      <c r="A827" s="23" t="str">
        <f t="shared" si="12"/>
        <v/>
      </c>
      <c r="B827" s="38"/>
      <c r="C827" s="34"/>
      <c r="D827" s="180" t="s">
        <v>4</v>
      </c>
      <c r="E827" s="32" t="str">
        <f>IF(A827="","",IF(COUNTIF('Asset Detail'!A:A,A827)&gt;0,"✓ Found","✗ Not Found"))</f>
        <v/>
      </c>
      <c r="F827" s="31" t="str" cm="1">
        <f t="array" ref="F827">IF(A827="","",IFERROR(INDEX('Asset Detail'!C:C,_xlfn.XMATCH(A827,'Asset Detail'!A:A,3)),"—"))</f>
        <v/>
      </c>
      <c r="G827" s="32" t="str" cm="1">
        <f t="array" ref="G827">IF(A827="","",IFERROR(INDEX('Asset Detail'!E:E,_xlfn.XMATCH(A827,'Asset Detail'!A:A,3)),"—"))</f>
        <v/>
      </c>
      <c r="H827" s="34"/>
      <c r="I827" s="39"/>
    </row>
    <row r="828" spans="1:9" x14ac:dyDescent="0.25">
      <c r="A828" s="23" t="str">
        <f t="shared" si="12"/>
        <v/>
      </c>
      <c r="B828" s="38"/>
      <c r="C828" s="34"/>
      <c r="D828" s="180" t="s">
        <v>4</v>
      </c>
      <c r="E828" s="32" t="str">
        <f>IF(A828="","",IF(COUNTIF('Asset Detail'!A:A,A828)&gt;0,"✓ Found","✗ Not Found"))</f>
        <v/>
      </c>
      <c r="F828" s="31" t="str" cm="1">
        <f t="array" ref="F828">IF(A828="","",IFERROR(INDEX('Asset Detail'!C:C,_xlfn.XMATCH(A828,'Asset Detail'!A:A,3)),"—"))</f>
        <v/>
      </c>
      <c r="G828" s="32" t="str" cm="1">
        <f t="array" ref="G828">IF(A828="","",IFERROR(INDEX('Asset Detail'!E:E,_xlfn.XMATCH(A828,'Asset Detail'!A:A,3)),"—"))</f>
        <v/>
      </c>
      <c r="H828" s="34"/>
      <c r="I828" s="39"/>
    </row>
    <row r="829" spans="1:9" x14ac:dyDescent="0.25">
      <c r="A829" s="23" t="str">
        <f t="shared" si="12"/>
        <v/>
      </c>
      <c r="B829" s="38"/>
      <c r="C829" s="34"/>
      <c r="D829" s="180" t="s">
        <v>4</v>
      </c>
      <c r="E829" s="32" t="str">
        <f>IF(A829="","",IF(COUNTIF('Asset Detail'!A:A,A829)&gt;0,"✓ Found","✗ Not Found"))</f>
        <v/>
      </c>
      <c r="F829" s="31" t="str" cm="1">
        <f t="array" ref="F829">IF(A829="","",IFERROR(INDEX('Asset Detail'!C:C,_xlfn.XMATCH(A829,'Asset Detail'!A:A,3)),"—"))</f>
        <v/>
      </c>
      <c r="G829" s="32" t="str" cm="1">
        <f t="array" ref="G829">IF(A829="","",IFERROR(INDEX('Asset Detail'!E:E,_xlfn.XMATCH(A829,'Asset Detail'!A:A,3)),"—"))</f>
        <v/>
      </c>
      <c r="H829" s="34"/>
      <c r="I829" s="39"/>
    </row>
    <row r="830" spans="1:9" x14ac:dyDescent="0.25">
      <c r="A830" s="23" t="str">
        <f t="shared" si="12"/>
        <v/>
      </c>
      <c r="B830" s="38"/>
      <c r="C830" s="34"/>
      <c r="D830" s="180" t="s">
        <v>4</v>
      </c>
      <c r="E830" s="32" t="str">
        <f>IF(A830="","",IF(COUNTIF('Asset Detail'!A:A,A830)&gt;0,"✓ Found","✗ Not Found"))</f>
        <v/>
      </c>
      <c r="F830" s="31" t="str" cm="1">
        <f t="array" ref="F830">IF(A830="","",IFERROR(INDEX('Asset Detail'!C:C,_xlfn.XMATCH(A830,'Asset Detail'!A:A,3)),"—"))</f>
        <v/>
      </c>
      <c r="G830" s="32" t="str" cm="1">
        <f t="array" ref="G830">IF(A830="","",IFERROR(INDEX('Asset Detail'!E:E,_xlfn.XMATCH(A830,'Asset Detail'!A:A,3)),"—"))</f>
        <v/>
      </c>
      <c r="H830" s="34"/>
      <c r="I830" s="39"/>
    </row>
    <row r="831" spans="1:9" x14ac:dyDescent="0.25">
      <c r="A831" s="23" t="str">
        <f t="shared" si="12"/>
        <v/>
      </c>
      <c r="B831" s="38"/>
      <c r="C831" s="34"/>
      <c r="D831" s="180" t="s">
        <v>4</v>
      </c>
      <c r="E831" s="32" t="str">
        <f>IF(A831="","",IF(COUNTIF('Asset Detail'!A:A,A831)&gt;0,"✓ Found","✗ Not Found"))</f>
        <v/>
      </c>
      <c r="F831" s="31" t="str" cm="1">
        <f t="array" ref="F831">IF(A831="","",IFERROR(INDEX('Asset Detail'!C:C,_xlfn.XMATCH(A831,'Asset Detail'!A:A,3)),"—"))</f>
        <v/>
      </c>
      <c r="G831" s="32" t="str" cm="1">
        <f t="array" ref="G831">IF(A831="","",IFERROR(INDEX('Asset Detail'!E:E,_xlfn.XMATCH(A831,'Asset Detail'!A:A,3)),"—"))</f>
        <v/>
      </c>
      <c r="H831" s="34"/>
      <c r="I831" s="39"/>
    </row>
    <row r="832" spans="1:9" x14ac:dyDescent="0.25">
      <c r="A832" s="23" t="str">
        <f t="shared" si="12"/>
        <v/>
      </c>
      <c r="B832" s="38"/>
      <c r="C832" s="34"/>
      <c r="D832" s="180" t="s">
        <v>4</v>
      </c>
      <c r="E832" s="32" t="str">
        <f>IF(A832="","",IF(COUNTIF('Asset Detail'!A:A,A832)&gt;0,"✓ Found","✗ Not Found"))</f>
        <v/>
      </c>
      <c r="F832" s="31" t="str" cm="1">
        <f t="array" ref="F832">IF(A832="","",IFERROR(INDEX('Asset Detail'!C:C,_xlfn.XMATCH(A832,'Asset Detail'!A:A,3)),"—"))</f>
        <v/>
      </c>
      <c r="G832" s="32" t="str" cm="1">
        <f t="array" ref="G832">IF(A832="","",IFERROR(INDEX('Asset Detail'!E:E,_xlfn.XMATCH(A832,'Asset Detail'!A:A,3)),"—"))</f>
        <v/>
      </c>
      <c r="H832" s="34"/>
      <c r="I832" s="39"/>
    </row>
    <row r="833" spans="1:9" x14ac:dyDescent="0.25">
      <c r="A833" s="23" t="str">
        <f t="shared" si="12"/>
        <v/>
      </c>
      <c r="B833" s="38"/>
      <c r="C833" s="34"/>
      <c r="D833" s="180" t="s">
        <v>4</v>
      </c>
      <c r="E833" s="32" t="str">
        <f>IF(A833="","",IF(COUNTIF('Asset Detail'!A:A,A833)&gt;0,"✓ Found","✗ Not Found"))</f>
        <v/>
      </c>
      <c r="F833" s="31" t="str" cm="1">
        <f t="array" ref="F833">IF(A833="","",IFERROR(INDEX('Asset Detail'!C:C,_xlfn.XMATCH(A833,'Asset Detail'!A:A,3)),"—"))</f>
        <v/>
      </c>
      <c r="G833" s="32" t="str" cm="1">
        <f t="array" ref="G833">IF(A833="","",IFERROR(INDEX('Asset Detail'!E:E,_xlfn.XMATCH(A833,'Asset Detail'!A:A,3)),"—"))</f>
        <v/>
      </c>
      <c r="H833" s="34"/>
      <c r="I833" s="39"/>
    </row>
    <row r="834" spans="1:9" x14ac:dyDescent="0.25">
      <c r="A834" s="23" t="str">
        <f t="shared" si="12"/>
        <v/>
      </c>
      <c r="B834" s="38"/>
      <c r="C834" s="34"/>
      <c r="D834" s="180" t="s">
        <v>4</v>
      </c>
      <c r="E834" s="32" t="str">
        <f>IF(A834="","",IF(COUNTIF('Asset Detail'!A:A,A834)&gt;0,"✓ Found","✗ Not Found"))</f>
        <v/>
      </c>
      <c r="F834" s="31" t="str" cm="1">
        <f t="array" ref="F834">IF(A834="","",IFERROR(INDEX('Asset Detail'!C:C,_xlfn.XMATCH(A834,'Asset Detail'!A:A,3)),"—"))</f>
        <v/>
      </c>
      <c r="G834" s="32" t="str" cm="1">
        <f t="array" ref="G834">IF(A834="","",IFERROR(INDEX('Asset Detail'!E:E,_xlfn.XMATCH(A834,'Asset Detail'!A:A,3)),"—"))</f>
        <v/>
      </c>
      <c r="H834" s="34"/>
      <c r="I834" s="39"/>
    </row>
    <row r="835" spans="1:9" x14ac:dyDescent="0.25">
      <c r="A835" s="23" t="str">
        <f t="shared" si="12"/>
        <v/>
      </c>
      <c r="B835" s="38"/>
      <c r="C835" s="34"/>
      <c r="D835" s="180" t="s">
        <v>4</v>
      </c>
      <c r="E835" s="32" t="str">
        <f>IF(A835="","",IF(COUNTIF('Asset Detail'!A:A,A835)&gt;0,"✓ Found","✗ Not Found"))</f>
        <v/>
      </c>
      <c r="F835" s="31" t="str" cm="1">
        <f t="array" ref="F835">IF(A835="","",IFERROR(INDEX('Asset Detail'!C:C,_xlfn.XMATCH(A835,'Asset Detail'!A:A,3)),"—"))</f>
        <v/>
      </c>
      <c r="G835" s="32" t="str" cm="1">
        <f t="array" ref="G835">IF(A835="","",IFERROR(INDEX('Asset Detail'!E:E,_xlfn.XMATCH(A835,'Asset Detail'!A:A,3)),"—"))</f>
        <v/>
      </c>
      <c r="H835" s="34"/>
      <c r="I835" s="39"/>
    </row>
    <row r="836" spans="1:9" x14ac:dyDescent="0.25">
      <c r="A836" s="23" t="str">
        <f t="shared" si="12"/>
        <v/>
      </c>
      <c r="B836" s="38"/>
      <c r="C836" s="34"/>
      <c r="D836" s="180" t="s">
        <v>4</v>
      </c>
      <c r="E836" s="32" t="str">
        <f>IF(A836="","",IF(COUNTIF('Asset Detail'!A:A,A836)&gt;0,"✓ Found","✗ Not Found"))</f>
        <v/>
      </c>
      <c r="F836" s="31" t="str" cm="1">
        <f t="array" ref="F836">IF(A836="","",IFERROR(INDEX('Asset Detail'!C:C,_xlfn.XMATCH(A836,'Asset Detail'!A:A,3)),"—"))</f>
        <v/>
      </c>
      <c r="G836" s="32" t="str" cm="1">
        <f t="array" ref="G836">IF(A836="","",IFERROR(INDEX('Asset Detail'!E:E,_xlfn.XMATCH(A836,'Asset Detail'!A:A,3)),"—"))</f>
        <v/>
      </c>
      <c r="H836" s="34"/>
      <c r="I836" s="39"/>
    </row>
    <row r="837" spans="1:9" x14ac:dyDescent="0.25">
      <c r="A837" s="23" t="str">
        <f t="shared" si="12"/>
        <v/>
      </c>
      <c r="B837" s="38"/>
      <c r="C837" s="34"/>
      <c r="D837" s="180" t="s">
        <v>4</v>
      </c>
      <c r="E837" s="32" t="str">
        <f>IF(A837="","",IF(COUNTIF('Asset Detail'!A:A,A837)&gt;0,"✓ Found","✗ Not Found"))</f>
        <v/>
      </c>
      <c r="F837" s="31" t="str" cm="1">
        <f t="array" ref="F837">IF(A837="","",IFERROR(INDEX('Asset Detail'!C:C,_xlfn.XMATCH(A837,'Asset Detail'!A:A,3)),"—"))</f>
        <v/>
      </c>
      <c r="G837" s="32" t="str" cm="1">
        <f t="array" ref="G837">IF(A837="","",IFERROR(INDEX('Asset Detail'!E:E,_xlfn.XMATCH(A837,'Asset Detail'!A:A,3)),"—"))</f>
        <v/>
      </c>
      <c r="H837" s="34"/>
      <c r="I837" s="39"/>
    </row>
    <row r="838" spans="1:9" x14ac:dyDescent="0.25">
      <c r="A838" s="23" t="str">
        <f t="shared" si="12"/>
        <v/>
      </c>
      <c r="B838" s="38"/>
      <c r="C838" s="34"/>
      <c r="D838" s="180" t="s">
        <v>4</v>
      </c>
      <c r="E838" s="32" t="str">
        <f>IF(A838="","",IF(COUNTIF('Asset Detail'!A:A,A838)&gt;0,"✓ Found","✗ Not Found"))</f>
        <v/>
      </c>
      <c r="F838" s="31" t="str" cm="1">
        <f t="array" ref="F838">IF(A838="","",IFERROR(INDEX('Asset Detail'!C:C,_xlfn.XMATCH(A838,'Asset Detail'!A:A,3)),"—"))</f>
        <v/>
      </c>
      <c r="G838" s="32" t="str" cm="1">
        <f t="array" ref="G838">IF(A838="","",IFERROR(INDEX('Asset Detail'!E:E,_xlfn.XMATCH(A838,'Asset Detail'!A:A,3)),"—"))</f>
        <v/>
      </c>
      <c r="H838" s="34"/>
      <c r="I838" s="39"/>
    </row>
    <row r="839" spans="1:9" x14ac:dyDescent="0.25">
      <c r="A839" s="23" t="str">
        <f t="shared" si="12"/>
        <v/>
      </c>
      <c r="B839" s="38"/>
      <c r="C839" s="34"/>
      <c r="D839" s="180" t="s">
        <v>4</v>
      </c>
      <c r="E839" s="32" t="str">
        <f>IF(A839="","",IF(COUNTIF('Asset Detail'!A:A,A839)&gt;0,"✓ Found","✗ Not Found"))</f>
        <v/>
      </c>
      <c r="F839" s="31" t="str" cm="1">
        <f t="array" ref="F839">IF(A839="","",IFERROR(INDEX('Asset Detail'!C:C,_xlfn.XMATCH(A839,'Asset Detail'!A:A,3)),"—"))</f>
        <v/>
      </c>
      <c r="G839" s="32" t="str" cm="1">
        <f t="array" ref="G839">IF(A839="","",IFERROR(INDEX('Asset Detail'!E:E,_xlfn.XMATCH(A839,'Asset Detail'!A:A,3)),"—"))</f>
        <v/>
      </c>
      <c r="H839" s="34"/>
      <c r="I839" s="39"/>
    </row>
    <row r="840" spans="1:9" x14ac:dyDescent="0.25">
      <c r="A840" s="23" t="str">
        <f t="shared" ref="A840:A903" si="13">SUBSTITUTE(I840, "S", "")</f>
        <v/>
      </c>
      <c r="B840" s="38"/>
      <c r="C840" s="34"/>
      <c r="D840" s="180" t="s">
        <v>4</v>
      </c>
      <c r="E840" s="32" t="str">
        <f>IF(A840="","",IF(COUNTIF('Asset Detail'!A:A,A840)&gt;0,"✓ Found","✗ Not Found"))</f>
        <v/>
      </c>
      <c r="F840" s="31" t="str" cm="1">
        <f t="array" ref="F840">IF(A840="","",IFERROR(INDEX('Asset Detail'!C:C,_xlfn.XMATCH(A840,'Asset Detail'!A:A,3)),"—"))</f>
        <v/>
      </c>
      <c r="G840" s="32" t="str" cm="1">
        <f t="array" ref="G840">IF(A840="","",IFERROR(INDEX('Asset Detail'!E:E,_xlfn.XMATCH(A840,'Asset Detail'!A:A,3)),"—"))</f>
        <v/>
      </c>
      <c r="H840" s="34"/>
      <c r="I840" s="39"/>
    </row>
    <row r="841" spans="1:9" x14ac:dyDescent="0.25">
      <c r="A841" s="23" t="str">
        <f t="shared" si="13"/>
        <v/>
      </c>
      <c r="B841" s="38"/>
      <c r="C841" s="34"/>
      <c r="D841" s="180" t="s">
        <v>4</v>
      </c>
      <c r="E841" s="32" t="str">
        <f>IF(A841="","",IF(COUNTIF('Asset Detail'!A:A,A841)&gt;0,"✓ Found","✗ Not Found"))</f>
        <v/>
      </c>
      <c r="F841" s="31" t="str" cm="1">
        <f t="array" ref="F841">IF(A841="","",IFERROR(INDEX('Asset Detail'!C:C,_xlfn.XMATCH(A841,'Asset Detail'!A:A,3)),"—"))</f>
        <v/>
      </c>
      <c r="G841" s="32" t="str" cm="1">
        <f t="array" ref="G841">IF(A841="","",IFERROR(INDEX('Asset Detail'!E:E,_xlfn.XMATCH(A841,'Asset Detail'!A:A,3)),"—"))</f>
        <v/>
      </c>
      <c r="H841" s="34"/>
      <c r="I841" s="39"/>
    </row>
    <row r="842" spans="1:9" x14ac:dyDescent="0.25">
      <c r="A842" s="23" t="str">
        <f t="shared" si="13"/>
        <v/>
      </c>
      <c r="B842" s="38"/>
      <c r="C842" s="34"/>
      <c r="D842" s="180" t="s">
        <v>4</v>
      </c>
      <c r="E842" s="32" t="str">
        <f>IF(A842="","",IF(COUNTIF('Asset Detail'!A:A,A842)&gt;0,"✓ Found","✗ Not Found"))</f>
        <v/>
      </c>
      <c r="F842" s="31" t="str" cm="1">
        <f t="array" ref="F842">IF(A842="","",IFERROR(INDEX('Asset Detail'!C:C,_xlfn.XMATCH(A842,'Asset Detail'!A:A,3)),"—"))</f>
        <v/>
      </c>
      <c r="G842" s="32" t="str" cm="1">
        <f t="array" ref="G842">IF(A842="","",IFERROR(INDEX('Asset Detail'!E:E,_xlfn.XMATCH(A842,'Asset Detail'!A:A,3)),"—"))</f>
        <v/>
      </c>
      <c r="H842" s="34"/>
      <c r="I842" s="39"/>
    </row>
    <row r="843" spans="1:9" x14ac:dyDescent="0.25">
      <c r="A843" s="23" t="str">
        <f t="shared" si="13"/>
        <v/>
      </c>
      <c r="B843" s="38"/>
      <c r="C843" s="34"/>
      <c r="D843" s="180" t="s">
        <v>4</v>
      </c>
      <c r="E843" s="32" t="str">
        <f>IF(A843="","",IF(COUNTIF('Asset Detail'!A:A,A843)&gt;0,"✓ Found","✗ Not Found"))</f>
        <v/>
      </c>
      <c r="F843" s="31" t="str" cm="1">
        <f t="array" ref="F843">IF(A843="","",IFERROR(INDEX('Asset Detail'!C:C,_xlfn.XMATCH(A843,'Asset Detail'!A:A,3)),"—"))</f>
        <v/>
      </c>
      <c r="G843" s="32" t="str" cm="1">
        <f t="array" ref="G843">IF(A843="","",IFERROR(INDEX('Asset Detail'!E:E,_xlfn.XMATCH(A843,'Asset Detail'!A:A,3)),"—"))</f>
        <v/>
      </c>
      <c r="H843" s="34"/>
      <c r="I843" s="39"/>
    </row>
    <row r="844" spans="1:9" x14ac:dyDescent="0.25">
      <c r="A844" s="23" t="str">
        <f t="shared" si="13"/>
        <v/>
      </c>
      <c r="B844" s="38"/>
      <c r="C844" s="34"/>
      <c r="D844" s="180" t="s">
        <v>4</v>
      </c>
      <c r="E844" s="32" t="str">
        <f>IF(A844="","",IF(COUNTIF('Asset Detail'!A:A,A844)&gt;0,"✓ Found","✗ Not Found"))</f>
        <v/>
      </c>
      <c r="F844" s="31" t="str" cm="1">
        <f t="array" ref="F844">IF(A844="","",IFERROR(INDEX('Asset Detail'!C:C,_xlfn.XMATCH(A844,'Asset Detail'!A:A,3)),"—"))</f>
        <v/>
      </c>
      <c r="G844" s="32" t="str" cm="1">
        <f t="array" ref="G844">IF(A844="","",IFERROR(INDEX('Asset Detail'!E:E,_xlfn.XMATCH(A844,'Asset Detail'!A:A,3)),"—"))</f>
        <v/>
      </c>
      <c r="H844" s="34"/>
      <c r="I844" s="39"/>
    </row>
    <row r="845" spans="1:9" x14ac:dyDescent="0.25">
      <c r="A845" s="23" t="str">
        <f t="shared" si="13"/>
        <v/>
      </c>
      <c r="B845" s="38"/>
      <c r="C845" s="34"/>
      <c r="D845" s="180" t="s">
        <v>4</v>
      </c>
      <c r="E845" s="32" t="str">
        <f>IF(A845="","",IF(COUNTIF('Asset Detail'!A:A,A845)&gt;0,"✓ Found","✗ Not Found"))</f>
        <v/>
      </c>
      <c r="F845" s="31" t="str" cm="1">
        <f t="array" ref="F845">IF(A845="","",IFERROR(INDEX('Asset Detail'!C:C,_xlfn.XMATCH(A845,'Asset Detail'!A:A,3)),"—"))</f>
        <v/>
      </c>
      <c r="G845" s="32" t="str" cm="1">
        <f t="array" ref="G845">IF(A845="","",IFERROR(INDEX('Asset Detail'!E:E,_xlfn.XMATCH(A845,'Asset Detail'!A:A,3)),"—"))</f>
        <v/>
      </c>
      <c r="H845" s="34"/>
      <c r="I845" s="39"/>
    </row>
    <row r="846" spans="1:9" x14ac:dyDescent="0.25">
      <c r="A846" s="23" t="str">
        <f t="shared" si="13"/>
        <v/>
      </c>
      <c r="B846" s="38"/>
      <c r="C846" s="34"/>
      <c r="D846" s="180" t="s">
        <v>4</v>
      </c>
      <c r="E846" s="32" t="str">
        <f>IF(A846="","",IF(COUNTIF('Asset Detail'!A:A,A846)&gt;0,"✓ Found","✗ Not Found"))</f>
        <v/>
      </c>
      <c r="F846" s="31" t="str" cm="1">
        <f t="array" ref="F846">IF(A846="","",IFERROR(INDEX('Asset Detail'!C:C,_xlfn.XMATCH(A846,'Asset Detail'!A:A,3)),"—"))</f>
        <v/>
      </c>
      <c r="G846" s="32" t="str" cm="1">
        <f t="array" ref="G846">IF(A846="","",IFERROR(INDEX('Asset Detail'!E:E,_xlfn.XMATCH(A846,'Asset Detail'!A:A,3)),"—"))</f>
        <v/>
      </c>
      <c r="H846" s="34"/>
      <c r="I846" s="39"/>
    </row>
    <row r="847" spans="1:9" x14ac:dyDescent="0.25">
      <c r="A847" s="23" t="str">
        <f t="shared" si="13"/>
        <v/>
      </c>
      <c r="B847" s="38"/>
      <c r="C847" s="34"/>
      <c r="D847" s="180" t="s">
        <v>4</v>
      </c>
      <c r="E847" s="32" t="str">
        <f>IF(A847="","",IF(COUNTIF('Asset Detail'!A:A,A847)&gt;0,"✓ Found","✗ Not Found"))</f>
        <v/>
      </c>
      <c r="F847" s="31" t="str" cm="1">
        <f t="array" ref="F847">IF(A847="","",IFERROR(INDEX('Asset Detail'!C:C,_xlfn.XMATCH(A847,'Asset Detail'!A:A,3)),"—"))</f>
        <v/>
      </c>
      <c r="G847" s="32" t="str" cm="1">
        <f t="array" ref="G847">IF(A847="","",IFERROR(INDEX('Asset Detail'!E:E,_xlfn.XMATCH(A847,'Asset Detail'!A:A,3)),"—"))</f>
        <v/>
      </c>
      <c r="H847" s="34"/>
      <c r="I847" s="39"/>
    </row>
    <row r="848" spans="1:9" x14ac:dyDescent="0.25">
      <c r="A848" s="23" t="str">
        <f t="shared" si="13"/>
        <v/>
      </c>
      <c r="B848" s="38"/>
      <c r="C848" s="34"/>
      <c r="D848" s="180" t="s">
        <v>4</v>
      </c>
      <c r="E848" s="32" t="str">
        <f>IF(A848="","",IF(COUNTIF('Asset Detail'!A:A,A848)&gt;0,"✓ Found","✗ Not Found"))</f>
        <v/>
      </c>
      <c r="F848" s="31" t="str" cm="1">
        <f t="array" ref="F848">IF(A848="","",IFERROR(INDEX('Asset Detail'!C:C,_xlfn.XMATCH(A848,'Asset Detail'!A:A,3)),"—"))</f>
        <v/>
      </c>
      <c r="G848" s="32" t="str" cm="1">
        <f t="array" ref="G848">IF(A848="","",IFERROR(INDEX('Asset Detail'!E:E,_xlfn.XMATCH(A848,'Asset Detail'!A:A,3)),"—"))</f>
        <v/>
      </c>
      <c r="H848" s="34"/>
      <c r="I848" s="39"/>
    </row>
    <row r="849" spans="1:9" x14ac:dyDescent="0.25">
      <c r="A849" s="23" t="str">
        <f t="shared" si="13"/>
        <v/>
      </c>
      <c r="B849" s="38"/>
      <c r="C849" s="34"/>
      <c r="D849" s="180" t="s">
        <v>4</v>
      </c>
      <c r="E849" s="32" t="str">
        <f>IF(A849="","",IF(COUNTIF('Asset Detail'!A:A,A849)&gt;0,"✓ Found","✗ Not Found"))</f>
        <v/>
      </c>
      <c r="F849" s="31" t="str" cm="1">
        <f t="array" ref="F849">IF(A849="","",IFERROR(INDEX('Asset Detail'!C:C,_xlfn.XMATCH(A849,'Asset Detail'!A:A,3)),"—"))</f>
        <v/>
      </c>
      <c r="G849" s="32" t="str" cm="1">
        <f t="array" ref="G849">IF(A849="","",IFERROR(INDEX('Asset Detail'!E:E,_xlfn.XMATCH(A849,'Asset Detail'!A:A,3)),"—"))</f>
        <v/>
      </c>
      <c r="H849" s="34"/>
      <c r="I849" s="39"/>
    </row>
    <row r="850" spans="1:9" x14ac:dyDescent="0.25">
      <c r="A850" s="23" t="str">
        <f t="shared" si="13"/>
        <v/>
      </c>
      <c r="B850" s="38"/>
      <c r="C850" s="34"/>
      <c r="D850" s="180" t="s">
        <v>4</v>
      </c>
      <c r="E850" s="32" t="str">
        <f>IF(A850="","",IF(COUNTIF('Asset Detail'!A:A,A850)&gt;0,"✓ Found","✗ Not Found"))</f>
        <v/>
      </c>
      <c r="F850" s="31" t="str" cm="1">
        <f t="array" ref="F850">IF(A850="","",IFERROR(INDEX('Asset Detail'!C:C,_xlfn.XMATCH(A850,'Asset Detail'!A:A,3)),"—"))</f>
        <v/>
      </c>
      <c r="G850" s="32" t="str" cm="1">
        <f t="array" ref="G850">IF(A850="","",IFERROR(INDEX('Asset Detail'!E:E,_xlfn.XMATCH(A850,'Asset Detail'!A:A,3)),"—"))</f>
        <v/>
      </c>
      <c r="H850" s="34"/>
      <c r="I850" s="39"/>
    </row>
    <row r="851" spans="1:9" x14ac:dyDescent="0.25">
      <c r="A851" s="23" t="str">
        <f t="shared" si="13"/>
        <v/>
      </c>
      <c r="B851" s="38"/>
      <c r="C851" s="34"/>
      <c r="D851" s="180" t="s">
        <v>4</v>
      </c>
      <c r="E851" s="32" t="str">
        <f>IF(A851="","",IF(COUNTIF('Asset Detail'!A:A,A851)&gt;0,"✓ Found","✗ Not Found"))</f>
        <v/>
      </c>
      <c r="F851" s="31" t="str" cm="1">
        <f t="array" ref="F851">IF(A851="","",IFERROR(INDEX('Asset Detail'!C:C,_xlfn.XMATCH(A851,'Asset Detail'!A:A,3)),"—"))</f>
        <v/>
      </c>
      <c r="G851" s="32" t="str" cm="1">
        <f t="array" ref="G851">IF(A851="","",IFERROR(INDEX('Asset Detail'!E:E,_xlfn.XMATCH(A851,'Asset Detail'!A:A,3)),"—"))</f>
        <v/>
      </c>
      <c r="H851" s="34"/>
      <c r="I851" s="39"/>
    </row>
    <row r="852" spans="1:9" x14ac:dyDescent="0.25">
      <c r="A852" s="23" t="str">
        <f t="shared" si="13"/>
        <v/>
      </c>
      <c r="B852" s="38"/>
      <c r="C852" s="34"/>
      <c r="D852" s="180" t="s">
        <v>4</v>
      </c>
      <c r="E852" s="32" t="str">
        <f>IF(A852="","",IF(COUNTIF('Asset Detail'!A:A,A852)&gt;0,"✓ Found","✗ Not Found"))</f>
        <v/>
      </c>
      <c r="F852" s="31" t="str" cm="1">
        <f t="array" ref="F852">IF(A852="","",IFERROR(INDEX('Asset Detail'!C:C,_xlfn.XMATCH(A852,'Asset Detail'!A:A,3)),"—"))</f>
        <v/>
      </c>
      <c r="G852" s="32" t="str" cm="1">
        <f t="array" ref="G852">IF(A852="","",IFERROR(INDEX('Asset Detail'!E:E,_xlfn.XMATCH(A852,'Asset Detail'!A:A,3)),"—"))</f>
        <v/>
      </c>
      <c r="H852" s="34"/>
      <c r="I852" s="39"/>
    </row>
    <row r="853" spans="1:9" x14ac:dyDescent="0.25">
      <c r="A853" s="23" t="str">
        <f t="shared" si="13"/>
        <v/>
      </c>
      <c r="B853" s="38"/>
      <c r="C853" s="34"/>
      <c r="D853" s="180" t="s">
        <v>4</v>
      </c>
      <c r="E853" s="32" t="str">
        <f>IF(A853="","",IF(COUNTIF('Asset Detail'!A:A,A853)&gt;0,"✓ Found","✗ Not Found"))</f>
        <v/>
      </c>
      <c r="F853" s="31" t="str" cm="1">
        <f t="array" ref="F853">IF(A853="","",IFERROR(INDEX('Asset Detail'!C:C,_xlfn.XMATCH(A853,'Asset Detail'!A:A,3)),"—"))</f>
        <v/>
      </c>
      <c r="G853" s="32" t="str" cm="1">
        <f t="array" ref="G853">IF(A853="","",IFERROR(INDEX('Asset Detail'!E:E,_xlfn.XMATCH(A853,'Asset Detail'!A:A,3)),"—"))</f>
        <v/>
      </c>
      <c r="H853" s="34"/>
      <c r="I853" s="39"/>
    </row>
    <row r="854" spans="1:9" x14ac:dyDescent="0.25">
      <c r="A854" s="23" t="str">
        <f t="shared" si="13"/>
        <v/>
      </c>
      <c r="B854" s="38"/>
      <c r="C854" s="34"/>
      <c r="D854" s="180" t="s">
        <v>4</v>
      </c>
      <c r="E854" s="32" t="str">
        <f>IF(A854="","",IF(COUNTIF('Asset Detail'!A:A,A854)&gt;0,"✓ Found","✗ Not Found"))</f>
        <v/>
      </c>
      <c r="F854" s="31" t="str" cm="1">
        <f t="array" ref="F854">IF(A854="","",IFERROR(INDEX('Asset Detail'!C:C,_xlfn.XMATCH(A854,'Asset Detail'!A:A,3)),"—"))</f>
        <v/>
      </c>
      <c r="G854" s="32" t="str" cm="1">
        <f t="array" ref="G854">IF(A854="","",IFERROR(INDEX('Asset Detail'!E:E,_xlfn.XMATCH(A854,'Asset Detail'!A:A,3)),"—"))</f>
        <v/>
      </c>
      <c r="H854" s="34"/>
      <c r="I854" s="39"/>
    </row>
    <row r="855" spans="1:9" x14ac:dyDescent="0.25">
      <c r="A855" s="23" t="str">
        <f t="shared" si="13"/>
        <v/>
      </c>
      <c r="B855" s="38"/>
      <c r="C855" s="34"/>
      <c r="D855" s="180" t="s">
        <v>4</v>
      </c>
      <c r="E855" s="32" t="str">
        <f>IF(A855="","",IF(COUNTIF('Asset Detail'!A:A,A855)&gt;0,"✓ Found","✗ Not Found"))</f>
        <v/>
      </c>
      <c r="F855" s="31" t="str" cm="1">
        <f t="array" ref="F855">IF(A855="","",IFERROR(INDEX('Asset Detail'!C:C,_xlfn.XMATCH(A855,'Asset Detail'!A:A,3)),"—"))</f>
        <v/>
      </c>
      <c r="G855" s="32" t="str" cm="1">
        <f t="array" ref="G855">IF(A855="","",IFERROR(INDEX('Asset Detail'!E:E,_xlfn.XMATCH(A855,'Asset Detail'!A:A,3)),"—"))</f>
        <v/>
      </c>
      <c r="H855" s="34"/>
      <c r="I855" s="39"/>
    </row>
    <row r="856" spans="1:9" x14ac:dyDescent="0.25">
      <c r="A856" s="23" t="str">
        <f t="shared" si="13"/>
        <v/>
      </c>
      <c r="B856" s="38"/>
      <c r="C856" s="34"/>
      <c r="D856" s="180" t="s">
        <v>4</v>
      </c>
      <c r="E856" s="32" t="str">
        <f>IF(A856="","",IF(COUNTIF('Asset Detail'!A:A,A856)&gt;0,"✓ Found","✗ Not Found"))</f>
        <v/>
      </c>
      <c r="F856" s="31" t="str" cm="1">
        <f t="array" ref="F856">IF(A856="","",IFERROR(INDEX('Asset Detail'!C:C,_xlfn.XMATCH(A856,'Asset Detail'!A:A,3)),"—"))</f>
        <v/>
      </c>
      <c r="G856" s="32" t="str" cm="1">
        <f t="array" ref="G856">IF(A856="","",IFERROR(INDEX('Asset Detail'!E:E,_xlfn.XMATCH(A856,'Asset Detail'!A:A,3)),"—"))</f>
        <v/>
      </c>
      <c r="H856" s="34"/>
      <c r="I856" s="39"/>
    </row>
    <row r="857" spans="1:9" x14ac:dyDescent="0.25">
      <c r="A857" s="23" t="str">
        <f t="shared" si="13"/>
        <v/>
      </c>
      <c r="B857" s="38"/>
      <c r="C857" s="34"/>
      <c r="D857" s="180" t="s">
        <v>4</v>
      </c>
      <c r="E857" s="32" t="str">
        <f>IF(A857="","",IF(COUNTIF('Asset Detail'!A:A,A857)&gt;0,"✓ Found","✗ Not Found"))</f>
        <v/>
      </c>
      <c r="F857" s="31" t="str" cm="1">
        <f t="array" ref="F857">IF(A857="","",IFERROR(INDEX('Asset Detail'!C:C,_xlfn.XMATCH(A857,'Asset Detail'!A:A,3)),"—"))</f>
        <v/>
      </c>
      <c r="G857" s="32" t="str" cm="1">
        <f t="array" ref="G857">IF(A857="","",IFERROR(INDEX('Asset Detail'!E:E,_xlfn.XMATCH(A857,'Asset Detail'!A:A,3)),"—"))</f>
        <v/>
      </c>
      <c r="H857" s="34"/>
      <c r="I857" s="39"/>
    </row>
    <row r="858" spans="1:9" x14ac:dyDescent="0.25">
      <c r="A858" s="23" t="str">
        <f t="shared" si="13"/>
        <v/>
      </c>
      <c r="B858" s="38"/>
      <c r="C858" s="34"/>
      <c r="D858" s="180" t="s">
        <v>4</v>
      </c>
      <c r="E858" s="32" t="str">
        <f>IF(A858="","",IF(COUNTIF('Asset Detail'!A:A,A858)&gt;0,"✓ Found","✗ Not Found"))</f>
        <v/>
      </c>
      <c r="F858" s="31" t="str" cm="1">
        <f t="array" ref="F858">IF(A858="","",IFERROR(INDEX('Asset Detail'!C:C,_xlfn.XMATCH(A858,'Asset Detail'!A:A,3)),"—"))</f>
        <v/>
      </c>
      <c r="G858" s="32" t="str" cm="1">
        <f t="array" ref="G858">IF(A858="","",IFERROR(INDEX('Asset Detail'!E:E,_xlfn.XMATCH(A858,'Asset Detail'!A:A,3)),"—"))</f>
        <v/>
      </c>
      <c r="H858" s="34"/>
      <c r="I858" s="39"/>
    </row>
    <row r="859" spans="1:9" x14ac:dyDescent="0.25">
      <c r="A859" s="23" t="str">
        <f t="shared" si="13"/>
        <v/>
      </c>
      <c r="B859" s="38"/>
      <c r="C859" s="34"/>
      <c r="D859" s="180" t="s">
        <v>4</v>
      </c>
      <c r="E859" s="32" t="str">
        <f>IF(A859="","",IF(COUNTIF('Asset Detail'!A:A,A859)&gt;0,"✓ Found","✗ Not Found"))</f>
        <v/>
      </c>
      <c r="F859" s="31" t="str" cm="1">
        <f t="array" ref="F859">IF(A859="","",IFERROR(INDEX('Asset Detail'!C:C,_xlfn.XMATCH(A859,'Asset Detail'!A:A,3)),"—"))</f>
        <v/>
      </c>
      <c r="G859" s="32" t="str" cm="1">
        <f t="array" ref="G859">IF(A859="","",IFERROR(INDEX('Asset Detail'!E:E,_xlfn.XMATCH(A859,'Asset Detail'!A:A,3)),"—"))</f>
        <v/>
      </c>
      <c r="H859" s="34"/>
      <c r="I859" s="39"/>
    </row>
    <row r="860" spans="1:9" x14ac:dyDescent="0.25">
      <c r="A860" s="23" t="str">
        <f t="shared" si="13"/>
        <v/>
      </c>
      <c r="B860" s="38"/>
      <c r="C860" s="34"/>
      <c r="D860" s="180" t="s">
        <v>4</v>
      </c>
      <c r="E860" s="32" t="str">
        <f>IF(A860="","",IF(COUNTIF('Asset Detail'!A:A,A860)&gt;0,"✓ Found","✗ Not Found"))</f>
        <v/>
      </c>
      <c r="F860" s="31" t="str" cm="1">
        <f t="array" ref="F860">IF(A860="","",IFERROR(INDEX('Asset Detail'!C:C,_xlfn.XMATCH(A860,'Asset Detail'!A:A,3)),"—"))</f>
        <v/>
      </c>
      <c r="G860" s="32" t="str" cm="1">
        <f t="array" ref="G860">IF(A860="","",IFERROR(INDEX('Asset Detail'!E:E,_xlfn.XMATCH(A860,'Asset Detail'!A:A,3)),"—"))</f>
        <v/>
      </c>
      <c r="H860" s="34"/>
      <c r="I860" s="39"/>
    </row>
    <row r="861" spans="1:9" x14ac:dyDescent="0.25">
      <c r="A861" s="23" t="str">
        <f t="shared" si="13"/>
        <v/>
      </c>
      <c r="B861" s="38"/>
      <c r="C861" s="34"/>
      <c r="D861" s="180" t="s">
        <v>4</v>
      </c>
      <c r="E861" s="32" t="str">
        <f>IF(A861="","",IF(COUNTIF('Asset Detail'!A:A,A861)&gt;0,"✓ Found","✗ Not Found"))</f>
        <v/>
      </c>
      <c r="F861" s="31" t="str" cm="1">
        <f t="array" ref="F861">IF(A861="","",IFERROR(INDEX('Asset Detail'!C:C,_xlfn.XMATCH(A861,'Asset Detail'!A:A,3)),"—"))</f>
        <v/>
      </c>
      <c r="G861" s="32" t="str" cm="1">
        <f t="array" ref="G861">IF(A861="","",IFERROR(INDEX('Asset Detail'!E:E,_xlfn.XMATCH(A861,'Asset Detail'!A:A,3)),"—"))</f>
        <v/>
      </c>
      <c r="H861" s="34"/>
      <c r="I861" s="39"/>
    </row>
    <row r="862" spans="1:9" x14ac:dyDescent="0.25">
      <c r="A862" s="23" t="str">
        <f t="shared" si="13"/>
        <v/>
      </c>
      <c r="B862" s="38"/>
      <c r="C862" s="34"/>
      <c r="D862" s="180" t="s">
        <v>4</v>
      </c>
      <c r="E862" s="32" t="str">
        <f>IF(A862="","",IF(COUNTIF('Asset Detail'!A:A,A862)&gt;0,"✓ Found","✗ Not Found"))</f>
        <v/>
      </c>
      <c r="F862" s="31" t="str" cm="1">
        <f t="array" ref="F862">IF(A862="","",IFERROR(INDEX('Asset Detail'!C:C,_xlfn.XMATCH(A862,'Asset Detail'!A:A,3)),"—"))</f>
        <v/>
      </c>
      <c r="G862" s="32" t="str" cm="1">
        <f t="array" ref="G862">IF(A862="","",IFERROR(INDEX('Asset Detail'!E:E,_xlfn.XMATCH(A862,'Asset Detail'!A:A,3)),"—"))</f>
        <v/>
      </c>
      <c r="H862" s="34"/>
      <c r="I862" s="39"/>
    </row>
    <row r="863" spans="1:9" x14ac:dyDescent="0.25">
      <c r="A863" s="23" t="str">
        <f t="shared" si="13"/>
        <v/>
      </c>
      <c r="B863" s="38"/>
      <c r="C863" s="34"/>
      <c r="D863" s="180" t="s">
        <v>4</v>
      </c>
      <c r="E863" s="32" t="str">
        <f>IF(A863="","",IF(COUNTIF('Asset Detail'!A:A,A863)&gt;0,"✓ Found","✗ Not Found"))</f>
        <v/>
      </c>
      <c r="F863" s="31" t="str" cm="1">
        <f t="array" ref="F863">IF(A863="","",IFERROR(INDEX('Asset Detail'!C:C,_xlfn.XMATCH(A863,'Asset Detail'!A:A,3)),"—"))</f>
        <v/>
      </c>
      <c r="G863" s="32" t="str" cm="1">
        <f t="array" ref="G863">IF(A863="","",IFERROR(INDEX('Asset Detail'!E:E,_xlfn.XMATCH(A863,'Asset Detail'!A:A,3)),"—"))</f>
        <v/>
      </c>
      <c r="H863" s="34"/>
      <c r="I863" s="39"/>
    </row>
    <row r="864" spans="1:9" x14ac:dyDescent="0.25">
      <c r="A864" s="23" t="str">
        <f t="shared" si="13"/>
        <v/>
      </c>
      <c r="B864" s="38"/>
      <c r="C864" s="34"/>
      <c r="D864" s="180" t="s">
        <v>4</v>
      </c>
      <c r="E864" s="32" t="str">
        <f>IF(A864="","",IF(COUNTIF('Asset Detail'!A:A,A864)&gt;0,"✓ Found","✗ Not Found"))</f>
        <v/>
      </c>
      <c r="F864" s="31" t="str" cm="1">
        <f t="array" ref="F864">IF(A864="","",IFERROR(INDEX('Asset Detail'!C:C,_xlfn.XMATCH(A864,'Asset Detail'!A:A,3)),"—"))</f>
        <v/>
      </c>
      <c r="G864" s="32" t="str" cm="1">
        <f t="array" ref="G864">IF(A864="","",IFERROR(INDEX('Asset Detail'!E:E,_xlfn.XMATCH(A864,'Asset Detail'!A:A,3)),"—"))</f>
        <v/>
      </c>
      <c r="H864" s="34"/>
      <c r="I864" s="39"/>
    </row>
    <row r="865" spans="1:9" x14ac:dyDescent="0.25">
      <c r="A865" s="23" t="str">
        <f t="shared" si="13"/>
        <v/>
      </c>
      <c r="B865" s="38"/>
      <c r="C865" s="34"/>
      <c r="D865" s="180" t="s">
        <v>4</v>
      </c>
      <c r="E865" s="32" t="str">
        <f>IF(A865="","",IF(COUNTIF('Asset Detail'!A:A,A865)&gt;0,"✓ Found","✗ Not Found"))</f>
        <v/>
      </c>
      <c r="F865" s="31" t="str" cm="1">
        <f t="array" ref="F865">IF(A865="","",IFERROR(INDEX('Asset Detail'!C:C,_xlfn.XMATCH(A865,'Asset Detail'!A:A,3)),"—"))</f>
        <v/>
      </c>
      <c r="G865" s="32" t="str" cm="1">
        <f t="array" ref="G865">IF(A865="","",IFERROR(INDEX('Asset Detail'!E:E,_xlfn.XMATCH(A865,'Asset Detail'!A:A,3)),"—"))</f>
        <v/>
      </c>
      <c r="H865" s="34"/>
      <c r="I865" s="39"/>
    </row>
    <row r="866" spans="1:9" x14ac:dyDescent="0.25">
      <c r="A866" s="23" t="str">
        <f t="shared" si="13"/>
        <v/>
      </c>
      <c r="B866" s="38"/>
      <c r="C866" s="34"/>
      <c r="D866" s="180" t="s">
        <v>4</v>
      </c>
      <c r="E866" s="32" t="str">
        <f>IF(A866="","",IF(COUNTIF('Asset Detail'!A:A,A866)&gt;0,"✓ Found","✗ Not Found"))</f>
        <v/>
      </c>
      <c r="F866" s="31" t="str" cm="1">
        <f t="array" ref="F866">IF(A866="","",IFERROR(INDEX('Asset Detail'!C:C,_xlfn.XMATCH(A866,'Asset Detail'!A:A,3)),"—"))</f>
        <v/>
      </c>
      <c r="G866" s="32" t="str" cm="1">
        <f t="array" ref="G866">IF(A866="","",IFERROR(INDEX('Asset Detail'!E:E,_xlfn.XMATCH(A866,'Asset Detail'!A:A,3)),"—"))</f>
        <v/>
      </c>
      <c r="H866" s="34"/>
      <c r="I866" s="39"/>
    </row>
    <row r="867" spans="1:9" x14ac:dyDescent="0.25">
      <c r="A867" s="23" t="str">
        <f t="shared" si="13"/>
        <v/>
      </c>
      <c r="B867" s="38"/>
      <c r="C867" s="34"/>
      <c r="D867" s="180" t="s">
        <v>4</v>
      </c>
      <c r="E867" s="32" t="str">
        <f>IF(A867="","",IF(COUNTIF('Asset Detail'!A:A,A867)&gt;0,"✓ Found","✗ Not Found"))</f>
        <v/>
      </c>
      <c r="F867" s="31" t="str" cm="1">
        <f t="array" ref="F867">IF(A867="","",IFERROR(INDEX('Asset Detail'!C:C,_xlfn.XMATCH(A867,'Asset Detail'!A:A,3)),"—"))</f>
        <v/>
      </c>
      <c r="G867" s="32" t="str" cm="1">
        <f t="array" ref="G867">IF(A867="","",IFERROR(INDEX('Asset Detail'!E:E,_xlfn.XMATCH(A867,'Asset Detail'!A:A,3)),"—"))</f>
        <v/>
      </c>
      <c r="H867" s="34"/>
      <c r="I867" s="39"/>
    </row>
    <row r="868" spans="1:9" x14ac:dyDescent="0.25">
      <c r="A868" s="23" t="str">
        <f t="shared" si="13"/>
        <v/>
      </c>
      <c r="B868" s="38"/>
      <c r="C868" s="34"/>
      <c r="D868" s="180" t="s">
        <v>4</v>
      </c>
      <c r="E868" s="32" t="str">
        <f>IF(A868="","",IF(COUNTIF('Asset Detail'!A:A,A868)&gt;0,"✓ Found","✗ Not Found"))</f>
        <v/>
      </c>
      <c r="F868" s="31" t="str" cm="1">
        <f t="array" ref="F868">IF(A868="","",IFERROR(INDEX('Asset Detail'!C:C,_xlfn.XMATCH(A868,'Asset Detail'!A:A,3)),"—"))</f>
        <v/>
      </c>
      <c r="G868" s="32" t="str" cm="1">
        <f t="array" ref="G868">IF(A868="","",IFERROR(INDEX('Asset Detail'!E:E,_xlfn.XMATCH(A868,'Asset Detail'!A:A,3)),"—"))</f>
        <v/>
      </c>
      <c r="H868" s="34"/>
      <c r="I868" s="39"/>
    </row>
    <row r="869" spans="1:9" x14ac:dyDescent="0.25">
      <c r="A869" s="23" t="str">
        <f t="shared" si="13"/>
        <v/>
      </c>
      <c r="B869" s="38"/>
      <c r="C869" s="34"/>
      <c r="D869" s="180" t="s">
        <v>4</v>
      </c>
      <c r="E869" s="32" t="str">
        <f>IF(A869="","",IF(COUNTIF('Asset Detail'!A:A,A869)&gt;0,"✓ Found","✗ Not Found"))</f>
        <v/>
      </c>
      <c r="F869" s="31" t="str" cm="1">
        <f t="array" ref="F869">IF(A869="","",IFERROR(INDEX('Asset Detail'!C:C,_xlfn.XMATCH(A869,'Asset Detail'!A:A,3)),"—"))</f>
        <v/>
      </c>
      <c r="G869" s="32" t="str" cm="1">
        <f t="array" ref="G869">IF(A869="","",IFERROR(INDEX('Asset Detail'!E:E,_xlfn.XMATCH(A869,'Asset Detail'!A:A,3)),"—"))</f>
        <v/>
      </c>
      <c r="H869" s="34"/>
      <c r="I869" s="39"/>
    </row>
    <row r="870" spans="1:9" x14ac:dyDescent="0.25">
      <c r="A870" s="23" t="str">
        <f t="shared" si="13"/>
        <v/>
      </c>
      <c r="B870" s="38"/>
      <c r="C870" s="34"/>
      <c r="D870" s="180" t="s">
        <v>4</v>
      </c>
      <c r="E870" s="32" t="str">
        <f>IF(A870="","",IF(COUNTIF('Asset Detail'!A:A,A870)&gt;0,"✓ Found","✗ Not Found"))</f>
        <v/>
      </c>
      <c r="F870" s="31" t="str" cm="1">
        <f t="array" ref="F870">IF(A870="","",IFERROR(INDEX('Asset Detail'!C:C,_xlfn.XMATCH(A870,'Asset Detail'!A:A,3)),"—"))</f>
        <v/>
      </c>
      <c r="G870" s="32" t="str" cm="1">
        <f t="array" ref="G870">IF(A870="","",IFERROR(INDEX('Asset Detail'!E:E,_xlfn.XMATCH(A870,'Asset Detail'!A:A,3)),"—"))</f>
        <v/>
      </c>
      <c r="H870" s="34"/>
      <c r="I870" s="39"/>
    </row>
    <row r="871" spans="1:9" x14ac:dyDescent="0.25">
      <c r="A871" s="23" t="str">
        <f t="shared" si="13"/>
        <v/>
      </c>
      <c r="B871" s="38"/>
      <c r="C871" s="34"/>
      <c r="D871" s="180" t="s">
        <v>4</v>
      </c>
      <c r="E871" s="32" t="str">
        <f>IF(A871="","",IF(COUNTIF('Asset Detail'!A:A,A871)&gt;0,"✓ Found","✗ Not Found"))</f>
        <v/>
      </c>
      <c r="F871" s="31" t="str" cm="1">
        <f t="array" ref="F871">IF(A871="","",IFERROR(INDEX('Asset Detail'!C:C,_xlfn.XMATCH(A871,'Asset Detail'!A:A,3)),"—"))</f>
        <v/>
      </c>
      <c r="G871" s="32" t="str" cm="1">
        <f t="array" ref="G871">IF(A871="","",IFERROR(INDEX('Asset Detail'!E:E,_xlfn.XMATCH(A871,'Asset Detail'!A:A,3)),"—"))</f>
        <v/>
      </c>
      <c r="H871" s="34"/>
      <c r="I871" s="39"/>
    </row>
    <row r="872" spans="1:9" x14ac:dyDescent="0.25">
      <c r="A872" s="23" t="str">
        <f t="shared" si="13"/>
        <v/>
      </c>
      <c r="B872" s="38"/>
      <c r="C872" s="34"/>
      <c r="D872" s="180" t="s">
        <v>4</v>
      </c>
      <c r="E872" s="32" t="str">
        <f>IF(A872="","",IF(COUNTIF('Asset Detail'!A:A,A872)&gt;0,"✓ Found","✗ Not Found"))</f>
        <v/>
      </c>
      <c r="F872" s="31" t="str" cm="1">
        <f t="array" ref="F872">IF(A872="","",IFERROR(INDEX('Asset Detail'!C:C,_xlfn.XMATCH(A872,'Asset Detail'!A:A,3)),"—"))</f>
        <v/>
      </c>
      <c r="G872" s="32" t="str" cm="1">
        <f t="array" ref="G872">IF(A872="","",IFERROR(INDEX('Asset Detail'!E:E,_xlfn.XMATCH(A872,'Asset Detail'!A:A,3)),"—"))</f>
        <v/>
      </c>
      <c r="H872" s="34"/>
      <c r="I872" s="39"/>
    </row>
    <row r="873" spans="1:9" x14ac:dyDescent="0.25">
      <c r="A873" s="23" t="str">
        <f t="shared" si="13"/>
        <v/>
      </c>
      <c r="B873" s="38"/>
      <c r="C873" s="34"/>
      <c r="D873" s="180" t="s">
        <v>4</v>
      </c>
      <c r="E873" s="32" t="str">
        <f>IF(A873="","",IF(COUNTIF('Asset Detail'!A:A,A873)&gt;0,"✓ Found","✗ Not Found"))</f>
        <v/>
      </c>
      <c r="F873" s="31" t="str" cm="1">
        <f t="array" ref="F873">IF(A873="","",IFERROR(INDEX('Asset Detail'!C:C,_xlfn.XMATCH(A873,'Asset Detail'!A:A,3)),"—"))</f>
        <v/>
      </c>
      <c r="G873" s="32" t="str" cm="1">
        <f t="array" ref="G873">IF(A873="","",IFERROR(INDEX('Asset Detail'!E:E,_xlfn.XMATCH(A873,'Asset Detail'!A:A,3)),"—"))</f>
        <v/>
      </c>
      <c r="H873" s="34"/>
      <c r="I873" s="39"/>
    </row>
    <row r="874" spans="1:9" x14ac:dyDescent="0.25">
      <c r="A874" s="23" t="str">
        <f t="shared" si="13"/>
        <v/>
      </c>
      <c r="B874" s="38"/>
      <c r="C874" s="34"/>
      <c r="D874" s="180" t="s">
        <v>4</v>
      </c>
      <c r="E874" s="32" t="str">
        <f>IF(A874="","",IF(COUNTIF('Asset Detail'!A:A,A874)&gt;0,"✓ Found","✗ Not Found"))</f>
        <v/>
      </c>
      <c r="F874" s="31" t="str" cm="1">
        <f t="array" ref="F874">IF(A874="","",IFERROR(INDEX('Asset Detail'!C:C,_xlfn.XMATCH(A874,'Asset Detail'!A:A,3)),"—"))</f>
        <v/>
      </c>
      <c r="G874" s="32" t="str" cm="1">
        <f t="array" ref="G874">IF(A874="","",IFERROR(INDEX('Asset Detail'!E:E,_xlfn.XMATCH(A874,'Asset Detail'!A:A,3)),"—"))</f>
        <v/>
      </c>
      <c r="H874" s="34"/>
      <c r="I874" s="39"/>
    </row>
    <row r="875" spans="1:9" x14ac:dyDescent="0.25">
      <c r="A875" s="23" t="str">
        <f t="shared" si="13"/>
        <v/>
      </c>
      <c r="B875" s="38"/>
      <c r="C875" s="34"/>
      <c r="D875" s="180" t="s">
        <v>4</v>
      </c>
      <c r="E875" s="32" t="str">
        <f>IF(A875="","",IF(COUNTIF('Asset Detail'!A:A,A875)&gt;0,"✓ Found","✗ Not Found"))</f>
        <v/>
      </c>
      <c r="F875" s="31" t="str" cm="1">
        <f t="array" ref="F875">IF(A875="","",IFERROR(INDEX('Asset Detail'!C:C,_xlfn.XMATCH(A875,'Asset Detail'!A:A,3)),"—"))</f>
        <v/>
      </c>
      <c r="G875" s="32" t="str" cm="1">
        <f t="array" ref="G875">IF(A875="","",IFERROR(INDEX('Asset Detail'!E:E,_xlfn.XMATCH(A875,'Asset Detail'!A:A,3)),"—"))</f>
        <v/>
      </c>
      <c r="H875" s="34"/>
      <c r="I875" s="39"/>
    </row>
    <row r="876" spans="1:9" x14ac:dyDescent="0.25">
      <c r="A876" s="23" t="str">
        <f t="shared" si="13"/>
        <v/>
      </c>
      <c r="B876" s="38"/>
      <c r="C876" s="34"/>
      <c r="D876" s="180" t="s">
        <v>4</v>
      </c>
      <c r="E876" s="32" t="str">
        <f>IF(A876="","",IF(COUNTIF('Asset Detail'!A:A,A876)&gt;0,"✓ Found","✗ Not Found"))</f>
        <v/>
      </c>
      <c r="F876" s="31" t="str" cm="1">
        <f t="array" ref="F876">IF(A876="","",IFERROR(INDEX('Asset Detail'!C:C,_xlfn.XMATCH(A876,'Asset Detail'!A:A,3)),"—"))</f>
        <v/>
      </c>
      <c r="G876" s="32" t="str" cm="1">
        <f t="array" ref="G876">IF(A876="","",IFERROR(INDEX('Asset Detail'!E:E,_xlfn.XMATCH(A876,'Asset Detail'!A:A,3)),"—"))</f>
        <v/>
      </c>
      <c r="H876" s="34"/>
      <c r="I876" s="39"/>
    </row>
    <row r="877" spans="1:9" x14ac:dyDescent="0.25">
      <c r="A877" s="23" t="str">
        <f t="shared" si="13"/>
        <v/>
      </c>
      <c r="B877" s="38"/>
      <c r="C877" s="34"/>
      <c r="D877" s="180" t="s">
        <v>4</v>
      </c>
      <c r="E877" s="32" t="str">
        <f>IF(A877="","",IF(COUNTIF('Asset Detail'!A:A,A877)&gt;0,"✓ Found","✗ Not Found"))</f>
        <v/>
      </c>
      <c r="F877" s="31" t="str" cm="1">
        <f t="array" ref="F877">IF(A877="","",IFERROR(INDEX('Asset Detail'!C:C,_xlfn.XMATCH(A877,'Asset Detail'!A:A,3)),"—"))</f>
        <v/>
      </c>
      <c r="G877" s="32" t="str" cm="1">
        <f t="array" ref="G877">IF(A877="","",IFERROR(INDEX('Asset Detail'!E:E,_xlfn.XMATCH(A877,'Asset Detail'!A:A,3)),"—"))</f>
        <v/>
      </c>
      <c r="H877" s="34"/>
      <c r="I877" s="39"/>
    </row>
    <row r="878" spans="1:9" x14ac:dyDescent="0.25">
      <c r="A878" s="23" t="str">
        <f t="shared" si="13"/>
        <v/>
      </c>
      <c r="B878" s="38"/>
      <c r="C878" s="34"/>
      <c r="D878" s="180" t="s">
        <v>4</v>
      </c>
      <c r="E878" s="32" t="str">
        <f>IF(A878="","",IF(COUNTIF('Asset Detail'!A:A,A878)&gt;0,"✓ Found","✗ Not Found"))</f>
        <v/>
      </c>
      <c r="F878" s="31" t="str" cm="1">
        <f t="array" ref="F878">IF(A878="","",IFERROR(INDEX('Asset Detail'!C:C,_xlfn.XMATCH(A878,'Asset Detail'!A:A,3)),"—"))</f>
        <v/>
      </c>
      <c r="G878" s="32" t="str" cm="1">
        <f t="array" ref="G878">IF(A878="","",IFERROR(INDEX('Asset Detail'!E:E,_xlfn.XMATCH(A878,'Asset Detail'!A:A,3)),"—"))</f>
        <v/>
      </c>
      <c r="H878" s="34"/>
      <c r="I878" s="39"/>
    </row>
    <row r="879" spans="1:9" x14ac:dyDescent="0.25">
      <c r="A879" s="23" t="str">
        <f t="shared" si="13"/>
        <v/>
      </c>
      <c r="B879" s="38"/>
      <c r="C879" s="34"/>
      <c r="D879" s="180" t="s">
        <v>4</v>
      </c>
      <c r="E879" s="32" t="str">
        <f>IF(A879="","",IF(COUNTIF('Asset Detail'!A:A,A879)&gt;0,"✓ Found","✗ Not Found"))</f>
        <v/>
      </c>
      <c r="F879" s="31" t="str" cm="1">
        <f t="array" ref="F879">IF(A879="","",IFERROR(INDEX('Asset Detail'!C:C,_xlfn.XMATCH(A879,'Asset Detail'!A:A,3)),"—"))</f>
        <v/>
      </c>
      <c r="G879" s="32" t="str" cm="1">
        <f t="array" ref="G879">IF(A879="","",IFERROR(INDEX('Asset Detail'!E:E,_xlfn.XMATCH(A879,'Asset Detail'!A:A,3)),"—"))</f>
        <v/>
      </c>
      <c r="H879" s="34"/>
      <c r="I879" s="39"/>
    </row>
    <row r="880" spans="1:9" x14ac:dyDescent="0.25">
      <c r="A880" s="23" t="str">
        <f t="shared" si="13"/>
        <v/>
      </c>
      <c r="B880" s="38"/>
      <c r="C880" s="34"/>
      <c r="D880" s="180" t="s">
        <v>4</v>
      </c>
      <c r="E880" s="32" t="str">
        <f>IF(A880="","",IF(COUNTIF('Asset Detail'!A:A,A880)&gt;0,"✓ Found","✗ Not Found"))</f>
        <v/>
      </c>
      <c r="F880" s="31" t="str" cm="1">
        <f t="array" ref="F880">IF(A880="","",IFERROR(INDEX('Asset Detail'!C:C,_xlfn.XMATCH(A880,'Asset Detail'!A:A,3)),"—"))</f>
        <v/>
      </c>
      <c r="G880" s="32" t="str" cm="1">
        <f t="array" ref="G880">IF(A880="","",IFERROR(INDEX('Asset Detail'!E:E,_xlfn.XMATCH(A880,'Asset Detail'!A:A,3)),"—"))</f>
        <v/>
      </c>
      <c r="H880" s="34"/>
      <c r="I880" s="39"/>
    </row>
    <row r="881" spans="1:9" x14ac:dyDescent="0.25">
      <c r="A881" s="23" t="str">
        <f t="shared" si="13"/>
        <v/>
      </c>
      <c r="B881" s="38"/>
      <c r="C881" s="34"/>
      <c r="D881" s="180" t="s">
        <v>4</v>
      </c>
      <c r="E881" s="32" t="str">
        <f>IF(A881="","",IF(COUNTIF('Asset Detail'!A:A,A881)&gt;0,"✓ Found","✗ Not Found"))</f>
        <v/>
      </c>
      <c r="F881" s="31" t="str" cm="1">
        <f t="array" ref="F881">IF(A881="","",IFERROR(INDEX('Asset Detail'!C:C,_xlfn.XMATCH(A881,'Asset Detail'!A:A,3)),"—"))</f>
        <v/>
      </c>
      <c r="G881" s="32" t="str" cm="1">
        <f t="array" ref="G881">IF(A881="","",IFERROR(INDEX('Asset Detail'!E:E,_xlfn.XMATCH(A881,'Asset Detail'!A:A,3)),"—"))</f>
        <v/>
      </c>
      <c r="H881" s="34"/>
      <c r="I881" s="39"/>
    </row>
    <row r="882" spans="1:9" x14ac:dyDescent="0.25">
      <c r="A882" s="23" t="str">
        <f t="shared" si="13"/>
        <v/>
      </c>
      <c r="B882" s="38"/>
      <c r="C882" s="34"/>
      <c r="D882" s="180" t="s">
        <v>4</v>
      </c>
      <c r="E882" s="32" t="str">
        <f>IF(A882="","",IF(COUNTIF('Asset Detail'!A:A,A882)&gt;0,"✓ Found","✗ Not Found"))</f>
        <v/>
      </c>
      <c r="F882" s="31" t="str" cm="1">
        <f t="array" ref="F882">IF(A882="","",IFERROR(INDEX('Asset Detail'!C:C,_xlfn.XMATCH(A882,'Asset Detail'!A:A,3)),"—"))</f>
        <v/>
      </c>
      <c r="G882" s="32" t="str" cm="1">
        <f t="array" ref="G882">IF(A882="","",IFERROR(INDEX('Asset Detail'!E:E,_xlfn.XMATCH(A882,'Asset Detail'!A:A,3)),"—"))</f>
        <v/>
      </c>
      <c r="H882" s="34"/>
      <c r="I882" s="39"/>
    </row>
    <row r="883" spans="1:9" x14ac:dyDescent="0.25">
      <c r="A883" s="23" t="str">
        <f t="shared" si="13"/>
        <v/>
      </c>
      <c r="B883" s="38"/>
      <c r="C883" s="34"/>
      <c r="D883" s="180" t="s">
        <v>4</v>
      </c>
      <c r="E883" s="32" t="str">
        <f>IF(A883="","",IF(COUNTIF('Asset Detail'!A:A,A883)&gt;0,"✓ Found","✗ Not Found"))</f>
        <v/>
      </c>
      <c r="F883" s="31" t="str" cm="1">
        <f t="array" ref="F883">IF(A883="","",IFERROR(INDEX('Asset Detail'!C:C,_xlfn.XMATCH(A883,'Asset Detail'!A:A,3)),"—"))</f>
        <v/>
      </c>
      <c r="G883" s="32" t="str" cm="1">
        <f t="array" ref="G883">IF(A883="","",IFERROR(INDEX('Asset Detail'!E:E,_xlfn.XMATCH(A883,'Asset Detail'!A:A,3)),"—"))</f>
        <v/>
      </c>
      <c r="H883" s="34"/>
      <c r="I883" s="39"/>
    </row>
    <row r="884" spans="1:9" x14ac:dyDescent="0.25">
      <c r="A884" s="23" t="str">
        <f t="shared" si="13"/>
        <v/>
      </c>
      <c r="B884" s="38"/>
      <c r="C884" s="34"/>
      <c r="D884" s="180" t="s">
        <v>4</v>
      </c>
      <c r="E884" s="32" t="str">
        <f>IF(A884="","",IF(COUNTIF('Asset Detail'!A:A,A884)&gt;0,"✓ Found","✗ Not Found"))</f>
        <v/>
      </c>
      <c r="F884" s="31" t="str" cm="1">
        <f t="array" ref="F884">IF(A884="","",IFERROR(INDEX('Asset Detail'!C:C,_xlfn.XMATCH(A884,'Asset Detail'!A:A,3)),"—"))</f>
        <v/>
      </c>
      <c r="G884" s="32" t="str" cm="1">
        <f t="array" ref="G884">IF(A884="","",IFERROR(INDEX('Asset Detail'!E:E,_xlfn.XMATCH(A884,'Asset Detail'!A:A,3)),"—"))</f>
        <v/>
      </c>
      <c r="H884" s="34"/>
      <c r="I884" s="39"/>
    </row>
    <row r="885" spans="1:9" x14ac:dyDescent="0.25">
      <c r="A885" s="23" t="str">
        <f t="shared" si="13"/>
        <v/>
      </c>
      <c r="B885" s="38"/>
      <c r="C885" s="34"/>
      <c r="D885" s="180" t="s">
        <v>4</v>
      </c>
      <c r="E885" s="32" t="str">
        <f>IF(A885="","",IF(COUNTIF('Asset Detail'!A:A,A885)&gt;0,"✓ Found","✗ Not Found"))</f>
        <v/>
      </c>
      <c r="F885" s="31" t="str" cm="1">
        <f t="array" ref="F885">IF(A885="","",IFERROR(INDEX('Asset Detail'!C:C,_xlfn.XMATCH(A885,'Asset Detail'!A:A,3)),"—"))</f>
        <v/>
      </c>
      <c r="G885" s="32" t="str" cm="1">
        <f t="array" ref="G885">IF(A885="","",IFERROR(INDEX('Asset Detail'!E:E,_xlfn.XMATCH(A885,'Asset Detail'!A:A,3)),"—"))</f>
        <v/>
      </c>
      <c r="H885" s="34"/>
      <c r="I885" s="39"/>
    </row>
    <row r="886" spans="1:9" x14ac:dyDescent="0.25">
      <c r="A886" s="23" t="str">
        <f t="shared" si="13"/>
        <v/>
      </c>
      <c r="B886" s="38"/>
      <c r="C886" s="34"/>
      <c r="D886" s="180" t="s">
        <v>4</v>
      </c>
      <c r="E886" s="32" t="str">
        <f>IF(A886="","",IF(COUNTIF('Asset Detail'!A:A,A886)&gt;0,"✓ Found","✗ Not Found"))</f>
        <v/>
      </c>
      <c r="F886" s="31" t="str" cm="1">
        <f t="array" ref="F886">IF(A886="","",IFERROR(INDEX('Asset Detail'!C:C,_xlfn.XMATCH(A886,'Asset Detail'!A:A,3)),"—"))</f>
        <v/>
      </c>
      <c r="G886" s="32" t="str" cm="1">
        <f t="array" ref="G886">IF(A886="","",IFERROR(INDEX('Asset Detail'!E:E,_xlfn.XMATCH(A886,'Asset Detail'!A:A,3)),"—"))</f>
        <v/>
      </c>
      <c r="H886" s="34"/>
      <c r="I886" s="39"/>
    </row>
    <row r="887" spans="1:9" x14ac:dyDescent="0.25">
      <c r="A887" s="23" t="str">
        <f t="shared" si="13"/>
        <v/>
      </c>
      <c r="B887" s="38"/>
      <c r="C887" s="34"/>
      <c r="D887" s="180" t="s">
        <v>4</v>
      </c>
      <c r="E887" s="32" t="str">
        <f>IF(A887="","",IF(COUNTIF('Asset Detail'!A:A,A887)&gt;0,"✓ Found","✗ Not Found"))</f>
        <v/>
      </c>
      <c r="F887" s="31" t="str" cm="1">
        <f t="array" ref="F887">IF(A887="","",IFERROR(INDEX('Asset Detail'!C:C,_xlfn.XMATCH(A887,'Asset Detail'!A:A,3)),"—"))</f>
        <v/>
      </c>
      <c r="G887" s="32" t="str" cm="1">
        <f t="array" ref="G887">IF(A887="","",IFERROR(INDEX('Asset Detail'!E:E,_xlfn.XMATCH(A887,'Asset Detail'!A:A,3)),"—"))</f>
        <v/>
      </c>
      <c r="H887" s="34"/>
      <c r="I887" s="39"/>
    </row>
    <row r="888" spans="1:9" x14ac:dyDescent="0.25">
      <c r="A888" s="23" t="str">
        <f t="shared" si="13"/>
        <v/>
      </c>
      <c r="B888" s="38"/>
      <c r="C888" s="34"/>
      <c r="D888" s="180" t="s">
        <v>4</v>
      </c>
      <c r="E888" s="32" t="str">
        <f>IF(A888="","",IF(COUNTIF('Asset Detail'!A:A,A888)&gt;0,"✓ Found","✗ Not Found"))</f>
        <v/>
      </c>
      <c r="F888" s="31" t="str" cm="1">
        <f t="array" ref="F888">IF(A888="","",IFERROR(INDEX('Asset Detail'!C:C,_xlfn.XMATCH(A888,'Asset Detail'!A:A,3)),"—"))</f>
        <v/>
      </c>
      <c r="G888" s="32" t="str" cm="1">
        <f t="array" ref="G888">IF(A888="","",IFERROR(INDEX('Asset Detail'!E:E,_xlfn.XMATCH(A888,'Asset Detail'!A:A,3)),"—"))</f>
        <v/>
      </c>
      <c r="H888" s="34"/>
      <c r="I888" s="39"/>
    </row>
    <row r="889" spans="1:9" x14ac:dyDescent="0.25">
      <c r="A889" s="23" t="str">
        <f t="shared" si="13"/>
        <v/>
      </c>
      <c r="B889" s="38"/>
      <c r="C889" s="34"/>
      <c r="D889" s="180" t="s">
        <v>4</v>
      </c>
      <c r="E889" s="32" t="str">
        <f>IF(A889="","",IF(COUNTIF('Asset Detail'!A:A,A889)&gt;0,"✓ Found","✗ Not Found"))</f>
        <v/>
      </c>
      <c r="F889" s="31" t="str" cm="1">
        <f t="array" ref="F889">IF(A889="","",IFERROR(INDEX('Asset Detail'!C:C,_xlfn.XMATCH(A889,'Asset Detail'!A:A,3)),"—"))</f>
        <v/>
      </c>
      <c r="G889" s="32" t="str" cm="1">
        <f t="array" ref="G889">IF(A889="","",IFERROR(INDEX('Asset Detail'!E:E,_xlfn.XMATCH(A889,'Asset Detail'!A:A,3)),"—"))</f>
        <v/>
      </c>
      <c r="H889" s="34"/>
      <c r="I889" s="39"/>
    </row>
    <row r="890" spans="1:9" x14ac:dyDescent="0.25">
      <c r="A890" s="23" t="str">
        <f t="shared" si="13"/>
        <v/>
      </c>
      <c r="B890" s="38"/>
      <c r="C890" s="34"/>
      <c r="D890" s="180" t="s">
        <v>4</v>
      </c>
      <c r="E890" s="32" t="str">
        <f>IF(A890="","",IF(COUNTIF('Asset Detail'!A:A,A890)&gt;0,"✓ Found","✗ Not Found"))</f>
        <v/>
      </c>
      <c r="F890" s="31" t="str" cm="1">
        <f t="array" ref="F890">IF(A890="","",IFERROR(INDEX('Asset Detail'!C:C,_xlfn.XMATCH(A890,'Asset Detail'!A:A,3)),"—"))</f>
        <v/>
      </c>
      <c r="G890" s="32" t="str" cm="1">
        <f t="array" ref="G890">IF(A890="","",IFERROR(INDEX('Asset Detail'!E:E,_xlfn.XMATCH(A890,'Asset Detail'!A:A,3)),"—"))</f>
        <v/>
      </c>
      <c r="H890" s="34"/>
      <c r="I890" s="39"/>
    </row>
    <row r="891" spans="1:9" x14ac:dyDescent="0.25">
      <c r="A891" s="23" t="str">
        <f t="shared" si="13"/>
        <v/>
      </c>
      <c r="B891" s="38"/>
      <c r="C891" s="34"/>
      <c r="D891" s="180" t="s">
        <v>4</v>
      </c>
      <c r="E891" s="32" t="str">
        <f>IF(A891="","",IF(COUNTIF('Asset Detail'!A:A,A891)&gt;0,"✓ Found","✗ Not Found"))</f>
        <v/>
      </c>
      <c r="F891" s="31" t="str" cm="1">
        <f t="array" ref="F891">IF(A891="","",IFERROR(INDEX('Asset Detail'!C:C,_xlfn.XMATCH(A891,'Asset Detail'!A:A,3)),"—"))</f>
        <v/>
      </c>
      <c r="G891" s="32" t="str" cm="1">
        <f t="array" ref="G891">IF(A891="","",IFERROR(INDEX('Asset Detail'!E:E,_xlfn.XMATCH(A891,'Asset Detail'!A:A,3)),"—"))</f>
        <v/>
      </c>
      <c r="H891" s="34"/>
      <c r="I891" s="39"/>
    </row>
    <row r="892" spans="1:9" x14ac:dyDescent="0.25">
      <c r="A892" s="23" t="str">
        <f t="shared" si="13"/>
        <v/>
      </c>
      <c r="B892" s="38"/>
      <c r="C892" s="34"/>
      <c r="D892" s="180" t="s">
        <v>4</v>
      </c>
      <c r="E892" s="32" t="str">
        <f>IF(A892="","",IF(COUNTIF('Asset Detail'!A:A,A892)&gt;0,"✓ Found","✗ Not Found"))</f>
        <v/>
      </c>
      <c r="F892" s="31" t="str" cm="1">
        <f t="array" ref="F892">IF(A892="","",IFERROR(INDEX('Asset Detail'!C:C,_xlfn.XMATCH(A892,'Asset Detail'!A:A,3)),"—"))</f>
        <v/>
      </c>
      <c r="G892" s="32" t="str" cm="1">
        <f t="array" ref="G892">IF(A892="","",IFERROR(INDEX('Asset Detail'!E:E,_xlfn.XMATCH(A892,'Asset Detail'!A:A,3)),"—"))</f>
        <v/>
      </c>
      <c r="H892" s="34"/>
      <c r="I892" s="39"/>
    </row>
    <row r="893" spans="1:9" x14ac:dyDescent="0.25">
      <c r="A893" s="23" t="str">
        <f t="shared" si="13"/>
        <v/>
      </c>
      <c r="B893" s="38"/>
      <c r="C893" s="34"/>
      <c r="D893" s="180" t="s">
        <v>4</v>
      </c>
      <c r="E893" s="32" t="str">
        <f>IF(A893="","",IF(COUNTIF('Asset Detail'!A:A,A893)&gt;0,"✓ Found","✗ Not Found"))</f>
        <v/>
      </c>
      <c r="F893" s="31" t="str" cm="1">
        <f t="array" ref="F893">IF(A893="","",IFERROR(INDEX('Asset Detail'!C:C,_xlfn.XMATCH(A893,'Asset Detail'!A:A,3)),"—"))</f>
        <v/>
      </c>
      <c r="G893" s="32" t="str" cm="1">
        <f t="array" ref="G893">IF(A893="","",IFERROR(INDEX('Asset Detail'!E:E,_xlfn.XMATCH(A893,'Asset Detail'!A:A,3)),"—"))</f>
        <v/>
      </c>
      <c r="H893" s="34"/>
      <c r="I893" s="39"/>
    </row>
    <row r="894" spans="1:9" x14ac:dyDescent="0.25">
      <c r="A894" s="23" t="str">
        <f t="shared" si="13"/>
        <v/>
      </c>
      <c r="B894" s="38"/>
      <c r="C894" s="34"/>
      <c r="D894" s="180" t="s">
        <v>4</v>
      </c>
      <c r="E894" s="32" t="str">
        <f>IF(A894="","",IF(COUNTIF('Asset Detail'!A:A,A894)&gt;0,"✓ Found","✗ Not Found"))</f>
        <v/>
      </c>
      <c r="F894" s="31" t="str" cm="1">
        <f t="array" ref="F894">IF(A894="","",IFERROR(INDEX('Asset Detail'!C:C,_xlfn.XMATCH(A894,'Asset Detail'!A:A,3)),"—"))</f>
        <v/>
      </c>
      <c r="G894" s="32" t="str" cm="1">
        <f t="array" ref="G894">IF(A894="","",IFERROR(INDEX('Asset Detail'!E:E,_xlfn.XMATCH(A894,'Asset Detail'!A:A,3)),"—"))</f>
        <v/>
      </c>
      <c r="H894" s="34"/>
      <c r="I894" s="39"/>
    </row>
    <row r="895" spans="1:9" x14ac:dyDescent="0.25">
      <c r="A895" s="23" t="str">
        <f t="shared" si="13"/>
        <v/>
      </c>
      <c r="B895" s="38"/>
      <c r="C895" s="34"/>
      <c r="D895" s="180" t="s">
        <v>4</v>
      </c>
      <c r="E895" s="32" t="str">
        <f>IF(A895="","",IF(COUNTIF('Asset Detail'!A:A,A895)&gt;0,"✓ Found","✗ Not Found"))</f>
        <v/>
      </c>
      <c r="F895" s="31" t="str" cm="1">
        <f t="array" ref="F895">IF(A895="","",IFERROR(INDEX('Asset Detail'!C:C,_xlfn.XMATCH(A895,'Asset Detail'!A:A,3)),"—"))</f>
        <v/>
      </c>
      <c r="G895" s="32" t="str" cm="1">
        <f t="array" ref="G895">IF(A895="","",IFERROR(INDEX('Asset Detail'!E:E,_xlfn.XMATCH(A895,'Asset Detail'!A:A,3)),"—"))</f>
        <v/>
      </c>
      <c r="H895" s="34"/>
      <c r="I895" s="39"/>
    </row>
    <row r="896" spans="1:9" x14ac:dyDescent="0.25">
      <c r="A896" s="23" t="str">
        <f t="shared" si="13"/>
        <v/>
      </c>
      <c r="B896" s="38"/>
      <c r="C896" s="34"/>
      <c r="D896" s="180" t="s">
        <v>4</v>
      </c>
      <c r="E896" s="32" t="str">
        <f>IF(A896="","",IF(COUNTIF('Asset Detail'!A:A,A896)&gt;0,"✓ Found","✗ Not Found"))</f>
        <v/>
      </c>
      <c r="F896" s="31" t="str" cm="1">
        <f t="array" ref="F896">IF(A896="","",IFERROR(INDEX('Asset Detail'!C:C,_xlfn.XMATCH(A896,'Asset Detail'!A:A,3)),"—"))</f>
        <v/>
      </c>
      <c r="G896" s="32" t="str" cm="1">
        <f t="array" ref="G896">IF(A896="","",IFERROR(INDEX('Asset Detail'!E:E,_xlfn.XMATCH(A896,'Asset Detail'!A:A,3)),"—"))</f>
        <v/>
      </c>
      <c r="H896" s="34"/>
      <c r="I896" s="39"/>
    </row>
    <row r="897" spans="1:9" x14ac:dyDescent="0.25">
      <c r="A897" s="23" t="str">
        <f t="shared" si="13"/>
        <v/>
      </c>
      <c r="B897" s="38"/>
      <c r="C897" s="34"/>
      <c r="D897" s="180" t="s">
        <v>4</v>
      </c>
      <c r="E897" s="32" t="str">
        <f>IF(A897="","",IF(COUNTIF('Asset Detail'!A:A,A897)&gt;0,"✓ Found","✗ Not Found"))</f>
        <v/>
      </c>
      <c r="F897" s="31" t="str" cm="1">
        <f t="array" ref="F897">IF(A897="","",IFERROR(INDEX('Asset Detail'!C:C,_xlfn.XMATCH(A897,'Asset Detail'!A:A,3)),"—"))</f>
        <v/>
      </c>
      <c r="G897" s="32" t="str" cm="1">
        <f t="array" ref="G897">IF(A897="","",IFERROR(INDEX('Asset Detail'!E:E,_xlfn.XMATCH(A897,'Asset Detail'!A:A,3)),"—"))</f>
        <v/>
      </c>
      <c r="H897" s="34"/>
      <c r="I897" s="39"/>
    </row>
    <row r="898" spans="1:9" x14ac:dyDescent="0.25">
      <c r="A898" s="23" t="str">
        <f t="shared" si="13"/>
        <v/>
      </c>
      <c r="B898" s="38"/>
      <c r="C898" s="34"/>
      <c r="D898" s="180" t="s">
        <v>4</v>
      </c>
      <c r="E898" s="32" t="str">
        <f>IF(A898="","",IF(COUNTIF('Asset Detail'!A:A,A898)&gt;0,"✓ Found","✗ Not Found"))</f>
        <v/>
      </c>
      <c r="F898" s="31" t="str" cm="1">
        <f t="array" ref="F898">IF(A898="","",IFERROR(INDEX('Asset Detail'!C:C,_xlfn.XMATCH(A898,'Asset Detail'!A:A,3)),"—"))</f>
        <v/>
      </c>
      <c r="G898" s="32" t="str" cm="1">
        <f t="array" ref="G898">IF(A898="","",IFERROR(INDEX('Asset Detail'!E:E,_xlfn.XMATCH(A898,'Asset Detail'!A:A,3)),"—"))</f>
        <v/>
      </c>
      <c r="H898" s="34"/>
      <c r="I898" s="39"/>
    </row>
    <row r="899" spans="1:9" x14ac:dyDescent="0.25">
      <c r="A899" s="23" t="str">
        <f t="shared" si="13"/>
        <v/>
      </c>
      <c r="B899" s="38"/>
      <c r="C899" s="34"/>
      <c r="D899" s="180" t="s">
        <v>4</v>
      </c>
      <c r="E899" s="32" t="str">
        <f>IF(A899="","",IF(COUNTIF('Asset Detail'!A:A,A899)&gt;0,"✓ Found","✗ Not Found"))</f>
        <v/>
      </c>
      <c r="F899" s="31" t="str" cm="1">
        <f t="array" ref="F899">IF(A899="","",IFERROR(INDEX('Asset Detail'!C:C,_xlfn.XMATCH(A899,'Asset Detail'!A:A,3)),"—"))</f>
        <v/>
      </c>
      <c r="G899" s="32" t="str" cm="1">
        <f t="array" ref="G899">IF(A899="","",IFERROR(INDEX('Asset Detail'!E:E,_xlfn.XMATCH(A899,'Asset Detail'!A:A,3)),"—"))</f>
        <v/>
      </c>
      <c r="H899" s="34"/>
      <c r="I899" s="39"/>
    </row>
    <row r="900" spans="1:9" x14ac:dyDescent="0.25">
      <c r="A900" s="23" t="str">
        <f t="shared" si="13"/>
        <v/>
      </c>
      <c r="B900" s="38"/>
      <c r="C900" s="34"/>
      <c r="D900" s="180" t="s">
        <v>4</v>
      </c>
      <c r="E900" s="32" t="str">
        <f>IF(A900="","",IF(COUNTIF('Asset Detail'!A:A,A900)&gt;0,"✓ Found","✗ Not Found"))</f>
        <v/>
      </c>
      <c r="F900" s="31" t="str" cm="1">
        <f t="array" ref="F900">IF(A900="","",IFERROR(INDEX('Asset Detail'!C:C,_xlfn.XMATCH(A900,'Asset Detail'!A:A,3)),"—"))</f>
        <v/>
      </c>
      <c r="G900" s="32" t="str" cm="1">
        <f t="array" ref="G900">IF(A900="","",IFERROR(INDEX('Asset Detail'!E:E,_xlfn.XMATCH(A900,'Asset Detail'!A:A,3)),"—"))</f>
        <v/>
      </c>
      <c r="H900" s="34"/>
      <c r="I900" s="39"/>
    </row>
    <row r="901" spans="1:9" x14ac:dyDescent="0.25">
      <c r="A901" s="23" t="str">
        <f t="shared" si="13"/>
        <v/>
      </c>
      <c r="B901" s="38"/>
      <c r="C901" s="34"/>
      <c r="D901" s="180" t="s">
        <v>4</v>
      </c>
      <c r="E901" s="32" t="str">
        <f>IF(A901="","",IF(COUNTIF('Asset Detail'!A:A,A901)&gt;0,"✓ Found","✗ Not Found"))</f>
        <v/>
      </c>
      <c r="F901" s="31" t="str" cm="1">
        <f t="array" ref="F901">IF(A901="","",IFERROR(INDEX('Asset Detail'!C:C,_xlfn.XMATCH(A901,'Asset Detail'!A:A,3)),"—"))</f>
        <v/>
      </c>
      <c r="G901" s="32" t="str" cm="1">
        <f t="array" ref="G901">IF(A901="","",IFERROR(INDEX('Asset Detail'!E:E,_xlfn.XMATCH(A901,'Asset Detail'!A:A,3)),"—"))</f>
        <v/>
      </c>
      <c r="H901" s="34"/>
      <c r="I901" s="39"/>
    </row>
    <row r="902" spans="1:9" x14ac:dyDescent="0.25">
      <c r="A902" s="23" t="str">
        <f t="shared" si="13"/>
        <v/>
      </c>
      <c r="B902" s="38"/>
      <c r="C902" s="34"/>
      <c r="D902" s="180" t="s">
        <v>4</v>
      </c>
      <c r="E902" s="32" t="str">
        <f>IF(A902="","",IF(COUNTIF('Asset Detail'!A:A,A902)&gt;0,"✓ Found","✗ Not Found"))</f>
        <v/>
      </c>
      <c r="F902" s="31" t="str" cm="1">
        <f t="array" ref="F902">IF(A902="","",IFERROR(INDEX('Asset Detail'!C:C,_xlfn.XMATCH(A902,'Asset Detail'!A:A,3)),"—"))</f>
        <v/>
      </c>
      <c r="G902" s="32" t="str" cm="1">
        <f t="array" ref="G902">IF(A902="","",IFERROR(INDEX('Asset Detail'!E:E,_xlfn.XMATCH(A902,'Asset Detail'!A:A,3)),"—"))</f>
        <v/>
      </c>
      <c r="H902" s="34"/>
      <c r="I902" s="39"/>
    </row>
    <row r="903" spans="1:9" x14ac:dyDescent="0.25">
      <c r="A903" s="23" t="str">
        <f t="shared" si="13"/>
        <v/>
      </c>
      <c r="B903" s="38"/>
      <c r="C903" s="34"/>
      <c r="D903" s="180" t="s">
        <v>4</v>
      </c>
      <c r="E903" s="32" t="str">
        <f>IF(A903="","",IF(COUNTIF('Asset Detail'!A:A,A903)&gt;0,"✓ Found","✗ Not Found"))</f>
        <v/>
      </c>
      <c r="F903" s="31" t="str" cm="1">
        <f t="array" ref="F903">IF(A903="","",IFERROR(INDEX('Asset Detail'!C:C,_xlfn.XMATCH(A903,'Asset Detail'!A:A,3)),"—"))</f>
        <v/>
      </c>
      <c r="G903" s="32" t="str" cm="1">
        <f t="array" ref="G903">IF(A903="","",IFERROR(INDEX('Asset Detail'!E:E,_xlfn.XMATCH(A903,'Asset Detail'!A:A,3)),"—"))</f>
        <v/>
      </c>
      <c r="H903" s="34"/>
      <c r="I903" s="39"/>
    </row>
    <row r="904" spans="1:9" x14ac:dyDescent="0.25">
      <c r="A904" s="23" t="str">
        <f t="shared" ref="A904:A939" si="14">SUBSTITUTE(I904, "S", "")</f>
        <v/>
      </c>
      <c r="B904" s="38"/>
      <c r="C904" s="34"/>
      <c r="D904" s="180" t="s">
        <v>4</v>
      </c>
      <c r="E904" s="32" t="str">
        <f>IF(A904="","",IF(COUNTIF('Asset Detail'!A:A,A904)&gt;0,"✓ Found","✗ Not Found"))</f>
        <v/>
      </c>
      <c r="F904" s="31" t="str" cm="1">
        <f t="array" ref="F904">IF(A904="","",IFERROR(INDEX('Asset Detail'!C:C,_xlfn.XMATCH(A904,'Asset Detail'!A:A,3)),"—"))</f>
        <v/>
      </c>
      <c r="G904" s="32" t="str" cm="1">
        <f t="array" ref="G904">IF(A904="","",IFERROR(INDEX('Asset Detail'!E:E,_xlfn.XMATCH(A904,'Asset Detail'!A:A,3)),"—"))</f>
        <v/>
      </c>
      <c r="H904" s="34"/>
      <c r="I904" s="39"/>
    </row>
    <row r="905" spans="1:9" x14ac:dyDescent="0.25">
      <c r="A905" s="23" t="str">
        <f t="shared" si="14"/>
        <v/>
      </c>
      <c r="B905" s="38"/>
      <c r="C905" s="34"/>
      <c r="D905" s="180" t="s">
        <v>4</v>
      </c>
      <c r="E905" s="32" t="str">
        <f>IF(A905="","",IF(COUNTIF('Asset Detail'!A:A,A905)&gt;0,"✓ Found","✗ Not Found"))</f>
        <v/>
      </c>
      <c r="F905" s="31" t="str" cm="1">
        <f t="array" ref="F905">IF(A905="","",IFERROR(INDEX('Asset Detail'!C:C,_xlfn.XMATCH(A905,'Asset Detail'!A:A,3)),"—"))</f>
        <v/>
      </c>
      <c r="G905" s="32" t="str" cm="1">
        <f t="array" ref="G905">IF(A905="","",IFERROR(INDEX('Asset Detail'!E:E,_xlfn.XMATCH(A905,'Asset Detail'!A:A,3)),"—"))</f>
        <v/>
      </c>
      <c r="H905" s="34"/>
      <c r="I905" s="39"/>
    </row>
    <row r="906" spans="1:9" x14ac:dyDescent="0.25">
      <c r="A906" s="23" t="str">
        <f t="shared" si="14"/>
        <v/>
      </c>
      <c r="B906" s="38"/>
      <c r="C906" s="34"/>
      <c r="D906" s="180" t="s">
        <v>4</v>
      </c>
      <c r="E906" s="32" t="str">
        <f>IF(A906="","",IF(COUNTIF('Asset Detail'!A:A,A906)&gt;0,"✓ Found","✗ Not Found"))</f>
        <v/>
      </c>
      <c r="F906" s="31" t="str" cm="1">
        <f t="array" ref="F906">IF(A906="","",IFERROR(INDEX('Asset Detail'!C:C,_xlfn.XMATCH(A906,'Asset Detail'!A:A,3)),"—"))</f>
        <v/>
      </c>
      <c r="G906" s="32" t="str" cm="1">
        <f t="array" ref="G906">IF(A906="","",IFERROR(INDEX('Asset Detail'!E:E,_xlfn.XMATCH(A906,'Asset Detail'!A:A,3)),"—"))</f>
        <v/>
      </c>
      <c r="H906" s="34"/>
      <c r="I906" s="39"/>
    </row>
    <row r="907" spans="1:9" x14ac:dyDescent="0.25">
      <c r="A907" s="23" t="str">
        <f t="shared" si="14"/>
        <v/>
      </c>
      <c r="B907" s="38"/>
      <c r="C907" s="34"/>
      <c r="D907" s="180" t="s">
        <v>4</v>
      </c>
      <c r="E907" s="32" t="str">
        <f>IF(A907="","",IF(COUNTIF('Asset Detail'!A:A,A907)&gt;0,"✓ Found","✗ Not Found"))</f>
        <v/>
      </c>
      <c r="F907" s="31" t="str" cm="1">
        <f t="array" ref="F907">IF(A907="","",IFERROR(INDEX('Asset Detail'!C:C,_xlfn.XMATCH(A907,'Asset Detail'!A:A,3)),"—"))</f>
        <v/>
      </c>
      <c r="G907" s="32" t="str" cm="1">
        <f t="array" ref="G907">IF(A907="","",IFERROR(INDEX('Asset Detail'!E:E,_xlfn.XMATCH(A907,'Asset Detail'!A:A,3)),"—"))</f>
        <v/>
      </c>
      <c r="H907" s="34"/>
      <c r="I907" s="39"/>
    </row>
    <row r="908" spans="1:9" x14ac:dyDescent="0.25">
      <c r="A908" s="23" t="str">
        <f t="shared" si="14"/>
        <v/>
      </c>
      <c r="B908" s="38"/>
      <c r="C908" s="34"/>
      <c r="D908" s="180" t="s">
        <v>4</v>
      </c>
      <c r="E908" s="32" t="str">
        <f>IF(A908="","",IF(COUNTIF('Asset Detail'!A:A,A908)&gt;0,"✓ Found","✗ Not Found"))</f>
        <v/>
      </c>
      <c r="F908" s="31" t="str" cm="1">
        <f t="array" ref="F908">IF(A908="","",IFERROR(INDEX('Asset Detail'!C:C,_xlfn.XMATCH(A908,'Asset Detail'!A:A,3)),"—"))</f>
        <v/>
      </c>
      <c r="G908" s="32" t="str" cm="1">
        <f t="array" ref="G908">IF(A908="","",IFERROR(INDEX('Asset Detail'!E:E,_xlfn.XMATCH(A908,'Asset Detail'!A:A,3)),"—"))</f>
        <v/>
      </c>
      <c r="H908" s="34"/>
      <c r="I908" s="39"/>
    </row>
    <row r="909" spans="1:9" x14ac:dyDescent="0.25">
      <c r="A909" s="23" t="str">
        <f t="shared" si="14"/>
        <v/>
      </c>
      <c r="B909" s="38"/>
      <c r="C909" s="34"/>
      <c r="D909" s="180" t="s">
        <v>4</v>
      </c>
      <c r="E909" s="32" t="str">
        <f>IF(A909="","",IF(COUNTIF('Asset Detail'!A:A,A909)&gt;0,"✓ Found","✗ Not Found"))</f>
        <v/>
      </c>
      <c r="F909" s="31" t="str" cm="1">
        <f t="array" ref="F909">IF(A909="","",IFERROR(INDEX('Asset Detail'!C:C,_xlfn.XMATCH(A909,'Asset Detail'!A:A,3)),"—"))</f>
        <v/>
      </c>
      <c r="G909" s="32" t="str" cm="1">
        <f t="array" ref="G909">IF(A909="","",IFERROR(INDEX('Asset Detail'!E:E,_xlfn.XMATCH(A909,'Asset Detail'!A:A,3)),"—"))</f>
        <v/>
      </c>
      <c r="H909" s="34"/>
      <c r="I909" s="39"/>
    </row>
    <row r="910" spans="1:9" x14ac:dyDescent="0.25">
      <c r="A910" s="23" t="str">
        <f t="shared" si="14"/>
        <v/>
      </c>
      <c r="B910" s="38"/>
      <c r="C910" s="34"/>
      <c r="D910" s="180" t="s">
        <v>4</v>
      </c>
      <c r="E910" s="32" t="str">
        <f>IF(A910="","",IF(COUNTIF('Asset Detail'!A:A,A910)&gt;0,"✓ Found","✗ Not Found"))</f>
        <v/>
      </c>
      <c r="F910" s="31" t="str" cm="1">
        <f t="array" ref="F910">IF(A910="","",IFERROR(INDEX('Asset Detail'!C:C,_xlfn.XMATCH(A910,'Asset Detail'!A:A,3)),"—"))</f>
        <v/>
      </c>
      <c r="G910" s="32" t="str" cm="1">
        <f t="array" ref="G910">IF(A910="","",IFERROR(INDEX('Asset Detail'!E:E,_xlfn.XMATCH(A910,'Asset Detail'!A:A,3)),"—"))</f>
        <v/>
      </c>
      <c r="H910" s="34"/>
      <c r="I910" s="39"/>
    </row>
    <row r="911" spans="1:9" x14ac:dyDescent="0.25">
      <c r="A911" s="23" t="str">
        <f t="shared" si="14"/>
        <v/>
      </c>
      <c r="B911" s="38"/>
      <c r="C911" s="34"/>
      <c r="D911" s="180" t="s">
        <v>4</v>
      </c>
      <c r="E911" s="32" t="str">
        <f>IF(A911="","",IF(COUNTIF('Asset Detail'!A:A,A911)&gt;0,"✓ Found","✗ Not Found"))</f>
        <v/>
      </c>
      <c r="F911" s="31" t="str" cm="1">
        <f t="array" ref="F911">IF(A911="","",IFERROR(INDEX('Asset Detail'!C:C,_xlfn.XMATCH(A911,'Asset Detail'!A:A,3)),"—"))</f>
        <v/>
      </c>
      <c r="G911" s="32" t="str" cm="1">
        <f t="array" ref="G911">IF(A911="","",IFERROR(INDEX('Asset Detail'!E:E,_xlfn.XMATCH(A911,'Asset Detail'!A:A,3)),"—"))</f>
        <v/>
      </c>
      <c r="H911" s="34"/>
      <c r="I911" s="39"/>
    </row>
    <row r="912" spans="1:9" x14ac:dyDescent="0.25">
      <c r="A912" s="23" t="str">
        <f t="shared" si="14"/>
        <v/>
      </c>
      <c r="B912" s="38"/>
      <c r="C912" s="34"/>
      <c r="D912" s="180" t="s">
        <v>4</v>
      </c>
      <c r="E912" s="32" t="str">
        <f>IF(A912="","",IF(COUNTIF('Asset Detail'!A:A,A912)&gt;0,"✓ Found","✗ Not Found"))</f>
        <v/>
      </c>
      <c r="F912" s="31" t="str" cm="1">
        <f t="array" ref="F912">IF(A912="","",IFERROR(INDEX('Asset Detail'!C:C,_xlfn.XMATCH(A912,'Asset Detail'!A:A,3)),"—"))</f>
        <v/>
      </c>
      <c r="G912" s="32" t="str" cm="1">
        <f t="array" ref="G912">IF(A912="","",IFERROR(INDEX('Asset Detail'!E:E,_xlfn.XMATCH(A912,'Asset Detail'!A:A,3)),"—"))</f>
        <v/>
      </c>
      <c r="H912" s="34"/>
      <c r="I912" s="39"/>
    </row>
    <row r="913" spans="1:9" x14ac:dyDescent="0.25">
      <c r="A913" s="23" t="str">
        <f t="shared" si="14"/>
        <v/>
      </c>
      <c r="B913" s="38"/>
      <c r="C913" s="34"/>
      <c r="D913" s="180" t="s">
        <v>4</v>
      </c>
      <c r="E913" s="32" t="str">
        <f>IF(A913="","",IF(COUNTIF('Asset Detail'!A:A,A913)&gt;0,"✓ Found","✗ Not Found"))</f>
        <v/>
      </c>
      <c r="F913" s="31" t="str" cm="1">
        <f t="array" ref="F913">IF(A913="","",IFERROR(INDEX('Asset Detail'!C:C,_xlfn.XMATCH(A913,'Asset Detail'!A:A,3)),"—"))</f>
        <v/>
      </c>
      <c r="G913" s="32" t="str" cm="1">
        <f t="array" ref="G913">IF(A913="","",IFERROR(INDEX('Asset Detail'!E:E,_xlfn.XMATCH(A913,'Asset Detail'!A:A,3)),"—"))</f>
        <v/>
      </c>
      <c r="H913" s="34"/>
      <c r="I913" s="39"/>
    </row>
    <row r="914" spans="1:9" x14ac:dyDescent="0.25">
      <c r="A914" s="23" t="str">
        <f t="shared" si="14"/>
        <v/>
      </c>
      <c r="B914" s="38"/>
      <c r="C914" s="34"/>
      <c r="D914" s="180" t="s">
        <v>4</v>
      </c>
      <c r="E914" s="32" t="str">
        <f>IF(A914="","",IF(COUNTIF('Asset Detail'!A:A,A914)&gt;0,"✓ Found","✗ Not Found"))</f>
        <v/>
      </c>
      <c r="F914" s="31" t="str" cm="1">
        <f t="array" ref="F914">IF(A914="","",IFERROR(INDEX('Asset Detail'!C:C,_xlfn.XMATCH(A914,'Asset Detail'!A:A,3)),"—"))</f>
        <v/>
      </c>
      <c r="G914" s="32" t="str" cm="1">
        <f t="array" ref="G914">IF(A914="","",IFERROR(INDEX('Asset Detail'!E:E,_xlfn.XMATCH(A914,'Asset Detail'!A:A,3)),"—"))</f>
        <v/>
      </c>
      <c r="H914" s="34"/>
      <c r="I914" s="39"/>
    </row>
    <row r="915" spans="1:9" x14ac:dyDescent="0.25">
      <c r="A915" s="23" t="str">
        <f t="shared" si="14"/>
        <v/>
      </c>
      <c r="B915" s="38"/>
      <c r="C915" s="34"/>
      <c r="D915" s="180" t="s">
        <v>4</v>
      </c>
      <c r="E915" s="32" t="str">
        <f>IF(A915="","",IF(COUNTIF('Asset Detail'!A:A,A915)&gt;0,"✓ Found","✗ Not Found"))</f>
        <v/>
      </c>
      <c r="F915" s="31" t="str" cm="1">
        <f t="array" ref="F915">IF(A915="","",IFERROR(INDEX('Asset Detail'!C:C,_xlfn.XMATCH(A915,'Asset Detail'!A:A,3)),"—"))</f>
        <v/>
      </c>
      <c r="G915" s="32" t="str" cm="1">
        <f t="array" ref="G915">IF(A915="","",IFERROR(INDEX('Asset Detail'!E:E,_xlfn.XMATCH(A915,'Asset Detail'!A:A,3)),"—"))</f>
        <v/>
      </c>
      <c r="H915" s="34"/>
      <c r="I915" s="39"/>
    </row>
    <row r="916" spans="1:9" x14ac:dyDescent="0.25">
      <c r="A916" s="23" t="str">
        <f t="shared" si="14"/>
        <v/>
      </c>
      <c r="B916" s="38"/>
      <c r="C916" s="34"/>
      <c r="D916" s="180" t="s">
        <v>4</v>
      </c>
      <c r="E916" s="32" t="str">
        <f>IF(A916="","",IF(COUNTIF('Asset Detail'!A:A,A916)&gt;0,"✓ Found","✗ Not Found"))</f>
        <v/>
      </c>
      <c r="F916" s="31" t="str" cm="1">
        <f t="array" ref="F916">IF(A916="","",IFERROR(INDEX('Asset Detail'!C:C,_xlfn.XMATCH(A916,'Asset Detail'!A:A,3)),"—"))</f>
        <v/>
      </c>
      <c r="G916" s="32" t="str" cm="1">
        <f t="array" ref="G916">IF(A916="","",IFERROR(INDEX('Asset Detail'!E:E,_xlfn.XMATCH(A916,'Asset Detail'!A:A,3)),"—"))</f>
        <v/>
      </c>
      <c r="H916" s="34"/>
      <c r="I916" s="39"/>
    </row>
    <row r="917" spans="1:9" x14ac:dyDescent="0.25">
      <c r="A917" s="23" t="str">
        <f t="shared" si="14"/>
        <v/>
      </c>
      <c r="B917" s="38"/>
      <c r="C917" s="34"/>
      <c r="D917" s="180" t="s">
        <v>4</v>
      </c>
      <c r="E917" s="32" t="str">
        <f>IF(A917="","",IF(COUNTIF('Asset Detail'!A:A,A917)&gt;0,"✓ Found","✗ Not Found"))</f>
        <v/>
      </c>
      <c r="F917" s="31" t="str" cm="1">
        <f t="array" ref="F917">IF(A917="","",IFERROR(INDEX('Asset Detail'!C:C,_xlfn.XMATCH(A917,'Asset Detail'!A:A,3)),"—"))</f>
        <v/>
      </c>
      <c r="G917" s="32" t="str" cm="1">
        <f t="array" ref="G917">IF(A917="","",IFERROR(INDEX('Asset Detail'!E:E,_xlfn.XMATCH(A917,'Asset Detail'!A:A,3)),"—"))</f>
        <v/>
      </c>
      <c r="H917" s="34"/>
      <c r="I917" s="39"/>
    </row>
    <row r="918" spans="1:9" x14ac:dyDescent="0.25">
      <c r="A918" s="23" t="str">
        <f t="shared" si="14"/>
        <v/>
      </c>
      <c r="B918" s="38"/>
      <c r="C918" s="34"/>
      <c r="D918" s="180" t="s">
        <v>4</v>
      </c>
      <c r="E918" s="32" t="str">
        <f>IF(A918="","",IF(COUNTIF('Asset Detail'!A:A,A918)&gt;0,"✓ Found","✗ Not Found"))</f>
        <v/>
      </c>
      <c r="F918" s="31" t="str" cm="1">
        <f t="array" ref="F918">IF(A918="","",IFERROR(INDEX('Asset Detail'!C:C,_xlfn.XMATCH(A918,'Asset Detail'!A:A,3)),"—"))</f>
        <v/>
      </c>
      <c r="G918" s="32" t="str" cm="1">
        <f t="array" ref="G918">IF(A918="","",IFERROR(INDEX('Asset Detail'!E:E,_xlfn.XMATCH(A918,'Asset Detail'!A:A,3)),"—"))</f>
        <v/>
      </c>
      <c r="H918" s="34"/>
      <c r="I918" s="39"/>
    </row>
    <row r="919" spans="1:9" x14ac:dyDescent="0.25">
      <c r="A919" s="23" t="str">
        <f t="shared" si="14"/>
        <v/>
      </c>
      <c r="B919" s="38"/>
      <c r="C919" s="34"/>
      <c r="D919" s="180" t="s">
        <v>4</v>
      </c>
      <c r="E919" s="32" t="str">
        <f>IF(A919="","",IF(COUNTIF('Asset Detail'!A:A,A919)&gt;0,"✓ Found","✗ Not Found"))</f>
        <v/>
      </c>
      <c r="F919" s="31" t="str" cm="1">
        <f t="array" ref="F919">IF(A919="","",IFERROR(INDEX('Asset Detail'!C:C,_xlfn.XMATCH(A919,'Asset Detail'!A:A,3)),"—"))</f>
        <v/>
      </c>
      <c r="G919" s="32" t="str" cm="1">
        <f t="array" ref="G919">IF(A919="","",IFERROR(INDEX('Asset Detail'!E:E,_xlfn.XMATCH(A919,'Asset Detail'!A:A,3)),"—"))</f>
        <v/>
      </c>
      <c r="H919" s="34"/>
      <c r="I919" s="39"/>
    </row>
    <row r="920" spans="1:9" x14ac:dyDescent="0.25">
      <c r="A920" s="23" t="str">
        <f t="shared" si="14"/>
        <v/>
      </c>
      <c r="B920" s="38"/>
      <c r="C920" s="34"/>
      <c r="D920" s="180" t="s">
        <v>4</v>
      </c>
      <c r="E920" s="32" t="str">
        <f>IF(A920="","",IF(COUNTIF('Asset Detail'!A:A,A920)&gt;0,"✓ Found","✗ Not Found"))</f>
        <v/>
      </c>
      <c r="F920" s="31" t="str" cm="1">
        <f t="array" ref="F920">IF(A920="","",IFERROR(INDEX('Asset Detail'!C:C,_xlfn.XMATCH(A920,'Asset Detail'!A:A,3)),"—"))</f>
        <v/>
      </c>
      <c r="G920" s="32" t="str" cm="1">
        <f t="array" ref="G920">IF(A920="","",IFERROR(INDEX('Asset Detail'!E:E,_xlfn.XMATCH(A920,'Asset Detail'!A:A,3)),"—"))</f>
        <v/>
      </c>
      <c r="H920" s="34"/>
      <c r="I920" s="39"/>
    </row>
    <row r="921" spans="1:9" x14ac:dyDescent="0.25">
      <c r="A921" s="23" t="str">
        <f t="shared" si="14"/>
        <v/>
      </c>
      <c r="B921" s="38"/>
      <c r="C921" s="34"/>
      <c r="D921" s="180" t="s">
        <v>4</v>
      </c>
      <c r="E921" s="32" t="str">
        <f>IF(A921="","",IF(COUNTIF('Asset Detail'!A:A,A921)&gt;0,"✓ Found","✗ Not Found"))</f>
        <v/>
      </c>
      <c r="F921" s="31" t="str" cm="1">
        <f t="array" ref="F921">IF(A921="","",IFERROR(INDEX('Asset Detail'!C:C,_xlfn.XMATCH(A921,'Asset Detail'!A:A,3)),"—"))</f>
        <v/>
      </c>
      <c r="G921" s="32" t="str" cm="1">
        <f t="array" ref="G921">IF(A921="","",IFERROR(INDEX('Asset Detail'!E:E,_xlfn.XMATCH(A921,'Asset Detail'!A:A,3)),"—"))</f>
        <v/>
      </c>
      <c r="H921" s="34"/>
      <c r="I921" s="39"/>
    </row>
    <row r="922" spans="1:9" x14ac:dyDescent="0.25">
      <c r="A922" s="23" t="str">
        <f t="shared" si="14"/>
        <v/>
      </c>
      <c r="B922" s="38"/>
      <c r="C922" s="34"/>
      <c r="D922" s="180" t="s">
        <v>4</v>
      </c>
      <c r="E922" s="32" t="str">
        <f>IF(A922="","",IF(COUNTIF('Asset Detail'!A:A,A922)&gt;0,"✓ Found","✗ Not Found"))</f>
        <v/>
      </c>
      <c r="F922" s="31" t="str" cm="1">
        <f t="array" ref="F922">IF(A922="","",IFERROR(INDEX('Asset Detail'!C:C,_xlfn.XMATCH(A922,'Asset Detail'!A:A,3)),"—"))</f>
        <v/>
      </c>
      <c r="G922" s="32" t="str" cm="1">
        <f t="array" ref="G922">IF(A922="","",IFERROR(INDEX('Asset Detail'!E:E,_xlfn.XMATCH(A922,'Asset Detail'!A:A,3)),"—"))</f>
        <v/>
      </c>
      <c r="H922" s="34"/>
      <c r="I922" s="39"/>
    </row>
    <row r="923" spans="1:9" x14ac:dyDescent="0.25">
      <c r="A923" s="23" t="str">
        <f t="shared" si="14"/>
        <v/>
      </c>
      <c r="B923" s="38"/>
      <c r="C923" s="34"/>
      <c r="D923" s="180" t="s">
        <v>4</v>
      </c>
      <c r="E923" s="32" t="str">
        <f>IF(A923="","",IF(COUNTIF('Asset Detail'!A:A,A923)&gt;0,"✓ Found","✗ Not Found"))</f>
        <v/>
      </c>
      <c r="F923" s="31" t="str" cm="1">
        <f t="array" ref="F923">IF(A923="","",IFERROR(INDEX('Asset Detail'!C:C,_xlfn.XMATCH(A923,'Asset Detail'!A:A,3)),"—"))</f>
        <v/>
      </c>
      <c r="G923" s="32" t="str" cm="1">
        <f t="array" ref="G923">IF(A923="","",IFERROR(INDEX('Asset Detail'!E:E,_xlfn.XMATCH(A923,'Asset Detail'!A:A,3)),"—"))</f>
        <v/>
      </c>
      <c r="H923" s="34"/>
      <c r="I923" s="39"/>
    </row>
    <row r="924" spans="1:9" x14ac:dyDescent="0.25">
      <c r="A924" s="23" t="str">
        <f t="shared" si="14"/>
        <v/>
      </c>
      <c r="B924" s="38"/>
      <c r="C924" s="34"/>
      <c r="D924" s="180" t="s">
        <v>4</v>
      </c>
      <c r="E924" s="32" t="str">
        <f>IF(A924="","",IF(COUNTIF('Asset Detail'!A:A,A924)&gt;0,"✓ Found","✗ Not Found"))</f>
        <v/>
      </c>
      <c r="F924" s="31" t="str" cm="1">
        <f t="array" ref="F924">IF(A924="","",IFERROR(INDEX('Asset Detail'!C:C,_xlfn.XMATCH(A924,'Asset Detail'!A:A,3)),"—"))</f>
        <v/>
      </c>
      <c r="G924" s="32" t="str" cm="1">
        <f t="array" ref="G924">IF(A924="","",IFERROR(INDEX('Asset Detail'!E:E,_xlfn.XMATCH(A924,'Asset Detail'!A:A,3)),"—"))</f>
        <v/>
      </c>
      <c r="H924" s="34"/>
      <c r="I924" s="39"/>
    </row>
    <row r="925" spans="1:9" x14ac:dyDescent="0.25">
      <c r="A925" s="23" t="str">
        <f t="shared" si="14"/>
        <v/>
      </c>
      <c r="B925" s="38"/>
      <c r="C925" s="34"/>
      <c r="D925" s="180" t="s">
        <v>4</v>
      </c>
      <c r="E925" s="32" t="str">
        <f>IF(A925="","",IF(COUNTIF('Asset Detail'!A:A,A925)&gt;0,"✓ Found","✗ Not Found"))</f>
        <v/>
      </c>
      <c r="F925" s="31" t="str" cm="1">
        <f t="array" ref="F925">IF(A925="","",IFERROR(INDEX('Asset Detail'!C:C,_xlfn.XMATCH(A925,'Asset Detail'!A:A,3)),"—"))</f>
        <v/>
      </c>
      <c r="G925" s="32" t="str" cm="1">
        <f t="array" ref="G925">IF(A925="","",IFERROR(INDEX('Asset Detail'!E:E,_xlfn.XMATCH(A925,'Asset Detail'!A:A,3)),"—"))</f>
        <v/>
      </c>
      <c r="H925" s="34"/>
      <c r="I925" s="39"/>
    </row>
    <row r="926" spans="1:9" x14ac:dyDescent="0.25">
      <c r="A926" s="23" t="str">
        <f t="shared" si="14"/>
        <v/>
      </c>
      <c r="B926" s="38"/>
      <c r="C926" s="34"/>
      <c r="D926" s="180" t="s">
        <v>4</v>
      </c>
      <c r="E926" s="32" t="str">
        <f>IF(A926="","",IF(COUNTIF('Asset Detail'!A:A,A926)&gt;0,"✓ Found","✗ Not Found"))</f>
        <v/>
      </c>
      <c r="F926" s="31" t="str" cm="1">
        <f t="array" ref="F926">IF(A926="","",IFERROR(INDEX('Asset Detail'!C:C,_xlfn.XMATCH(A926,'Asset Detail'!A:A,3)),"—"))</f>
        <v/>
      </c>
      <c r="G926" s="32" t="str" cm="1">
        <f t="array" ref="G926">IF(A926="","",IFERROR(INDEX('Asset Detail'!E:E,_xlfn.XMATCH(A926,'Asset Detail'!A:A,3)),"—"))</f>
        <v/>
      </c>
      <c r="H926" s="34"/>
      <c r="I926" s="39"/>
    </row>
    <row r="927" spans="1:9" x14ac:dyDescent="0.25">
      <c r="A927" s="23" t="str">
        <f t="shared" si="14"/>
        <v/>
      </c>
      <c r="B927" s="38"/>
      <c r="C927" s="34"/>
      <c r="D927" s="180" t="s">
        <v>4</v>
      </c>
      <c r="E927" s="32" t="str">
        <f>IF(A927="","",IF(COUNTIF('Asset Detail'!A:A,A927)&gt;0,"✓ Found","✗ Not Found"))</f>
        <v/>
      </c>
      <c r="F927" s="31" t="str" cm="1">
        <f t="array" ref="F927">IF(A927="","",IFERROR(INDEX('Asset Detail'!C:C,_xlfn.XMATCH(A927,'Asset Detail'!A:A,3)),"—"))</f>
        <v/>
      </c>
      <c r="G927" s="32" t="str" cm="1">
        <f t="array" ref="G927">IF(A927="","",IFERROR(INDEX('Asset Detail'!E:E,_xlfn.XMATCH(A927,'Asset Detail'!A:A,3)),"—"))</f>
        <v/>
      </c>
      <c r="H927" s="34"/>
      <c r="I927" s="39"/>
    </row>
    <row r="928" spans="1:9" x14ac:dyDescent="0.25">
      <c r="A928" s="23" t="str">
        <f t="shared" si="14"/>
        <v/>
      </c>
      <c r="B928" s="38"/>
      <c r="C928" s="34"/>
      <c r="D928" s="180" t="s">
        <v>4</v>
      </c>
      <c r="E928" s="32" t="str">
        <f>IF(A928="","",IF(COUNTIF('Asset Detail'!A:A,A928)&gt;0,"✓ Found","✗ Not Found"))</f>
        <v/>
      </c>
      <c r="F928" s="31" t="str" cm="1">
        <f t="array" ref="F928">IF(A928="","",IFERROR(INDEX('Asset Detail'!C:C,_xlfn.XMATCH(A928,'Asset Detail'!A:A,3)),"—"))</f>
        <v/>
      </c>
      <c r="G928" s="32" t="str" cm="1">
        <f t="array" ref="G928">IF(A928="","",IFERROR(INDEX('Asset Detail'!E:E,_xlfn.XMATCH(A928,'Asset Detail'!A:A,3)),"—"))</f>
        <v/>
      </c>
      <c r="H928" s="34"/>
      <c r="I928" s="39"/>
    </row>
    <row r="929" spans="1:9" x14ac:dyDescent="0.25">
      <c r="A929" s="23" t="str">
        <f t="shared" si="14"/>
        <v/>
      </c>
      <c r="B929" s="38"/>
      <c r="C929" s="34"/>
      <c r="D929" s="180" t="s">
        <v>4</v>
      </c>
      <c r="E929" s="32" t="str">
        <f>IF(A929="","",IF(COUNTIF('Asset Detail'!A:A,A929)&gt;0,"✓ Found","✗ Not Found"))</f>
        <v/>
      </c>
      <c r="F929" s="31" t="str" cm="1">
        <f t="array" ref="F929">IF(A929="","",IFERROR(INDEX('Asset Detail'!C:C,_xlfn.XMATCH(A929,'Asset Detail'!A:A,3)),"—"))</f>
        <v/>
      </c>
      <c r="G929" s="32" t="str" cm="1">
        <f t="array" ref="G929">IF(A929="","",IFERROR(INDEX('Asset Detail'!E:E,_xlfn.XMATCH(A929,'Asset Detail'!A:A,3)),"—"))</f>
        <v/>
      </c>
      <c r="H929" s="34"/>
      <c r="I929" s="39"/>
    </row>
    <row r="930" spans="1:9" x14ac:dyDescent="0.25">
      <c r="A930" s="23" t="str">
        <f t="shared" si="14"/>
        <v/>
      </c>
      <c r="B930" s="38"/>
      <c r="C930" s="34"/>
      <c r="D930" s="180" t="s">
        <v>4</v>
      </c>
      <c r="E930" s="32" t="str">
        <f>IF(A930="","",IF(COUNTIF('Asset Detail'!A:A,A930)&gt;0,"✓ Found","✗ Not Found"))</f>
        <v/>
      </c>
      <c r="F930" s="31" t="str" cm="1">
        <f t="array" ref="F930">IF(A930="","",IFERROR(INDEX('Asset Detail'!C:C,_xlfn.XMATCH(A930,'Asset Detail'!A:A,3)),"—"))</f>
        <v/>
      </c>
      <c r="G930" s="32" t="str" cm="1">
        <f t="array" ref="G930">IF(A930="","",IFERROR(INDEX('Asset Detail'!E:E,_xlfn.XMATCH(A930,'Asset Detail'!A:A,3)),"—"))</f>
        <v/>
      </c>
      <c r="H930" s="34"/>
      <c r="I930" s="39"/>
    </row>
    <row r="931" spans="1:9" x14ac:dyDescent="0.25">
      <c r="A931" s="23" t="str">
        <f t="shared" si="14"/>
        <v/>
      </c>
      <c r="B931" s="38"/>
      <c r="C931" s="34"/>
      <c r="D931" s="180" t="s">
        <v>4</v>
      </c>
      <c r="E931" s="32" t="str">
        <f>IF(A931="","",IF(COUNTIF('Asset Detail'!A:A,A931)&gt;0,"✓ Found","✗ Not Found"))</f>
        <v/>
      </c>
      <c r="F931" s="31" t="str" cm="1">
        <f t="array" ref="F931">IF(A931="","",IFERROR(INDEX('Asset Detail'!C:C,_xlfn.XMATCH(A931,'Asset Detail'!A:A,3)),"—"))</f>
        <v/>
      </c>
      <c r="G931" s="32" t="str" cm="1">
        <f t="array" ref="G931">IF(A931="","",IFERROR(INDEX('Asset Detail'!E:E,_xlfn.XMATCH(A931,'Asset Detail'!A:A,3)),"—"))</f>
        <v/>
      </c>
      <c r="H931" s="34"/>
      <c r="I931" s="39"/>
    </row>
    <row r="932" spans="1:9" x14ac:dyDescent="0.25">
      <c r="A932" s="23" t="str">
        <f t="shared" si="14"/>
        <v/>
      </c>
      <c r="B932" s="38"/>
      <c r="C932" s="34"/>
      <c r="D932" s="180" t="s">
        <v>4</v>
      </c>
      <c r="E932" s="32" t="str">
        <f>IF(A932="","",IF(COUNTIF('Asset Detail'!A:A,A932)&gt;0,"✓ Found","✗ Not Found"))</f>
        <v/>
      </c>
      <c r="F932" s="31" t="str" cm="1">
        <f t="array" ref="F932">IF(A932="","",IFERROR(INDEX('Asset Detail'!C:C,_xlfn.XMATCH(A932,'Asset Detail'!A:A,3)),"—"))</f>
        <v/>
      </c>
      <c r="G932" s="32" t="str" cm="1">
        <f t="array" ref="G932">IF(A932="","",IFERROR(INDEX('Asset Detail'!E:E,_xlfn.XMATCH(A932,'Asset Detail'!A:A,3)),"—"))</f>
        <v/>
      </c>
      <c r="H932" s="34"/>
      <c r="I932" s="39"/>
    </row>
    <row r="933" spans="1:9" x14ac:dyDescent="0.25">
      <c r="A933" s="23" t="str">
        <f t="shared" si="14"/>
        <v/>
      </c>
      <c r="B933" s="38"/>
      <c r="C933" s="34"/>
      <c r="D933" s="180" t="s">
        <v>4</v>
      </c>
      <c r="E933" s="32" t="str">
        <f>IF(A933="","",IF(COUNTIF('Asset Detail'!A:A,A933)&gt;0,"✓ Found","✗ Not Found"))</f>
        <v/>
      </c>
      <c r="F933" s="31" t="str" cm="1">
        <f t="array" ref="F933">IF(A933="","",IFERROR(INDEX('Asset Detail'!C:C,_xlfn.XMATCH(A933,'Asset Detail'!A:A,3)),"—"))</f>
        <v/>
      </c>
      <c r="G933" s="32" t="str" cm="1">
        <f t="array" ref="G933">IF(A933="","",IFERROR(INDEX('Asset Detail'!E:E,_xlfn.XMATCH(A933,'Asset Detail'!A:A,3)),"—"))</f>
        <v/>
      </c>
      <c r="H933" s="34"/>
      <c r="I933" s="39"/>
    </row>
    <row r="934" spans="1:9" x14ac:dyDescent="0.25">
      <c r="A934" s="23" t="str">
        <f t="shared" si="14"/>
        <v/>
      </c>
      <c r="B934" s="38"/>
      <c r="C934" s="34"/>
      <c r="D934" s="180" t="s">
        <v>4</v>
      </c>
      <c r="E934" s="32" t="str">
        <f>IF(A934="","",IF(COUNTIF('Asset Detail'!A:A,A934)&gt;0,"✓ Found","✗ Not Found"))</f>
        <v/>
      </c>
      <c r="F934" s="31" t="str" cm="1">
        <f t="array" ref="F934">IF(A934="","",IFERROR(INDEX('Asset Detail'!C:C,_xlfn.XMATCH(A934,'Asset Detail'!A:A,3)),"—"))</f>
        <v/>
      </c>
      <c r="G934" s="32" t="str" cm="1">
        <f t="array" ref="G934">IF(A934="","",IFERROR(INDEX('Asset Detail'!E:E,_xlfn.XMATCH(A934,'Asset Detail'!A:A,3)),"—"))</f>
        <v/>
      </c>
      <c r="H934" s="34"/>
      <c r="I934" s="39"/>
    </row>
    <row r="935" spans="1:9" x14ac:dyDescent="0.25">
      <c r="A935" s="23" t="str">
        <f t="shared" si="14"/>
        <v/>
      </c>
      <c r="B935" s="38"/>
      <c r="C935" s="34"/>
      <c r="D935" s="180" t="s">
        <v>4</v>
      </c>
      <c r="E935" s="32" t="str">
        <f>IF(A935="","",IF(COUNTIF('Asset Detail'!A:A,A935)&gt;0,"✓ Found","✗ Not Found"))</f>
        <v/>
      </c>
      <c r="F935" s="31" t="str" cm="1">
        <f t="array" ref="F935">IF(A935="","",IFERROR(INDEX('Asset Detail'!C:C,_xlfn.XMATCH(A935,'Asset Detail'!A:A,3)),"—"))</f>
        <v/>
      </c>
      <c r="G935" s="32" t="str" cm="1">
        <f t="array" ref="G935">IF(A935="","",IFERROR(INDEX('Asset Detail'!E:E,_xlfn.XMATCH(A935,'Asset Detail'!A:A,3)),"—"))</f>
        <v/>
      </c>
      <c r="H935" s="34"/>
      <c r="I935" s="39"/>
    </row>
    <row r="936" spans="1:9" x14ac:dyDescent="0.25">
      <c r="A936" s="23" t="str">
        <f t="shared" si="14"/>
        <v/>
      </c>
      <c r="B936" s="38"/>
      <c r="C936" s="34"/>
      <c r="D936" s="180" t="s">
        <v>4</v>
      </c>
      <c r="E936" s="32" t="str">
        <f>IF(A936="","",IF(COUNTIF('Asset Detail'!A:A,A936)&gt;0,"✓ Found","✗ Not Found"))</f>
        <v/>
      </c>
      <c r="F936" s="31" t="str" cm="1">
        <f t="array" ref="F936">IF(A936="","",IFERROR(INDEX('Asset Detail'!C:C,_xlfn.XMATCH(A936,'Asset Detail'!A:A,3)),"—"))</f>
        <v/>
      </c>
      <c r="G936" s="32" t="str" cm="1">
        <f t="array" ref="G936">IF(A936="","",IFERROR(INDEX('Asset Detail'!E:E,_xlfn.XMATCH(A936,'Asset Detail'!A:A,3)),"—"))</f>
        <v/>
      </c>
      <c r="H936" s="34"/>
      <c r="I936" s="39"/>
    </row>
    <row r="937" spans="1:9" x14ac:dyDescent="0.25">
      <c r="A937" s="23" t="str">
        <f t="shared" si="14"/>
        <v/>
      </c>
      <c r="B937" s="38"/>
      <c r="C937" s="34"/>
      <c r="D937" s="180" t="s">
        <v>4</v>
      </c>
      <c r="E937" s="32" t="str">
        <f>IF(A937="","",IF(COUNTIF('Asset Detail'!A:A,A937)&gt;0,"✓ Found","✗ Not Found"))</f>
        <v/>
      </c>
      <c r="F937" s="31" t="str" cm="1">
        <f t="array" ref="F937">IF(A937="","",IFERROR(INDEX('Asset Detail'!C:C,_xlfn.XMATCH(A937,'Asset Detail'!A:A,3)),"—"))</f>
        <v/>
      </c>
      <c r="G937" s="32" t="str" cm="1">
        <f t="array" ref="G937">IF(A937="","",IFERROR(INDEX('Asset Detail'!E:E,_xlfn.XMATCH(A937,'Asset Detail'!A:A,3)),"—"))</f>
        <v/>
      </c>
      <c r="H937" s="34"/>
      <c r="I937" s="39"/>
    </row>
    <row r="938" spans="1:9" x14ac:dyDescent="0.25">
      <c r="A938" s="23" t="str">
        <f t="shared" si="14"/>
        <v/>
      </c>
      <c r="B938" s="38"/>
      <c r="C938" s="34"/>
      <c r="D938" s="180" t="s">
        <v>4</v>
      </c>
      <c r="E938" s="32" t="str">
        <f>IF(A938="","",IF(COUNTIF('Asset Detail'!A:A,A938)&gt;0,"✓ Found","✗ Not Found"))</f>
        <v/>
      </c>
      <c r="F938" s="31" t="str" cm="1">
        <f t="array" ref="F938">IF(A938="","",IFERROR(INDEX('Asset Detail'!C:C,_xlfn.XMATCH(A938,'Asset Detail'!A:A,3)),"—"))</f>
        <v/>
      </c>
      <c r="G938" s="32" t="str" cm="1">
        <f t="array" ref="G938">IF(A938="","",IFERROR(INDEX('Asset Detail'!E:E,_xlfn.XMATCH(A938,'Asset Detail'!A:A,3)),"—"))</f>
        <v/>
      </c>
      <c r="H938" s="34"/>
      <c r="I938" s="39"/>
    </row>
    <row r="939" spans="1:9" x14ac:dyDescent="0.25">
      <c r="A939" s="23" t="str">
        <f t="shared" si="14"/>
        <v/>
      </c>
      <c r="B939" s="38"/>
      <c r="C939" s="34"/>
      <c r="D939" s="180" t="s">
        <v>4</v>
      </c>
      <c r="E939" s="32" t="str">
        <f>IF(A939="","",IF(COUNTIF('Asset Detail'!A:A,A939)&gt;0,"✓ Found","✗ Not Found"))</f>
        <v/>
      </c>
      <c r="F939" s="31" t="str" cm="1">
        <f t="array" ref="F939">IF(A939="","",IFERROR(INDEX('Asset Detail'!C:C,_xlfn.XMATCH(A939,'Asset Detail'!A:A,3)),"—"))</f>
        <v/>
      </c>
      <c r="G939" s="32" t="str" cm="1">
        <f t="array" ref="G939">IF(A939="","",IFERROR(INDEX('Asset Detail'!E:E,_xlfn.XMATCH(A939,'Asset Detail'!A:A,3)),"—"))</f>
        <v/>
      </c>
      <c r="H939" s="34"/>
      <c r="I939" s="39"/>
    </row>
    <row r="940" spans="1:9" x14ac:dyDescent="0.25">
      <c r="A940" s="23" t="str">
        <f t="shared" ref="A940:A971" si="15">SUBSTITUTE(I940, "S", "")</f>
        <v/>
      </c>
      <c r="B940" s="38"/>
      <c r="C940" s="34"/>
      <c r="D940" s="180" t="s">
        <v>4</v>
      </c>
      <c r="E940" s="32" t="str">
        <f>IF(A940="","",IF(COUNTIF('Asset Detail'!A:A,A940)&gt;0,"✓ Found","✗ Not Found"))</f>
        <v/>
      </c>
      <c r="F940" s="31" t="str" cm="1">
        <f t="array" ref="F940">IF(A940="","",IFERROR(INDEX('Asset Detail'!C:C,_xlfn.XMATCH(A940,'Asset Detail'!A:A,3)),"—"))</f>
        <v/>
      </c>
      <c r="G940" s="32" t="str" cm="1">
        <f t="array" ref="G940">IF(A940="","",IFERROR(INDEX('Asset Detail'!E:E,_xlfn.XMATCH(A940,'Asset Detail'!A:A,3)),"—"))</f>
        <v/>
      </c>
      <c r="H940" s="34"/>
      <c r="I940" s="39"/>
    </row>
    <row r="941" spans="1:9" x14ac:dyDescent="0.25">
      <c r="A941" s="23" t="str">
        <f t="shared" si="15"/>
        <v/>
      </c>
      <c r="B941" s="38"/>
      <c r="C941" s="34"/>
      <c r="D941" s="180" t="s">
        <v>4</v>
      </c>
      <c r="E941" s="32" t="str">
        <f>IF(A941="","",IF(COUNTIF('Asset Detail'!A:A,A941)&gt;0,"✓ Found","✗ Not Found"))</f>
        <v/>
      </c>
      <c r="F941" s="31" t="str" cm="1">
        <f t="array" ref="F941">IF(A941="","",IFERROR(INDEX('Asset Detail'!C:C,_xlfn.XMATCH(A941,'Asset Detail'!A:A,3)),"—"))</f>
        <v/>
      </c>
      <c r="G941" s="32" t="str" cm="1">
        <f t="array" ref="G941">IF(A941="","",IFERROR(INDEX('Asset Detail'!E:E,_xlfn.XMATCH(A941,'Asset Detail'!A:A,3)),"—"))</f>
        <v/>
      </c>
      <c r="H941" s="34"/>
      <c r="I941" s="39"/>
    </row>
    <row r="942" spans="1:9" x14ac:dyDescent="0.25">
      <c r="A942" s="23" t="str">
        <f t="shared" si="15"/>
        <v/>
      </c>
      <c r="B942" s="38"/>
      <c r="C942" s="34"/>
      <c r="D942" s="180" t="s">
        <v>4</v>
      </c>
      <c r="E942" s="32" t="str">
        <f>IF(A942="","",IF(COUNTIF('Asset Detail'!A:A,A942)&gt;0,"✓ Found","✗ Not Found"))</f>
        <v/>
      </c>
      <c r="F942" s="31" t="str" cm="1">
        <f t="array" ref="F942">IF(A942="","",IFERROR(INDEX('Asset Detail'!C:C,_xlfn.XMATCH(A942,'Asset Detail'!A:A,3)),"—"))</f>
        <v/>
      </c>
      <c r="G942" s="32" t="str" cm="1">
        <f t="array" ref="G942">IF(A942="","",IFERROR(INDEX('Asset Detail'!E:E,_xlfn.XMATCH(A942,'Asset Detail'!A:A,3)),"—"))</f>
        <v/>
      </c>
      <c r="H942" s="34"/>
      <c r="I942" s="39"/>
    </row>
    <row r="943" spans="1:9" x14ac:dyDescent="0.25">
      <c r="A943" s="23" t="str">
        <f t="shared" si="15"/>
        <v/>
      </c>
      <c r="B943" s="38"/>
      <c r="C943" s="34"/>
      <c r="D943" s="180" t="s">
        <v>4</v>
      </c>
      <c r="E943" s="32" t="str">
        <f>IF(A943="","",IF(COUNTIF('Asset Detail'!A:A,A943)&gt;0,"✓ Found","✗ Not Found"))</f>
        <v/>
      </c>
      <c r="F943" s="31" t="str" cm="1">
        <f t="array" ref="F943">IF(A943="","",IFERROR(INDEX('Asset Detail'!C:C,_xlfn.XMATCH(A943,'Asset Detail'!A:A,3)),"—"))</f>
        <v/>
      </c>
      <c r="G943" s="32" t="str" cm="1">
        <f t="array" ref="G943">IF(A943="","",IFERROR(INDEX('Asset Detail'!E:E,_xlfn.XMATCH(A943,'Asset Detail'!A:A,3)),"—"))</f>
        <v/>
      </c>
      <c r="H943" s="34"/>
      <c r="I943" s="39"/>
    </row>
    <row r="944" spans="1:9" x14ac:dyDescent="0.25">
      <c r="A944" s="23" t="str">
        <f t="shared" si="15"/>
        <v/>
      </c>
      <c r="B944" s="38"/>
      <c r="C944" s="34"/>
      <c r="D944" s="180" t="s">
        <v>4</v>
      </c>
      <c r="E944" s="32" t="str">
        <f>IF(A944="","",IF(COUNTIF('Asset Detail'!A:A,A944)&gt;0,"✓ Found","✗ Not Found"))</f>
        <v/>
      </c>
      <c r="F944" s="31" t="str" cm="1">
        <f t="array" ref="F944">IF(A944="","",IFERROR(INDEX('Asset Detail'!C:C,_xlfn.XMATCH(A944,'Asset Detail'!A:A,3)),"—"))</f>
        <v/>
      </c>
      <c r="G944" s="32" t="str" cm="1">
        <f t="array" ref="G944">IF(A944="","",IFERROR(INDEX('Asset Detail'!E:E,_xlfn.XMATCH(A944,'Asset Detail'!A:A,3)),"—"))</f>
        <v/>
      </c>
      <c r="H944" s="34"/>
      <c r="I944" s="39"/>
    </row>
    <row r="945" spans="1:9" x14ac:dyDescent="0.25">
      <c r="A945" s="23" t="str">
        <f t="shared" si="15"/>
        <v/>
      </c>
      <c r="B945" s="38"/>
      <c r="C945" s="34"/>
      <c r="D945" s="180" t="s">
        <v>4</v>
      </c>
      <c r="E945" s="32" t="str">
        <f>IF(A945="","",IF(COUNTIF('Asset Detail'!A:A,A945)&gt;0,"✓ Found","✗ Not Found"))</f>
        <v/>
      </c>
      <c r="F945" s="31" t="str" cm="1">
        <f t="array" ref="F945">IF(A945="","",IFERROR(INDEX('Asset Detail'!C:C,_xlfn.XMATCH(A945,'Asset Detail'!A:A,3)),"—"))</f>
        <v/>
      </c>
      <c r="G945" s="32" t="str" cm="1">
        <f t="array" ref="G945">IF(A945="","",IFERROR(INDEX('Asset Detail'!E:E,_xlfn.XMATCH(A945,'Asset Detail'!A:A,3)),"—"))</f>
        <v/>
      </c>
      <c r="H945" s="34"/>
      <c r="I945" s="39"/>
    </row>
    <row r="946" spans="1:9" x14ac:dyDescent="0.25">
      <c r="A946" s="23" t="str">
        <f t="shared" si="15"/>
        <v/>
      </c>
      <c r="B946" s="38"/>
      <c r="C946" s="34"/>
      <c r="D946" s="180" t="s">
        <v>4</v>
      </c>
      <c r="E946" s="32" t="str">
        <f>IF(A946="","",IF(COUNTIF('Asset Detail'!A:A,A946)&gt;0,"✓ Found","✗ Not Found"))</f>
        <v/>
      </c>
      <c r="F946" s="31" t="str" cm="1">
        <f t="array" ref="F946">IF(A946="","",IFERROR(INDEX('Asset Detail'!C:C,_xlfn.XMATCH(A946,'Asset Detail'!A:A,3)),"—"))</f>
        <v/>
      </c>
      <c r="G946" s="32" t="str" cm="1">
        <f t="array" ref="G946">IF(A946="","",IFERROR(INDEX('Asset Detail'!E:E,_xlfn.XMATCH(A946,'Asset Detail'!A:A,3)),"—"))</f>
        <v/>
      </c>
      <c r="H946" s="34"/>
      <c r="I946" s="39"/>
    </row>
    <row r="947" spans="1:9" x14ac:dyDescent="0.25">
      <c r="A947" s="23" t="str">
        <f t="shared" si="15"/>
        <v/>
      </c>
      <c r="B947" s="38"/>
      <c r="C947" s="34"/>
      <c r="D947" s="180" t="s">
        <v>4</v>
      </c>
      <c r="E947" s="32" t="str">
        <f>IF(A947="","",IF(COUNTIF('Asset Detail'!A:A,A947)&gt;0,"✓ Found","✗ Not Found"))</f>
        <v/>
      </c>
      <c r="F947" s="31" t="str" cm="1">
        <f t="array" ref="F947">IF(A947="","",IFERROR(INDEX('Asset Detail'!C:C,_xlfn.XMATCH(A947,'Asset Detail'!A:A,3)),"—"))</f>
        <v/>
      </c>
      <c r="G947" s="32" t="str" cm="1">
        <f t="array" ref="G947">IF(A947="","",IFERROR(INDEX('Asset Detail'!E:E,_xlfn.XMATCH(A947,'Asset Detail'!A:A,3)),"—"))</f>
        <v/>
      </c>
      <c r="H947" s="34"/>
      <c r="I947" s="39"/>
    </row>
    <row r="948" spans="1:9" x14ac:dyDescent="0.25">
      <c r="A948" s="23" t="str">
        <f t="shared" si="15"/>
        <v/>
      </c>
      <c r="B948" s="38"/>
      <c r="C948" s="34"/>
      <c r="D948" s="180" t="s">
        <v>4</v>
      </c>
      <c r="E948" s="32" t="str">
        <f>IF(A948="","",IF(COUNTIF('Asset Detail'!A:A,A948)&gt;0,"✓ Found","✗ Not Found"))</f>
        <v/>
      </c>
      <c r="F948" s="31" t="str" cm="1">
        <f t="array" ref="F948">IF(A948="","",IFERROR(INDEX('Asset Detail'!C:C,_xlfn.XMATCH(A948,'Asset Detail'!A:A,3)),"—"))</f>
        <v/>
      </c>
      <c r="G948" s="32" t="str" cm="1">
        <f t="array" ref="G948">IF(A948="","",IFERROR(INDEX('Asset Detail'!E:E,_xlfn.XMATCH(A948,'Asset Detail'!A:A,3)),"—"))</f>
        <v/>
      </c>
      <c r="H948" s="34"/>
      <c r="I948" s="39"/>
    </row>
    <row r="949" spans="1:9" x14ac:dyDescent="0.25">
      <c r="A949" s="23" t="str">
        <f t="shared" si="15"/>
        <v/>
      </c>
      <c r="B949" s="38"/>
      <c r="C949" s="34"/>
      <c r="D949" s="180" t="s">
        <v>4</v>
      </c>
      <c r="E949" s="32" t="str">
        <f>IF(A949="","",IF(COUNTIF('Asset Detail'!A:A,A949)&gt;0,"✓ Found","✗ Not Found"))</f>
        <v/>
      </c>
      <c r="F949" s="31" t="str" cm="1">
        <f t="array" ref="F949">IF(A949="","",IFERROR(INDEX('Asset Detail'!C:C,_xlfn.XMATCH(A949,'Asset Detail'!A:A,3)),"—"))</f>
        <v/>
      </c>
      <c r="G949" s="32" t="str" cm="1">
        <f t="array" ref="G949">IF(A949="","",IFERROR(INDEX('Asset Detail'!E:E,_xlfn.XMATCH(A949,'Asset Detail'!A:A,3)),"—"))</f>
        <v/>
      </c>
      <c r="H949" s="34"/>
      <c r="I949" s="39"/>
    </row>
    <row r="950" spans="1:9" x14ac:dyDescent="0.25">
      <c r="A950" s="23" t="str">
        <f t="shared" si="15"/>
        <v/>
      </c>
      <c r="B950" s="38"/>
      <c r="C950" s="34"/>
      <c r="D950" s="180" t="s">
        <v>4</v>
      </c>
      <c r="E950" s="32" t="str">
        <f>IF(A950="","",IF(COUNTIF('Asset Detail'!A:A,A950)&gt;0,"✓ Found","✗ Not Found"))</f>
        <v/>
      </c>
      <c r="F950" s="31" t="str" cm="1">
        <f t="array" ref="F950">IF(A950="","",IFERROR(INDEX('Asset Detail'!C:C,_xlfn.XMATCH(A950,'Asset Detail'!A:A,3)),"—"))</f>
        <v/>
      </c>
      <c r="G950" s="32" t="str" cm="1">
        <f t="array" ref="G950">IF(A950="","",IFERROR(INDEX('Asset Detail'!E:E,_xlfn.XMATCH(A950,'Asset Detail'!A:A,3)),"—"))</f>
        <v/>
      </c>
      <c r="H950" s="34"/>
      <c r="I950" s="39"/>
    </row>
    <row r="951" spans="1:9" x14ac:dyDescent="0.25">
      <c r="A951" s="23" t="str">
        <f t="shared" si="15"/>
        <v/>
      </c>
      <c r="B951" s="38"/>
      <c r="C951" s="34"/>
      <c r="D951" s="180" t="s">
        <v>4</v>
      </c>
      <c r="E951" s="32" t="str">
        <f>IF(A951="","",IF(COUNTIF('Asset Detail'!A:A,A951)&gt;0,"✓ Found","✗ Not Found"))</f>
        <v/>
      </c>
      <c r="F951" s="31" t="str" cm="1">
        <f t="array" ref="F951">IF(A951="","",IFERROR(INDEX('Asset Detail'!C:C,_xlfn.XMATCH(A951,'Asset Detail'!A:A,3)),"—"))</f>
        <v/>
      </c>
      <c r="G951" s="32" t="str" cm="1">
        <f t="array" ref="G951">IF(A951="","",IFERROR(INDEX('Asset Detail'!E:E,_xlfn.XMATCH(A951,'Asset Detail'!A:A,3)),"—"))</f>
        <v/>
      </c>
      <c r="H951" s="34"/>
      <c r="I951" s="39"/>
    </row>
    <row r="952" spans="1:9" x14ac:dyDescent="0.25">
      <c r="A952" s="23" t="str">
        <f t="shared" si="15"/>
        <v/>
      </c>
      <c r="B952" s="38"/>
      <c r="C952" s="34"/>
      <c r="D952" s="180" t="s">
        <v>4</v>
      </c>
      <c r="E952" s="32" t="str">
        <f>IF(A952="","",IF(COUNTIF('Asset Detail'!A:A,A952)&gt;0,"✓ Found","✗ Not Found"))</f>
        <v/>
      </c>
      <c r="F952" s="31" t="str" cm="1">
        <f t="array" ref="F952">IF(A952="","",IFERROR(INDEX('Asset Detail'!C:C,_xlfn.XMATCH(A952,'Asset Detail'!A:A,3)),"—"))</f>
        <v/>
      </c>
      <c r="G952" s="32" t="str" cm="1">
        <f t="array" ref="G952">IF(A952="","",IFERROR(INDEX('Asset Detail'!E:E,_xlfn.XMATCH(A952,'Asset Detail'!A:A,3)),"—"))</f>
        <v/>
      </c>
      <c r="H952" s="34"/>
      <c r="I952" s="39"/>
    </row>
    <row r="953" spans="1:9" x14ac:dyDescent="0.25">
      <c r="A953" s="23" t="str">
        <f t="shared" si="15"/>
        <v/>
      </c>
      <c r="B953" s="38"/>
      <c r="C953" s="34"/>
      <c r="D953" s="180" t="s">
        <v>4</v>
      </c>
      <c r="E953" s="32" t="str">
        <f>IF(A953="","",IF(COUNTIF('Asset Detail'!A:A,A953)&gt;0,"✓ Found","✗ Not Found"))</f>
        <v/>
      </c>
      <c r="F953" s="31" t="str" cm="1">
        <f t="array" ref="F953">IF(A953="","",IFERROR(INDEX('Asset Detail'!C:C,_xlfn.XMATCH(A953,'Asset Detail'!A:A,3)),"—"))</f>
        <v/>
      </c>
      <c r="G953" s="32" t="str" cm="1">
        <f t="array" ref="G953">IF(A953="","",IFERROR(INDEX('Asset Detail'!E:E,_xlfn.XMATCH(A953,'Asset Detail'!A:A,3)),"—"))</f>
        <v/>
      </c>
      <c r="H953" s="34"/>
      <c r="I953" s="39"/>
    </row>
    <row r="954" spans="1:9" x14ac:dyDescent="0.25">
      <c r="A954" s="23" t="str">
        <f t="shared" si="15"/>
        <v/>
      </c>
      <c r="B954" s="38"/>
      <c r="C954" s="34"/>
      <c r="D954" s="180" t="s">
        <v>4</v>
      </c>
      <c r="E954" s="32" t="str">
        <f>IF(A954="","",IF(COUNTIF('Asset Detail'!A:A,A954)&gt;0,"✓ Found","✗ Not Found"))</f>
        <v/>
      </c>
      <c r="F954" s="31" t="str" cm="1">
        <f t="array" ref="F954">IF(A954="","",IFERROR(INDEX('Asset Detail'!C:C,_xlfn.XMATCH(A954,'Asset Detail'!A:A,3)),"—"))</f>
        <v/>
      </c>
      <c r="G954" s="32" t="str" cm="1">
        <f t="array" ref="G954">IF(A954="","",IFERROR(INDEX('Asset Detail'!E:E,_xlfn.XMATCH(A954,'Asset Detail'!A:A,3)),"—"))</f>
        <v/>
      </c>
      <c r="H954" s="34"/>
      <c r="I954" s="39"/>
    </row>
    <row r="955" spans="1:9" x14ac:dyDescent="0.25">
      <c r="A955" s="23" t="str">
        <f t="shared" si="15"/>
        <v/>
      </c>
      <c r="B955" s="38"/>
      <c r="C955" s="34"/>
      <c r="D955" s="180" t="s">
        <v>4</v>
      </c>
      <c r="E955" s="32" t="str">
        <f>IF(A955="","",IF(COUNTIF('Asset Detail'!A:A,A955)&gt;0,"✓ Found","✗ Not Found"))</f>
        <v/>
      </c>
      <c r="F955" s="31" t="str" cm="1">
        <f t="array" ref="F955">IF(A955="","",IFERROR(INDEX('Asset Detail'!C:C,_xlfn.XMATCH(A955,'Asset Detail'!A:A,3)),"—"))</f>
        <v/>
      </c>
      <c r="G955" s="32" t="str" cm="1">
        <f t="array" ref="G955">IF(A955="","",IFERROR(INDEX('Asset Detail'!E:E,_xlfn.XMATCH(A955,'Asset Detail'!A:A,3)),"—"))</f>
        <v/>
      </c>
      <c r="H955" s="34"/>
      <c r="I955" s="39"/>
    </row>
    <row r="956" spans="1:9" x14ac:dyDescent="0.25">
      <c r="A956" s="23" t="str">
        <f t="shared" si="15"/>
        <v/>
      </c>
      <c r="B956" s="38"/>
      <c r="C956" s="34"/>
      <c r="D956" s="180" t="s">
        <v>4</v>
      </c>
      <c r="E956" s="32" t="str">
        <f>IF(A956="","",IF(COUNTIF('Asset Detail'!A:A,A956)&gt;0,"✓ Found","✗ Not Found"))</f>
        <v/>
      </c>
      <c r="F956" s="31" t="str" cm="1">
        <f t="array" ref="F956">IF(A956="","",IFERROR(INDEX('Asset Detail'!C:C,_xlfn.XMATCH(A956,'Asset Detail'!A:A,3)),"—"))</f>
        <v/>
      </c>
      <c r="G956" s="32" t="str" cm="1">
        <f t="array" ref="G956">IF(A956="","",IFERROR(INDEX('Asset Detail'!E:E,_xlfn.XMATCH(A956,'Asset Detail'!A:A,3)),"—"))</f>
        <v/>
      </c>
      <c r="H956" s="34"/>
      <c r="I956" s="39"/>
    </row>
    <row r="957" spans="1:9" x14ac:dyDescent="0.25">
      <c r="A957" s="23" t="str">
        <f t="shared" si="15"/>
        <v/>
      </c>
      <c r="B957" s="38"/>
      <c r="C957" s="34"/>
      <c r="D957" s="180" t="s">
        <v>4</v>
      </c>
      <c r="E957" s="32" t="str">
        <f>IF(A957="","",IF(COUNTIF('Asset Detail'!A:A,A957)&gt;0,"✓ Found","✗ Not Found"))</f>
        <v/>
      </c>
      <c r="F957" s="31" t="str" cm="1">
        <f t="array" ref="F957">IF(A957="","",IFERROR(INDEX('Asset Detail'!C:C,_xlfn.XMATCH(A957,'Asset Detail'!A:A,3)),"—"))</f>
        <v/>
      </c>
      <c r="G957" s="32" t="str" cm="1">
        <f t="array" ref="G957">IF(A957="","",IFERROR(INDEX('Asset Detail'!E:E,_xlfn.XMATCH(A957,'Asset Detail'!A:A,3)),"—"))</f>
        <v/>
      </c>
      <c r="H957" s="34"/>
      <c r="I957" s="39"/>
    </row>
    <row r="958" spans="1:9" x14ac:dyDescent="0.25">
      <c r="A958" s="23" t="str">
        <f t="shared" si="15"/>
        <v/>
      </c>
      <c r="B958" s="38"/>
      <c r="C958" s="34"/>
      <c r="D958" s="180" t="s">
        <v>4</v>
      </c>
      <c r="E958" s="32" t="str">
        <f>IF(A958="","",IF(COUNTIF('Asset Detail'!A:A,A958)&gt;0,"✓ Found","✗ Not Found"))</f>
        <v/>
      </c>
      <c r="F958" s="31" t="str" cm="1">
        <f t="array" ref="F958">IF(A958="","",IFERROR(INDEX('Asset Detail'!C:C,_xlfn.XMATCH(A958,'Asset Detail'!A:A,3)),"—"))</f>
        <v/>
      </c>
      <c r="G958" s="32" t="str" cm="1">
        <f t="array" ref="G958">IF(A958="","",IFERROR(INDEX('Asset Detail'!E:E,_xlfn.XMATCH(A958,'Asset Detail'!A:A,3)),"—"))</f>
        <v/>
      </c>
      <c r="H958" s="34"/>
      <c r="I958" s="39"/>
    </row>
    <row r="959" spans="1:9" x14ac:dyDescent="0.25">
      <c r="A959" s="23" t="str">
        <f t="shared" si="15"/>
        <v/>
      </c>
      <c r="B959" s="38"/>
      <c r="C959" s="34"/>
      <c r="D959" s="180" t="s">
        <v>4</v>
      </c>
      <c r="E959" s="32" t="str">
        <f>IF(A959="","",IF(COUNTIF('Asset Detail'!A:A,A959)&gt;0,"✓ Found","✗ Not Found"))</f>
        <v/>
      </c>
      <c r="F959" s="31" t="str" cm="1">
        <f t="array" ref="F959">IF(A959="","",IFERROR(INDEX('Asset Detail'!C:C,_xlfn.XMATCH(A959,'Asset Detail'!A:A,3)),"—"))</f>
        <v/>
      </c>
      <c r="G959" s="32" t="str" cm="1">
        <f t="array" ref="G959">IF(A959="","",IFERROR(INDEX('Asset Detail'!E:E,_xlfn.XMATCH(A959,'Asset Detail'!A:A,3)),"—"))</f>
        <v/>
      </c>
      <c r="H959" s="34"/>
      <c r="I959" s="39"/>
    </row>
    <row r="960" spans="1:9" x14ac:dyDescent="0.25">
      <c r="A960" s="23" t="str">
        <f t="shared" si="15"/>
        <v/>
      </c>
      <c r="B960" s="38"/>
      <c r="C960" s="34"/>
      <c r="D960" s="180" t="s">
        <v>4</v>
      </c>
      <c r="E960" s="32" t="str">
        <f>IF(A960="","",IF(COUNTIF('Asset Detail'!A:A,A960)&gt;0,"✓ Found","✗ Not Found"))</f>
        <v/>
      </c>
      <c r="F960" s="31" t="str" cm="1">
        <f t="array" ref="F960">IF(A960="","",IFERROR(INDEX('Asset Detail'!C:C,_xlfn.XMATCH(A960,'Asset Detail'!A:A,3)),"—"))</f>
        <v/>
      </c>
      <c r="G960" s="32" t="str" cm="1">
        <f t="array" ref="G960">IF(A960="","",IFERROR(INDEX('Asset Detail'!E:E,_xlfn.XMATCH(A960,'Asset Detail'!A:A,3)),"—"))</f>
        <v/>
      </c>
      <c r="H960" s="34"/>
      <c r="I960" s="39"/>
    </row>
    <row r="961" spans="1:9" x14ac:dyDescent="0.25">
      <c r="A961" s="23" t="str">
        <f t="shared" si="15"/>
        <v/>
      </c>
      <c r="B961" s="38"/>
      <c r="C961" s="34"/>
      <c r="D961" s="180" t="s">
        <v>4</v>
      </c>
      <c r="E961" s="32" t="str">
        <f>IF(A961="","",IF(COUNTIF('Asset Detail'!A:A,A961)&gt;0,"✓ Found","✗ Not Found"))</f>
        <v/>
      </c>
      <c r="F961" s="31" t="str" cm="1">
        <f t="array" ref="F961">IF(A961="","",IFERROR(INDEX('Asset Detail'!C:C,_xlfn.XMATCH(A961,'Asset Detail'!A:A,3)),"—"))</f>
        <v/>
      </c>
      <c r="G961" s="32" t="str" cm="1">
        <f t="array" ref="G961">IF(A961="","",IFERROR(INDEX('Asset Detail'!E:E,_xlfn.XMATCH(A961,'Asset Detail'!A:A,3)),"—"))</f>
        <v/>
      </c>
      <c r="H961" s="34"/>
      <c r="I961" s="39"/>
    </row>
    <row r="962" spans="1:9" x14ac:dyDescent="0.25">
      <c r="A962" s="23" t="str">
        <f t="shared" si="15"/>
        <v/>
      </c>
      <c r="B962" s="38"/>
      <c r="C962" s="34"/>
      <c r="D962" s="180" t="s">
        <v>4</v>
      </c>
      <c r="E962" s="32" t="str">
        <f>IF(A962="","",IF(COUNTIF('Asset Detail'!A:A,A962)&gt;0,"✓ Found","✗ Not Found"))</f>
        <v/>
      </c>
      <c r="F962" s="31" t="str" cm="1">
        <f t="array" ref="F962">IF(A962="","",IFERROR(INDEX('Asset Detail'!C:C,_xlfn.XMATCH(A962,'Asset Detail'!A:A,3)),"—"))</f>
        <v/>
      </c>
      <c r="G962" s="32" t="str" cm="1">
        <f t="array" ref="G962">IF(A962="","",IFERROR(INDEX('Asset Detail'!E:E,_xlfn.XMATCH(A962,'Asset Detail'!A:A,3)),"—"))</f>
        <v/>
      </c>
      <c r="H962" s="34"/>
      <c r="I962" s="39"/>
    </row>
    <row r="963" spans="1:9" x14ac:dyDescent="0.25">
      <c r="A963" s="23" t="str">
        <f t="shared" si="15"/>
        <v/>
      </c>
      <c r="B963" s="38"/>
      <c r="C963" s="34"/>
      <c r="D963" s="180" t="s">
        <v>4</v>
      </c>
      <c r="E963" s="32" t="str">
        <f>IF(A963="","",IF(COUNTIF('Asset Detail'!A:A,A963)&gt;0,"✓ Found","✗ Not Found"))</f>
        <v/>
      </c>
      <c r="F963" s="31" t="str" cm="1">
        <f t="array" ref="F963">IF(A963="","",IFERROR(INDEX('Asset Detail'!C:C,_xlfn.XMATCH(A963,'Asset Detail'!A:A,3)),"—"))</f>
        <v/>
      </c>
      <c r="G963" s="32" t="str" cm="1">
        <f t="array" ref="G963">IF(A963="","",IFERROR(INDEX('Asset Detail'!E:E,_xlfn.XMATCH(A963,'Asset Detail'!A:A,3)),"—"))</f>
        <v/>
      </c>
      <c r="H963" s="34"/>
      <c r="I963" s="39"/>
    </row>
    <row r="964" spans="1:9" x14ac:dyDescent="0.25">
      <c r="A964" s="23" t="str">
        <f t="shared" si="15"/>
        <v/>
      </c>
      <c r="B964" s="38"/>
      <c r="C964" s="34"/>
      <c r="D964" s="180" t="s">
        <v>4</v>
      </c>
      <c r="E964" s="32" t="str">
        <f>IF(A964="","",IF(COUNTIF('Asset Detail'!A:A,A964)&gt;0,"✓ Found","✗ Not Found"))</f>
        <v/>
      </c>
      <c r="F964" s="31" t="str" cm="1">
        <f t="array" ref="F964">IF(A964="","",IFERROR(INDEX('Asset Detail'!C:C,_xlfn.XMATCH(A964,'Asset Detail'!A:A,3)),"—"))</f>
        <v/>
      </c>
      <c r="G964" s="32" t="str" cm="1">
        <f t="array" ref="G964">IF(A964="","",IFERROR(INDEX('Asset Detail'!E:E,_xlfn.XMATCH(A964,'Asset Detail'!A:A,3)),"—"))</f>
        <v/>
      </c>
      <c r="H964" s="34"/>
      <c r="I964" s="39"/>
    </row>
    <row r="965" spans="1:9" x14ac:dyDescent="0.25">
      <c r="A965" s="23" t="str">
        <f t="shared" si="15"/>
        <v/>
      </c>
      <c r="B965" s="38"/>
      <c r="C965" s="34"/>
      <c r="D965" s="180" t="s">
        <v>4</v>
      </c>
      <c r="E965" s="32" t="str">
        <f>IF(A965="","",IF(COUNTIF('Asset Detail'!A:A,A965)&gt;0,"✓ Found","✗ Not Found"))</f>
        <v/>
      </c>
      <c r="F965" s="31" t="str" cm="1">
        <f t="array" ref="F965">IF(A965="","",IFERROR(INDEX('Asset Detail'!C:C,_xlfn.XMATCH(A965,'Asset Detail'!A:A,3)),"—"))</f>
        <v/>
      </c>
      <c r="G965" s="32" t="str" cm="1">
        <f t="array" ref="G965">IF(A965="","",IFERROR(INDEX('Asset Detail'!E:E,_xlfn.XMATCH(A965,'Asset Detail'!A:A,3)),"—"))</f>
        <v/>
      </c>
      <c r="H965" s="34"/>
      <c r="I965" s="39"/>
    </row>
    <row r="966" spans="1:9" x14ac:dyDescent="0.25">
      <c r="A966" s="23" t="str">
        <f t="shared" si="15"/>
        <v/>
      </c>
      <c r="B966" s="38"/>
      <c r="C966" s="34"/>
      <c r="D966" s="180" t="s">
        <v>4</v>
      </c>
      <c r="E966" s="32" t="str">
        <f>IF(A966="","",IF(COUNTIF('Asset Detail'!A:A,A966)&gt;0,"✓ Found","✗ Not Found"))</f>
        <v/>
      </c>
      <c r="F966" s="31" t="str" cm="1">
        <f t="array" ref="F966">IF(A966="","",IFERROR(INDEX('Asset Detail'!C:C,_xlfn.XMATCH(A966,'Asset Detail'!A:A,3)),"—"))</f>
        <v/>
      </c>
      <c r="G966" s="32" t="str" cm="1">
        <f t="array" ref="G966">IF(A966="","",IFERROR(INDEX('Asset Detail'!E:E,_xlfn.XMATCH(A966,'Asset Detail'!A:A,3)),"—"))</f>
        <v/>
      </c>
      <c r="H966" s="34"/>
      <c r="I966" s="39"/>
    </row>
    <row r="967" spans="1:9" x14ac:dyDescent="0.25">
      <c r="A967" s="23" t="str">
        <f t="shared" si="15"/>
        <v/>
      </c>
      <c r="B967" s="38"/>
      <c r="C967" s="34"/>
      <c r="D967" s="180" t="s">
        <v>4</v>
      </c>
      <c r="E967" s="32" t="str">
        <f>IF(A967="","",IF(COUNTIF('Asset Detail'!A:A,A967)&gt;0,"✓ Found","✗ Not Found"))</f>
        <v/>
      </c>
      <c r="F967" s="31" t="str" cm="1">
        <f t="array" ref="F967">IF(A967="","",IFERROR(INDEX('Asset Detail'!C:C,_xlfn.XMATCH(A967,'Asset Detail'!A:A,3)),"—"))</f>
        <v/>
      </c>
      <c r="G967" s="32" t="str" cm="1">
        <f t="array" ref="G967">IF(A967="","",IFERROR(INDEX('Asset Detail'!E:E,_xlfn.XMATCH(A967,'Asset Detail'!A:A,3)),"—"))</f>
        <v/>
      </c>
      <c r="H967" s="34"/>
      <c r="I967" s="39"/>
    </row>
    <row r="968" spans="1:9" x14ac:dyDescent="0.25">
      <c r="A968" s="23" t="str">
        <f t="shared" si="15"/>
        <v/>
      </c>
      <c r="B968" s="38"/>
      <c r="C968" s="34"/>
      <c r="D968" s="180" t="s">
        <v>4</v>
      </c>
      <c r="E968" s="32" t="str">
        <f>IF(A968="","",IF(COUNTIF('Asset Detail'!A:A,A968)&gt;0,"✓ Found","✗ Not Found"))</f>
        <v/>
      </c>
      <c r="F968" s="31" t="str" cm="1">
        <f t="array" ref="F968">IF(A968="","",IFERROR(INDEX('Asset Detail'!C:C,_xlfn.XMATCH(A968,'Asset Detail'!A:A,3)),"—"))</f>
        <v/>
      </c>
      <c r="G968" s="32" t="str" cm="1">
        <f t="array" ref="G968">IF(A968="","",IFERROR(INDEX('Asset Detail'!E:E,_xlfn.XMATCH(A968,'Asset Detail'!A:A,3)),"—"))</f>
        <v/>
      </c>
      <c r="H968" s="34"/>
      <c r="I968" s="39"/>
    </row>
    <row r="969" spans="1:9" x14ac:dyDescent="0.25">
      <c r="A969" s="23" t="str">
        <f t="shared" si="15"/>
        <v/>
      </c>
      <c r="B969" s="38"/>
      <c r="C969" s="34"/>
      <c r="D969" s="180" t="s">
        <v>4</v>
      </c>
      <c r="E969" s="32" t="str">
        <f>IF(A969="","",IF(COUNTIF('Asset Detail'!A:A,A969)&gt;0,"✓ Found","✗ Not Found"))</f>
        <v/>
      </c>
      <c r="F969" s="31" t="str" cm="1">
        <f t="array" ref="F969">IF(A969="","",IFERROR(INDEX('Asset Detail'!C:C,_xlfn.XMATCH(A969,'Asset Detail'!A:A,3)),"—"))</f>
        <v/>
      </c>
      <c r="G969" s="32" t="str" cm="1">
        <f t="array" ref="G969">IF(A969="","",IFERROR(INDEX('Asset Detail'!E:E,_xlfn.XMATCH(A969,'Asset Detail'!A:A,3)),"—"))</f>
        <v/>
      </c>
      <c r="H969" s="34"/>
      <c r="I969" s="39"/>
    </row>
    <row r="970" spans="1:9" x14ac:dyDescent="0.25">
      <c r="A970" s="23" t="str">
        <f>SUBSTITUTE(I970, "S", "")</f>
        <v/>
      </c>
      <c r="B970" s="38"/>
      <c r="C970" s="34"/>
      <c r="D970" s="180" t="s">
        <v>4</v>
      </c>
      <c r="E970" s="32" t="str">
        <f>IF(A970="","",IF(COUNTIF('Asset Detail'!A:A,A970)&gt;0,"✓ Found","✗ Not Found"))</f>
        <v/>
      </c>
      <c r="F970" s="31" t="str" cm="1">
        <f t="array" ref="F970">IF(A970="","",IFERROR(INDEX('Asset Detail'!C:C,_xlfn.XMATCH(A970,'Asset Detail'!A:A,3)),"—"))</f>
        <v/>
      </c>
      <c r="G970" s="32" t="str" cm="1">
        <f t="array" ref="G970">IF(A970="","",IFERROR(INDEX('Asset Detail'!E:E,_xlfn.XMATCH(A970,'Asset Detail'!A:A,3)),"—"))</f>
        <v/>
      </c>
      <c r="H970" s="34"/>
      <c r="I970" s="39"/>
    </row>
    <row r="971" spans="1:9" x14ac:dyDescent="0.25">
      <c r="A971" s="23" t="str">
        <f t="shared" si="15"/>
        <v/>
      </c>
      <c r="B971" s="38"/>
      <c r="C971" s="34"/>
      <c r="D971" s="180" t="s">
        <v>4</v>
      </c>
      <c r="E971" s="32" t="str">
        <f>IF(A971="","",IF(COUNTIF('Asset Detail'!A:A,A971)&gt;0,"✓ Found","✗ Not Found"))</f>
        <v/>
      </c>
      <c r="F971" s="31" t="str" cm="1">
        <f t="array" ref="F971">IF(A971="","",IFERROR(INDEX('Asset Detail'!C:C,_xlfn.XMATCH(A971,'Asset Detail'!A:A,3)),"—"))</f>
        <v/>
      </c>
      <c r="G971" s="32" t="str" cm="1">
        <f t="array" ref="G971">IF(A971="","",IFERROR(INDEX('Asset Detail'!E:E,_xlfn.XMATCH(A971,'Asset Detail'!A:A,3)),"—"))</f>
        <v/>
      </c>
      <c r="H971" s="34"/>
      <c r="I971" s="39"/>
    </row>
    <row r="972" spans="1:9" x14ac:dyDescent="0.25">
      <c r="A972" s="23" t="str">
        <f>SUBSTITUTE(I972, "S", "")</f>
        <v/>
      </c>
      <c r="B972" s="38"/>
      <c r="C972" s="34"/>
      <c r="D972" s="180" t="s">
        <v>4</v>
      </c>
      <c r="E972" s="32" t="str">
        <f>IF(A972="","",IF(COUNTIF('Asset Detail'!A:A,A972)&gt;0,"✓ Found","✗ Not Found"))</f>
        <v/>
      </c>
      <c r="F972" s="31" t="str" cm="1">
        <f t="array" ref="F972">IF(A972="","",IFERROR(INDEX('Asset Detail'!C:C,_xlfn.XMATCH(A972,'Asset Detail'!A:A,3)),"—"))</f>
        <v/>
      </c>
      <c r="G972" s="32" t="str" cm="1">
        <f t="array" ref="G972">IF(A972="","",IFERROR(INDEX('Asset Detail'!E:E,_xlfn.XMATCH(A972,'Asset Detail'!A:A,3)),"—"))</f>
        <v/>
      </c>
      <c r="H972" s="34"/>
      <c r="I972" s="39"/>
    </row>
    <row r="973" spans="1:9" x14ac:dyDescent="0.25">
      <c r="A973" s="23" t="str">
        <f>SUBSTITUTE(I973, "S", "")</f>
        <v/>
      </c>
      <c r="B973" s="38"/>
      <c r="C973" s="34"/>
      <c r="D973" s="180" t="s">
        <v>4</v>
      </c>
      <c r="E973" s="32" t="str">
        <f>IF(A973="","",IF(COUNTIF('Asset Detail'!A:A,A973)&gt;0,"✓ Found","✗ Not Found"))</f>
        <v/>
      </c>
      <c r="F973" s="31" t="str" cm="1">
        <f t="array" ref="F973">IF(A973="","",IFERROR(INDEX('Asset Detail'!C:C,_xlfn.XMATCH(A973,'Asset Detail'!A:A,3)),"—"))</f>
        <v/>
      </c>
      <c r="G973" s="32" t="str" cm="1">
        <f t="array" ref="G973">IF(A973="","",IFERROR(INDEX('Asset Detail'!E:E,_xlfn.XMATCH(A973,'Asset Detail'!A:A,3)),"—"))</f>
        <v/>
      </c>
      <c r="H973" s="34"/>
      <c r="I973" s="39"/>
    </row>
    <row r="974" spans="1:9" x14ac:dyDescent="0.25">
      <c r="A974" s="23" t="str">
        <f>SUBSTITUTE(I974, "S", "")</f>
        <v/>
      </c>
      <c r="B974" s="38"/>
      <c r="C974" s="34"/>
      <c r="D974" s="180" t="s">
        <v>4</v>
      </c>
      <c r="E974" s="32" t="str">
        <f>IF(A974="","",IF(COUNTIF('Asset Detail'!A:A,A974)&gt;0,"✓ Found","✗ Not Found"))</f>
        <v/>
      </c>
      <c r="F974" s="31" t="str" cm="1">
        <f t="array" ref="F974">IF(A974="","",IFERROR(INDEX('Asset Detail'!C:C,_xlfn.XMATCH(A974,'Asset Detail'!A:A,3)),"—"))</f>
        <v/>
      </c>
      <c r="G974" s="32" t="str" cm="1">
        <f t="array" ref="G974">IF(A974="","",IFERROR(INDEX('Asset Detail'!E:E,_xlfn.XMATCH(A974,'Asset Detail'!A:A,3)),"—"))</f>
        <v/>
      </c>
      <c r="H974" s="34"/>
      <c r="I974" s="39"/>
    </row>
    <row r="975" spans="1:9" x14ac:dyDescent="0.25">
      <c r="A975" s="23" t="str">
        <f>SUBSTITUTE(I975, "S", "")</f>
        <v/>
      </c>
      <c r="B975" s="38"/>
      <c r="C975" s="34"/>
      <c r="D975" s="180" t="s">
        <v>4</v>
      </c>
      <c r="E975" s="32" t="str">
        <f>IF(A975="","",IF(COUNTIF('Asset Detail'!A:A,A975)&gt;0,"✓ Found","✗ Not Found"))</f>
        <v/>
      </c>
      <c r="F975" s="31" t="str" cm="1">
        <f t="array" ref="F975">IF(A975="","",IFERROR(INDEX('Asset Detail'!C:C,_xlfn.XMATCH(A975,'Asset Detail'!A:A,3)),"—"))</f>
        <v/>
      </c>
      <c r="G975" s="32" t="str" cm="1">
        <f t="array" ref="G975">IF(A975="","",IFERROR(INDEX('Asset Detail'!E:E,_xlfn.XMATCH(A975,'Asset Detail'!A:A,3)),"—"))</f>
        <v/>
      </c>
      <c r="H975" s="34"/>
      <c r="I975" s="39"/>
    </row>
    <row r="976" spans="1:9" x14ac:dyDescent="0.25">
      <c r="A976" s="23" t="str">
        <f>SUBSTITUTE(I976, "S", "")</f>
        <v/>
      </c>
      <c r="B976" s="38"/>
      <c r="C976" s="34"/>
      <c r="D976" s="180" t="s">
        <v>4</v>
      </c>
      <c r="E976" s="32" t="str">
        <f>IF(A976="","",IF(COUNTIF('Asset Detail'!A:A,A976)&gt;0,"✓ Found","✗ Not Found"))</f>
        <v/>
      </c>
      <c r="F976" s="31" t="str" cm="1">
        <f t="array" ref="F976">IF(A976="","",IFERROR(INDEX('Asset Detail'!C:C,_xlfn.XMATCH(A976,'Asset Detail'!A:A,3)),"—"))</f>
        <v/>
      </c>
      <c r="G976" s="32" t="str" cm="1">
        <f t="array" ref="G976">IF(A976="","",IFERROR(INDEX('Asset Detail'!E:E,_xlfn.XMATCH(A976,'Asset Detail'!A:A,3)),"—"))</f>
        <v/>
      </c>
      <c r="H976" s="34"/>
      <c r="I976" s="39"/>
    </row>
    <row r="977" spans="1:9" x14ac:dyDescent="0.25">
      <c r="A977" s="23" t="str">
        <f t="shared" ref="A977:A1008" si="16">SUBSTITUTE(I977, "S", "")</f>
        <v/>
      </c>
      <c r="B977" s="38"/>
      <c r="C977" s="34"/>
      <c r="D977" s="180" t="s">
        <v>4</v>
      </c>
      <c r="E977" s="32" t="str">
        <f>IF(A977="","",IF(COUNTIF('Asset Detail'!A:A,A977)&gt;0,"✓ Found","✗ Not Found"))</f>
        <v/>
      </c>
      <c r="F977" s="31" t="str" cm="1">
        <f t="array" ref="F977">IF(A977="","",IFERROR(INDEX('Asset Detail'!C:C,_xlfn.XMATCH(A977,'Asset Detail'!A:A,3)),"—"))</f>
        <v/>
      </c>
      <c r="G977" s="32" t="str" cm="1">
        <f t="array" ref="G977">IF(A977="","",IFERROR(INDEX('Asset Detail'!E:E,_xlfn.XMATCH(A977,'Asset Detail'!A:A,3)),"—"))</f>
        <v/>
      </c>
      <c r="H977" s="34"/>
      <c r="I977" s="39"/>
    </row>
    <row r="978" spans="1:9" x14ac:dyDescent="0.25">
      <c r="A978" s="23" t="str">
        <f t="shared" si="16"/>
        <v/>
      </c>
      <c r="B978" s="38"/>
      <c r="C978" s="34"/>
      <c r="D978" s="180" t="s">
        <v>4</v>
      </c>
      <c r="E978" s="32" t="str">
        <f>IF(A978="","",IF(COUNTIF('Asset Detail'!A:A,A978)&gt;0,"✓ Found","✗ Not Found"))</f>
        <v/>
      </c>
      <c r="F978" s="31" t="str" cm="1">
        <f t="array" ref="F978">IF(A978="","",IFERROR(INDEX('Asset Detail'!C:C,_xlfn.XMATCH(A978,'Asset Detail'!A:A,3)),"—"))</f>
        <v/>
      </c>
      <c r="G978" s="32" t="str" cm="1">
        <f t="array" ref="G978">IF(A978="","",IFERROR(INDEX('Asset Detail'!E:E,_xlfn.XMATCH(A978,'Asset Detail'!A:A,3)),"—"))</f>
        <v/>
      </c>
      <c r="H978" s="34"/>
      <c r="I978" s="39"/>
    </row>
    <row r="979" spans="1:9" x14ac:dyDescent="0.25">
      <c r="A979" s="23" t="str">
        <f t="shared" si="16"/>
        <v/>
      </c>
      <c r="B979" s="38"/>
      <c r="C979" s="34"/>
      <c r="D979" s="180" t="s">
        <v>4</v>
      </c>
      <c r="E979" s="32" t="str">
        <f>IF(A979="","",IF(COUNTIF('Asset Detail'!A:A,A979)&gt;0,"✓ Found","✗ Not Found"))</f>
        <v/>
      </c>
      <c r="F979" s="31" t="str" cm="1">
        <f t="array" ref="F979">IF(A979="","",IFERROR(INDEX('Asset Detail'!C:C,_xlfn.XMATCH(A979,'Asset Detail'!A:A,3)),"—"))</f>
        <v/>
      </c>
      <c r="G979" s="32" t="str" cm="1">
        <f t="array" ref="G979">IF(A979="","",IFERROR(INDEX('Asset Detail'!E:E,_xlfn.XMATCH(A979,'Asset Detail'!A:A,3)),"—"))</f>
        <v/>
      </c>
      <c r="H979" s="34"/>
      <c r="I979" s="39"/>
    </row>
    <row r="980" spans="1:9" x14ac:dyDescent="0.25">
      <c r="A980" s="23" t="str">
        <f t="shared" si="16"/>
        <v/>
      </c>
      <c r="B980" s="38"/>
      <c r="C980" s="34"/>
      <c r="D980" s="180" t="s">
        <v>4</v>
      </c>
      <c r="E980" s="32" t="str">
        <f>IF(A980="","",IF(COUNTIF('Asset Detail'!A:A,A980)&gt;0,"✓ Found","✗ Not Found"))</f>
        <v/>
      </c>
      <c r="F980" s="31" t="str" cm="1">
        <f t="array" ref="F980">IF(A980="","",IFERROR(INDEX('Asset Detail'!C:C,_xlfn.XMATCH(A980,'Asset Detail'!A:A,3)),"—"))</f>
        <v/>
      </c>
      <c r="G980" s="32" t="str" cm="1">
        <f t="array" ref="G980">IF(A980="","",IFERROR(INDEX('Asset Detail'!E:E,_xlfn.XMATCH(A980,'Asset Detail'!A:A,3)),"—"))</f>
        <v/>
      </c>
      <c r="H980" s="34"/>
      <c r="I980" s="39"/>
    </row>
    <row r="981" spans="1:9" x14ac:dyDescent="0.25">
      <c r="A981" s="23" t="str">
        <f t="shared" si="16"/>
        <v/>
      </c>
      <c r="B981" s="38"/>
      <c r="C981" s="34"/>
      <c r="D981" s="180" t="s">
        <v>4</v>
      </c>
      <c r="E981" s="32" t="str">
        <f>IF(A981="","",IF(COUNTIF('Asset Detail'!A:A,A981)&gt;0,"✓ Found","✗ Not Found"))</f>
        <v/>
      </c>
      <c r="F981" s="31" t="str" cm="1">
        <f t="array" ref="F981">IF(A981="","",IFERROR(INDEX('Asset Detail'!C:C,_xlfn.XMATCH(A981,'Asset Detail'!A:A,3)),"—"))</f>
        <v/>
      </c>
      <c r="G981" s="32" t="str" cm="1">
        <f t="array" ref="G981">IF(A981="","",IFERROR(INDEX('Asset Detail'!E:E,_xlfn.XMATCH(A981,'Asset Detail'!A:A,3)),"—"))</f>
        <v/>
      </c>
      <c r="H981" s="34"/>
      <c r="I981" s="39"/>
    </row>
    <row r="982" spans="1:9" x14ac:dyDescent="0.25">
      <c r="A982" s="23" t="str">
        <f t="shared" si="16"/>
        <v/>
      </c>
      <c r="B982" s="38"/>
      <c r="C982" s="34"/>
      <c r="D982" s="180" t="s">
        <v>4</v>
      </c>
      <c r="E982" s="32" t="str">
        <f>IF(A982="","",IF(COUNTIF('Asset Detail'!A:A,A982)&gt;0,"✓ Found","✗ Not Found"))</f>
        <v/>
      </c>
      <c r="F982" s="31" t="str" cm="1">
        <f t="array" ref="F982">IF(A982="","",IFERROR(INDEX('Asset Detail'!C:C,_xlfn.XMATCH(A982,'Asset Detail'!A:A,3)),"—"))</f>
        <v/>
      </c>
      <c r="G982" s="32" t="str" cm="1">
        <f t="array" ref="G982">IF(A982="","",IFERROR(INDEX('Asset Detail'!E:E,_xlfn.XMATCH(A982,'Asset Detail'!A:A,3)),"—"))</f>
        <v/>
      </c>
      <c r="H982" s="34"/>
      <c r="I982" s="39"/>
    </row>
    <row r="983" spans="1:9" x14ac:dyDescent="0.25">
      <c r="A983" s="23" t="str">
        <f t="shared" si="16"/>
        <v/>
      </c>
      <c r="B983" s="38"/>
      <c r="C983" s="34"/>
      <c r="D983" s="180" t="s">
        <v>4</v>
      </c>
      <c r="E983" s="32" t="str">
        <f>IF(A983="","",IF(COUNTIF('Asset Detail'!A:A,A983)&gt;0,"✓ Found","✗ Not Found"))</f>
        <v/>
      </c>
      <c r="F983" s="31" t="str" cm="1">
        <f t="array" ref="F983">IF(A983="","",IFERROR(INDEX('Asset Detail'!C:C,_xlfn.XMATCH(A983,'Asset Detail'!A:A,3)),"—"))</f>
        <v/>
      </c>
      <c r="G983" s="32" t="str" cm="1">
        <f t="array" ref="G983">IF(A983="","",IFERROR(INDEX('Asset Detail'!E:E,_xlfn.XMATCH(A983,'Asset Detail'!A:A,3)),"—"))</f>
        <v/>
      </c>
      <c r="H983" s="34"/>
      <c r="I983" s="39"/>
    </row>
    <row r="984" spans="1:9" x14ac:dyDescent="0.25">
      <c r="A984" s="23" t="str">
        <f t="shared" si="16"/>
        <v/>
      </c>
      <c r="B984" s="38"/>
      <c r="C984" s="34"/>
      <c r="D984" s="180" t="s">
        <v>4</v>
      </c>
      <c r="E984" s="32" t="str">
        <f>IF(A984="","",IF(COUNTIF('Asset Detail'!A:A,A984)&gt;0,"✓ Found","✗ Not Found"))</f>
        <v/>
      </c>
      <c r="F984" s="31" t="str" cm="1">
        <f t="array" ref="F984">IF(A984="","",IFERROR(INDEX('Asset Detail'!C:C,_xlfn.XMATCH(A984,'Asset Detail'!A:A,3)),"—"))</f>
        <v/>
      </c>
      <c r="G984" s="32" t="str" cm="1">
        <f t="array" ref="G984">IF(A984="","",IFERROR(INDEX('Asset Detail'!E:E,_xlfn.XMATCH(A984,'Asset Detail'!A:A,3)),"—"))</f>
        <v/>
      </c>
      <c r="H984" s="34"/>
      <c r="I984" s="39"/>
    </row>
    <row r="985" spans="1:9" x14ac:dyDescent="0.25">
      <c r="A985" s="23" t="str">
        <f t="shared" si="16"/>
        <v/>
      </c>
      <c r="B985" s="38"/>
      <c r="C985" s="34"/>
      <c r="D985" s="180" t="s">
        <v>4</v>
      </c>
      <c r="E985" s="32" t="str">
        <f>IF(A985="","",IF(COUNTIF('Asset Detail'!A:A,A985)&gt;0,"✓ Found","✗ Not Found"))</f>
        <v/>
      </c>
      <c r="F985" s="31" t="str" cm="1">
        <f t="array" ref="F985">IF(A985="","",IFERROR(INDEX('Asset Detail'!C:C,_xlfn.XMATCH(A985,'Asset Detail'!A:A,3)),"—"))</f>
        <v/>
      </c>
      <c r="G985" s="32" t="str" cm="1">
        <f t="array" ref="G985">IF(A985="","",IFERROR(INDEX('Asset Detail'!E:E,_xlfn.XMATCH(A985,'Asset Detail'!A:A,3)),"—"))</f>
        <v/>
      </c>
      <c r="H985" s="34"/>
      <c r="I985" s="39"/>
    </row>
    <row r="986" spans="1:9" x14ac:dyDescent="0.25">
      <c r="A986" s="23" t="str">
        <f t="shared" si="16"/>
        <v/>
      </c>
      <c r="B986" s="38"/>
      <c r="C986" s="34"/>
      <c r="D986" s="180" t="s">
        <v>4</v>
      </c>
      <c r="E986" s="32" t="str">
        <f>IF(A986="","",IF(COUNTIF('Asset Detail'!A:A,A986)&gt;0,"✓ Found","✗ Not Found"))</f>
        <v/>
      </c>
      <c r="F986" s="31" t="str" cm="1">
        <f t="array" ref="F986">IF(A986="","",IFERROR(INDEX('Asset Detail'!C:C,_xlfn.XMATCH(A986,'Asset Detail'!A:A,3)),"—"))</f>
        <v/>
      </c>
      <c r="G986" s="32" t="str" cm="1">
        <f t="array" ref="G986">IF(A986="","",IFERROR(INDEX('Asset Detail'!E:E,_xlfn.XMATCH(A986,'Asset Detail'!A:A,3)),"—"))</f>
        <v/>
      </c>
      <c r="H986" s="34"/>
      <c r="I986" s="39"/>
    </row>
    <row r="987" spans="1:9" x14ac:dyDescent="0.25">
      <c r="A987" s="23" t="str">
        <f t="shared" si="16"/>
        <v/>
      </c>
      <c r="B987" s="38"/>
      <c r="C987" s="34"/>
      <c r="D987" s="180" t="s">
        <v>4</v>
      </c>
      <c r="E987" s="32" t="str">
        <f>IF(A987="","",IF(COUNTIF('Asset Detail'!A:A,A987)&gt;0,"✓ Found","✗ Not Found"))</f>
        <v/>
      </c>
      <c r="F987" s="31" t="str" cm="1">
        <f t="array" ref="F987">IF(A987="","",IFERROR(INDEX('Asset Detail'!C:C,_xlfn.XMATCH(A987,'Asset Detail'!A:A,3)),"—"))</f>
        <v/>
      </c>
      <c r="G987" s="32" t="str" cm="1">
        <f t="array" ref="G987">IF(A987="","",IFERROR(INDEX('Asset Detail'!E:E,_xlfn.XMATCH(A987,'Asset Detail'!A:A,3)),"—"))</f>
        <v/>
      </c>
      <c r="H987" s="34"/>
      <c r="I987" s="39"/>
    </row>
    <row r="988" spans="1:9" x14ac:dyDescent="0.25">
      <c r="A988" s="23" t="str">
        <f t="shared" si="16"/>
        <v/>
      </c>
      <c r="B988" s="38"/>
      <c r="C988" s="34"/>
      <c r="D988" s="180" t="s">
        <v>4</v>
      </c>
      <c r="E988" s="32" t="str">
        <f>IF(A988="","",IF(COUNTIF('Asset Detail'!A:A,A988)&gt;0,"✓ Found","✗ Not Found"))</f>
        <v/>
      </c>
      <c r="F988" s="31" t="str" cm="1">
        <f t="array" ref="F988">IF(A988="","",IFERROR(INDEX('Asset Detail'!C:C,_xlfn.XMATCH(A988,'Asset Detail'!A:A,3)),"—"))</f>
        <v/>
      </c>
      <c r="G988" s="32" t="str" cm="1">
        <f t="array" ref="G988">IF(A988="","",IFERROR(INDEX('Asset Detail'!E:E,_xlfn.XMATCH(A988,'Asset Detail'!A:A,3)),"—"))</f>
        <v/>
      </c>
      <c r="H988" s="34"/>
      <c r="I988" s="39"/>
    </row>
    <row r="989" spans="1:9" x14ac:dyDescent="0.25">
      <c r="A989" s="23" t="str">
        <f t="shared" si="16"/>
        <v/>
      </c>
      <c r="B989" s="38"/>
      <c r="C989" s="34"/>
      <c r="D989" s="180" t="s">
        <v>4</v>
      </c>
      <c r="E989" s="32" t="str">
        <f>IF(A989="","",IF(COUNTIF('Asset Detail'!A:A,A989)&gt;0,"✓ Found","✗ Not Found"))</f>
        <v/>
      </c>
      <c r="F989" s="31" t="str" cm="1">
        <f t="array" ref="F989">IF(A989="","",IFERROR(INDEX('Asset Detail'!C:C,_xlfn.XMATCH(A989,'Asset Detail'!A:A,3)),"—"))</f>
        <v/>
      </c>
      <c r="G989" s="32" t="str" cm="1">
        <f t="array" ref="G989">IF(A989="","",IFERROR(INDEX('Asset Detail'!E:E,_xlfn.XMATCH(A989,'Asset Detail'!A:A,3)),"—"))</f>
        <v/>
      </c>
      <c r="H989" s="34"/>
      <c r="I989" s="39"/>
    </row>
    <row r="990" spans="1:9" x14ac:dyDescent="0.25">
      <c r="A990" s="23" t="str">
        <f t="shared" si="16"/>
        <v/>
      </c>
      <c r="B990" s="38"/>
      <c r="C990" s="34"/>
      <c r="D990" s="180" t="s">
        <v>4</v>
      </c>
      <c r="E990" s="32" t="str">
        <f>IF(A990="","",IF(COUNTIF('Asset Detail'!A:A,A990)&gt;0,"✓ Found","✗ Not Found"))</f>
        <v/>
      </c>
      <c r="F990" s="31" t="str" cm="1">
        <f t="array" ref="F990">IF(A990="","",IFERROR(INDEX('Asset Detail'!C:C,_xlfn.XMATCH(A990,'Asset Detail'!A:A,3)),"—"))</f>
        <v/>
      </c>
      <c r="G990" s="32" t="str" cm="1">
        <f t="array" ref="G990">IF(A990="","",IFERROR(INDEX('Asset Detail'!E:E,_xlfn.XMATCH(A990,'Asset Detail'!A:A,3)),"—"))</f>
        <v/>
      </c>
      <c r="H990" s="34"/>
      <c r="I990" s="39"/>
    </row>
    <row r="991" spans="1:9" x14ac:dyDescent="0.25">
      <c r="A991" s="23" t="str">
        <f t="shared" si="16"/>
        <v/>
      </c>
      <c r="B991" s="38"/>
      <c r="C991" s="34"/>
      <c r="D991" s="180" t="s">
        <v>4</v>
      </c>
      <c r="E991" s="32" t="str">
        <f>IF(A991="","",IF(COUNTIF('Asset Detail'!A:A,A991)&gt;0,"✓ Found","✗ Not Found"))</f>
        <v/>
      </c>
      <c r="F991" s="31" t="str" cm="1">
        <f t="array" ref="F991">IF(A991="","",IFERROR(INDEX('Asset Detail'!C:C,_xlfn.XMATCH(A991,'Asset Detail'!A:A,3)),"—"))</f>
        <v/>
      </c>
      <c r="G991" s="32" t="str" cm="1">
        <f t="array" ref="G991">IF(A991="","",IFERROR(INDEX('Asset Detail'!E:E,_xlfn.XMATCH(A991,'Asset Detail'!A:A,3)),"—"))</f>
        <v/>
      </c>
      <c r="H991" s="34"/>
      <c r="I991" s="39"/>
    </row>
    <row r="992" spans="1:9" x14ac:dyDescent="0.25">
      <c r="A992" s="23" t="str">
        <f t="shared" si="16"/>
        <v/>
      </c>
      <c r="B992" s="38"/>
      <c r="C992" s="34"/>
      <c r="D992" s="180" t="s">
        <v>4</v>
      </c>
      <c r="E992" s="32" t="str">
        <f>IF(A992="","",IF(COUNTIF('Asset Detail'!A:A,A992)&gt;0,"✓ Found","✗ Not Found"))</f>
        <v/>
      </c>
      <c r="F992" s="31" t="str" cm="1">
        <f t="array" ref="F992">IF(A992="","",IFERROR(INDEX('Asset Detail'!C:C,_xlfn.XMATCH(A992,'Asset Detail'!A:A,3)),"—"))</f>
        <v/>
      </c>
      <c r="G992" s="32" t="str" cm="1">
        <f t="array" ref="G992">IF(A992="","",IFERROR(INDEX('Asset Detail'!E:E,_xlfn.XMATCH(A992,'Asset Detail'!A:A,3)),"—"))</f>
        <v/>
      </c>
      <c r="H992" s="34"/>
      <c r="I992" s="39"/>
    </row>
    <row r="993" spans="1:9" x14ac:dyDescent="0.25">
      <c r="A993" s="23" t="str">
        <f t="shared" si="16"/>
        <v/>
      </c>
      <c r="B993" s="38"/>
      <c r="C993" s="34"/>
      <c r="D993" s="180" t="s">
        <v>4</v>
      </c>
      <c r="E993" s="32" t="str">
        <f>IF(A993="","",IF(COUNTIF('Asset Detail'!A:A,A993)&gt;0,"✓ Found","✗ Not Found"))</f>
        <v/>
      </c>
      <c r="F993" s="31" t="str" cm="1">
        <f t="array" ref="F993">IF(A993="","",IFERROR(INDEX('Asset Detail'!C:C,_xlfn.XMATCH(A993,'Asset Detail'!A:A,3)),"—"))</f>
        <v/>
      </c>
      <c r="G993" s="32" t="str" cm="1">
        <f t="array" ref="G993">IF(A993="","",IFERROR(INDEX('Asset Detail'!E:E,_xlfn.XMATCH(A993,'Asset Detail'!A:A,3)),"—"))</f>
        <v/>
      </c>
      <c r="H993" s="34"/>
      <c r="I993" s="39"/>
    </row>
    <row r="994" spans="1:9" x14ac:dyDescent="0.25">
      <c r="A994" s="23" t="str">
        <f t="shared" si="16"/>
        <v/>
      </c>
      <c r="B994" s="38"/>
      <c r="C994" s="34"/>
      <c r="D994" s="180" t="s">
        <v>4</v>
      </c>
      <c r="E994" s="32" t="str">
        <f>IF(A994="","",IF(COUNTIF('Asset Detail'!A:A,A994)&gt;0,"✓ Found","✗ Not Found"))</f>
        <v/>
      </c>
      <c r="F994" s="31" t="str" cm="1">
        <f t="array" ref="F994">IF(A994="","",IFERROR(INDEX('Asset Detail'!C:C,_xlfn.XMATCH(A994,'Asset Detail'!A:A,3)),"—"))</f>
        <v/>
      </c>
      <c r="G994" s="32" t="str" cm="1">
        <f t="array" ref="G994">IF(A994="","",IFERROR(INDEX('Asset Detail'!E:E,_xlfn.XMATCH(A994,'Asset Detail'!A:A,3)),"—"))</f>
        <v/>
      </c>
      <c r="H994" s="34"/>
      <c r="I994" s="39"/>
    </row>
    <row r="995" spans="1:9" x14ac:dyDescent="0.25">
      <c r="A995" s="23" t="str">
        <f t="shared" si="16"/>
        <v/>
      </c>
      <c r="B995" s="38"/>
      <c r="C995" s="34"/>
      <c r="D995" s="180" t="s">
        <v>4</v>
      </c>
      <c r="E995" s="32" t="str">
        <f>IF(A995="","",IF(COUNTIF('Asset Detail'!A:A,A995)&gt;0,"✓ Found","✗ Not Found"))</f>
        <v/>
      </c>
      <c r="F995" s="31" t="str" cm="1">
        <f t="array" ref="F995">IF(A995="","",IFERROR(INDEX('Asset Detail'!C:C,_xlfn.XMATCH(A995,'Asset Detail'!A:A,3)),"—"))</f>
        <v/>
      </c>
      <c r="G995" s="32" t="str" cm="1">
        <f t="array" ref="G995">IF(A995="","",IFERROR(INDEX('Asset Detail'!E:E,_xlfn.XMATCH(A995,'Asset Detail'!A:A,3)),"—"))</f>
        <v/>
      </c>
      <c r="H995" s="34"/>
      <c r="I995" s="39"/>
    </row>
    <row r="996" spans="1:9" x14ac:dyDescent="0.25">
      <c r="A996" s="23" t="str">
        <f t="shared" si="16"/>
        <v/>
      </c>
      <c r="B996" s="38"/>
      <c r="C996" s="34"/>
      <c r="D996" s="180" t="s">
        <v>4</v>
      </c>
      <c r="E996" s="32" t="str">
        <f>IF(A996="","",IF(COUNTIF('Asset Detail'!A:A,A996)&gt;0,"✓ Found","✗ Not Found"))</f>
        <v/>
      </c>
      <c r="F996" s="31" t="str" cm="1">
        <f t="array" ref="F996">IF(A996="","",IFERROR(INDEX('Asset Detail'!C:C,_xlfn.XMATCH(A996,'Asset Detail'!A:A,3)),"—"))</f>
        <v/>
      </c>
      <c r="G996" s="32" t="str" cm="1">
        <f t="array" ref="G996">IF(A996="","",IFERROR(INDEX('Asset Detail'!E:E,_xlfn.XMATCH(A996,'Asset Detail'!A:A,3)),"—"))</f>
        <v/>
      </c>
      <c r="H996" s="34"/>
      <c r="I996" s="39"/>
    </row>
    <row r="997" spans="1:9" x14ac:dyDescent="0.25">
      <c r="A997" s="23" t="str">
        <f t="shared" si="16"/>
        <v/>
      </c>
      <c r="B997" s="38"/>
      <c r="C997" s="34"/>
      <c r="D997" s="180" t="s">
        <v>4</v>
      </c>
      <c r="E997" s="32" t="str">
        <f>IF(A997="","",IF(COUNTIF('Asset Detail'!A:A,A997)&gt;0,"✓ Found","✗ Not Found"))</f>
        <v/>
      </c>
      <c r="F997" s="31" t="str" cm="1">
        <f t="array" ref="F997">IF(A997="","",IFERROR(INDEX('Asset Detail'!C:C,_xlfn.XMATCH(A997,'Asset Detail'!A:A,3)),"—"))</f>
        <v/>
      </c>
      <c r="G997" s="32" t="str" cm="1">
        <f t="array" ref="G997">IF(A997="","",IFERROR(INDEX('Asset Detail'!E:E,_xlfn.XMATCH(A997,'Asset Detail'!A:A,3)),"—"))</f>
        <v/>
      </c>
      <c r="H997" s="34"/>
      <c r="I997" s="39"/>
    </row>
    <row r="998" spans="1:9" x14ac:dyDescent="0.25">
      <c r="A998" s="23" t="str">
        <f t="shared" si="16"/>
        <v/>
      </c>
      <c r="B998" s="38"/>
      <c r="C998" s="34"/>
      <c r="D998" s="180" t="s">
        <v>4</v>
      </c>
      <c r="E998" s="32" t="str">
        <f>IF(A998="","",IF(COUNTIF('Asset Detail'!A:A,A998)&gt;0,"✓ Found","✗ Not Found"))</f>
        <v/>
      </c>
      <c r="F998" s="31" t="str" cm="1">
        <f t="array" ref="F998">IF(A998="","",IFERROR(INDEX('Asset Detail'!C:C,_xlfn.XMATCH(A998,'Asset Detail'!A:A,3)),"—"))</f>
        <v/>
      </c>
      <c r="G998" s="32" t="str" cm="1">
        <f t="array" ref="G998">IF(A998="","",IFERROR(INDEX('Asset Detail'!E:E,_xlfn.XMATCH(A998,'Asset Detail'!A:A,3)),"—"))</f>
        <v/>
      </c>
      <c r="H998" s="34"/>
      <c r="I998" s="39"/>
    </row>
    <row r="999" spans="1:9" x14ac:dyDescent="0.25">
      <c r="A999" s="23" t="str">
        <f t="shared" si="16"/>
        <v/>
      </c>
      <c r="B999" s="38"/>
      <c r="C999" s="34"/>
      <c r="D999" s="180" t="s">
        <v>4</v>
      </c>
      <c r="E999" s="32" t="str">
        <f>IF(A999="","",IF(COUNTIF('Asset Detail'!A:A,A999)&gt;0,"✓ Found","✗ Not Found"))</f>
        <v/>
      </c>
      <c r="F999" s="31" t="str" cm="1">
        <f t="array" ref="F999">IF(A999="","",IFERROR(INDEX('Asset Detail'!C:C,_xlfn.XMATCH(A999,'Asset Detail'!A:A,3)),"—"))</f>
        <v/>
      </c>
      <c r="G999" s="32" t="str" cm="1">
        <f t="array" ref="G999">IF(A999="","",IFERROR(INDEX('Asset Detail'!E:E,_xlfn.XMATCH(A999,'Asset Detail'!A:A,3)),"—"))</f>
        <v/>
      </c>
      <c r="H999" s="34"/>
      <c r="I999" s="39"/>
    </row>
    <row r="1000" spans="1:9" x14ac:dyDescent="0.25">
      <c r="A1000" s="23" t="str">
        <f t="shared" si="16"/>
        <v/>
      </c>
      <c r="B1000" s="38"/>
      <c r="C1000" s="34"/>
      <c r="D1000" s="180" t="s">
        <v>4</v>
      </c>
      <c r="E1000" s="32" t="str">
        <f>IF(A1000="","",IF(COUNTIF('Asset Detail'!A:A,A1000)&gt;0,"✓ Found","✗ Not Found"))</f>
        <v/>
      </c>
      <c r="F1000" s="31" t="str" cm="1">
        <f t="array" ref="F1000">IF(A1000="","",IFERROR(INDEX('Asset Detail'!C:C,_xlfn.XMATCH(A1000,'Asset Detail'!A:A,3)),"—"))</f>
        <v/>
      </c>
      <c r="G1000" s="32" t="str" cm="1">
        <f t="array" ref="G1000">IF(A1000="","",IFERROR(INDEX('Asset Detail'!E:E,_xlfn.XMATCH(A1000,'Asset Detail'!A:A,3)),"—"))</f>
        <v/>
      </c>
      <c r="H1000" s="34"/>
      <c r="I1000" s="39"/>
    </row>
    <row r="1001" spans="1:9" x14ac:dyDescent="0.25">
      <c r="A1001" s="23" t="str">
        <f t="shared" si="16"/>
        <v/>
      </c>
      <c r="B1001" s="38"/>
      <c r="C1001" s="34"/>
      <c r="D1001" s="180" t="s">
        <v>4</v>
      </c>
      <c r="E1001" s="32" t="str">
        <f>IF(A1001="","",IF(COUNTIF('Asset Detail'!A:A,A1001)&gt;0,"✓ Found","✗ Not Found"))</f>
        <v/>
      </c>
      <c r="F1001" s="31" t="str" cm="1">
        <f t="array" ref="F1001">IF(A1001="","",IFERROR(INDEX('Asset Detail'!C:C,_xlfn.XMATCH(A1001,'Asset Detail'!A:A,3)),"—"))</f>
        <v/>
      </c>
      <c r="G1001" s="32" t="str" cm="1">
        <f t="array" ref="G1001">IF(A1001="","",IFERROR(INDEX('Asset Detail'!E:E,_xlfn.XMATCH(A1001,'Asset Detail'!A:A,3)),"—"))</f>
        <v/>
      </c>
      <c r="H1001" s="34"/>
      <c r="I1001" s="39"/>
    </row>
    <row r="1002" spans="1:9" x14ac:dyDescent="0.25">
      <c r="A1002" s="23" t="str">
        <f t="shared" si="16"/>
        <v/>
      </c>
      <c r="B1002" s="38"/>
      <c r="C1002" s="34"/>
      <c r="D1002" s="180" t="s">
        <v>4</v>
      </c>
      <c r="E1002" s="32" t="str">
        <f>IF(A1002="","",IF(COUNTIF('Asset Detail'!A:A,A1002)&gt;0,"✓ Found","✗ Not Found"))</f>
        <v/>
      </c>
      <c r="F1002" s="31" t="str" cm="1">
        <f t="array" ref="F1002">IF(A1002="","",IFERROR(INDEX('Asset Detail'!C:C,_xlfn.XMATCH(A1002,'Asset Detail'!A:A,3)),"—"))</f>
        <v/>
      </c>
      <c r="G1002" s="32" t="str" cm="1">
        <f t="array" ref="G1002">IF(A1002="","",IFERROR(INDEX('Asset Detail'!E:E,_xlfn.XMATCH(A1002,'Asset Detail'!A:A,3)),"—"))</f>
        <v/>
      </c>
      <c r="H1002" s="34"/>
      <c r="I1002" s="39"/>
    </row>
    <row r="1003" spans="1:9" x14ac:dyDescent="0.25">
      <c r="A1003" s="23" t="str">
        <f t="shared" si="16"/>
        <v/>
      </c>
      <c r="B1003" s="38"/>
      <c r="C1003" s="34"/>
      <c r="D1003" s="180" t="s">
        <v>4</v>
      </c>
      <c r="E1003" s="32" t="str">
        <f>IF(A1003="","",IF(COUNTIF('Asset Detail'!A:A,A1003)&gt;0,"✓ Found","✗ Not Found"))</f>
        <v/>
      </c>
      <c r="F1003" s="31" t="str" cm="1">
        <f t="array" ref="F1003">IF(A1003="","",IFERROR(INDEX('Asset Detail'!C:C,_xlfn.XMATCH(A1003,'Asset Detail'!A:A,3)),"—"))</f>
        <v/>
      </c>
      <c r="G1003" s="32" t="str" cm="1">
        <f t="array" ref="G1003">IF(A1003="","",IFERROR(INDEX('Asset Detail'!E:E,_xlfn.XMATCH(A1003,'Asset Detail'!A:A,3)),"—"))</f>
        <v/>
      </c>
      <c r="H1003" s="34"/>
      <c r="I1003" s="39"/>
    </row>
    <row r="1004" spans="1:9" x14ac:dyDescent="0.25">
      <c r="A1004" s="23" t="str">
        <f t="shared" si="16"/>
        <v/>
      </c>
      <c r="B1004" s="38"/>
      <c r="C1004" s="34"/>
      <c r="D1004" s="180" t="s">
        <v>4</v>
      </c>
      <c r="E1004" s="32" t="str">
        <f>IF(A1004="","",IF(COUNTIF('Asset Detail'!A:A,A1004)&gt;0,"✓ Found","✗ Not Found"))</f>
        <v/>
      </c>
      <c r="F1004" s="31" t="str" cm="1">
        <f t="array" ref="F1004">IF(A1004="","",IFERROR(INDEX('Asset Detail'!C:C,_xlfn.XMATCH(A1004,'Asset Detail'!A:A,3)),"—"))</f>
        <v/>
      </c>
      <c r="G1004" s="32" t="str" cm="1">
        <f t="array" ref="G1004">IF(A1004="","",IFERROR(INDEX('Asset Detail'!E:E,_xlfn.XMATCH(A1004,'Asset Detail'!A:A,3)),"—"))</f>
        <v/>
      </c>
      <c r="H1004" s="34"/>
      <c r="I1004" s="39"/>
    </row>
    <row r="1005" spans="1:9" x14ac:dyDescent="0.25">
      <c r="A1005" s="23" t="str">
        <f t="shared" si="16"/>
        <v/>
      </c>
      <c r="B1005" s="38"/>
      <c r="C1005" s="34"/>
      <c r="D1005" s="180" t="s">
        <v>4</v>
      </c>
      <c r="E1005" s="32" t="str">
        <f>IF(A1005="","",IF(COUNTIF('Asset Detail'!A:A,A1005)&gt;0,"✓ Found","✗ Not Found"))</f>
        <v/>
      </c>
      <c r="F1005" s="31" t="str" cm="1">
        <f t="array" ref="F1005">IF(A1005="","",IFERROR(INDEX('Asset Detail'!C:C,_xlfn.XMATCH(A1005,'Asset Detail'!A:A,3)),"—"))</f>
        <v/>
      </c>
      <c r="G1005" s="32" t="str" cm="1">
        <f t="array" ref="G1005">IF(A1005="","",IFERROR(INDEX('Asset Detail'!E:E,_xlfn.XMATCH(A1005,'Asset Detail'!A:A,3)),"—"))</f>
        <v/>
      </c>
      <c r="H1005" s="34"/>
      <c r="I1005" s="39"/>
    </row>
    <row r="1006" spans="1:9" x14ac:dyDescent="0.25">
      <c r="A1006" s="23" t="str">
        <f t="shared" si="16"/>
        <v/>
      </c>
      <c r="B1006" s="38"/>
      <c r="C1006" s="34"/>
      <c r="D1006" s="180" t="s">
        <v>4</v>
      </c>
      <c r="E1006" s="32" t="str">
        <f>IF(A1006="","",IF(COUNTIF('Asset Detail'!A:A,A1006)&gt;0,"✓ Found","✗ Not Found"))</f>
        <v/>
      </c>
      <c r="F1006" s="31" t="str" cm="1">
        <f t="array" ref="F1006">IF(A1006="","",IFERROR(INDEX('Asset Detail'!C:C,_xlfn.XMATCH(A1006,'Asset Detail'!A:A,3)),"—"))</f>
        <v/>
      </c>
      <c r="G1006" s="32" t="str" cm="1">
        <f t="array" ref="G1006">IF(A1006="","",IFERROR(INDEX('Asset Detail'!E:E,_xlfn.XMATCH(A1006,'Asset Detail'!A:A,3)),"—"))</f>
        <v/>
      </c>
      <c r="H1006" s="34"/>
      <c r="I1006" s="39"/>
    </row>
    <row r="1007" spans="1:9" x14ac:dyDescent="0.25">
      <c r="A1007" s="23" t="str">
        <f t="shared" si="16"/>
        <v/>
      </c>
      <c r="B1007" s="38"/>
      <c r="C1007" s="34"/>
      <c r="D1007" s="180" t="s">
        <v>4</v>
      </c>
      <c r="E1007" s="32" t="str">
        <f>IF(A1007="","",IF(COUNTIF('Asset Detail'!A:A,A1007)&gt;0,"✓ Found","✗ Not Found"))</f>
        <v/>
      </c>
      <c r="F1007" s="31" t="str" cm="1">
        <f t="array" ref="F1007">IF(A1007="","",IFERROR(INDEX('Asset Detail'!C:C,_xlfn.XMATCH(A1007,'Asset Detail'!A:A,3)),"—"))</f>
        <v/>
      </c>
      <c r="G1007" s="32" t="str" cm="1">
        <f t="array" ref="G1007">IF(A1007="","",IFERROR(INDEX('Asset Detail'!E:E,_xlfn.XMATCH(A1007,'Asset Detail'!A:A,3)),"—"))</f>
        <v/>
      </c>
      <c r="H1007" s="34"/>
      <c r="I1007" s="39"/>
    </row>
    <row r="1008" spans="1:9" x14ac:dyDescent="0.25">
      <c r="A1008" s="23" t="str">
        <f t="shared" si="16"/>
        <v/>
      </c>
      <c r="B1008" s="38"/>
      <c r="C1008" s="34"/>
      <c r="D1008" s="180" t="s">
        <v>4</v>
      </c>
      <c r="E1008" s="32" t="str">
        <f>IF(A1008="","",IF(COUNTIF('Asset Detail'!A:A,A1008)&gt;0,"✓ Found","✗ Not Found"))</f>
        <v/>
      </c>
      <c r="F1008" s="31" t="str" cm="1">
        <f t="array" ref="F1008">IF(A1008="","",IFERROR(INDEX('Asset Detail'!C:C,_xlfn.XMATCH(A1008,'Asset Detail'!A:A,3)),"—"))</f>
        <v/>
      </c>
      <c r="G1008" s="32" t="str" cm="1">
        <f t="array" ref="G1008">IF(A1008="","",IFERROR(INDEX('Asset Detail'!E:E,_xlfn.XMATCH(A1008,'Asset Detail'!A:A,3)),"—"))</f>
        <v/>
      </c>
      <c r="H1008" s="34"/>
      <c r="I1008" s="39"/>
    </row>
    <row r="1009" spans="1:9" x14ac:dyDescent="0.25">
      <c r="A1009" s="23" t="str">
        <f t="shared" ref="A1009:A1040" si="17">SUBSTITUTE(I1009, "S", "")</f>
        <v/>
      </c>
      <c r="B1009" s="38"/>
      <c r="C1009" s="34"/>
      <c r="D1009" s="180" t="s">
        <v>4</v>
      </c>
      <c r="E1009" s="32" t="str">
        <f>IF(A1009="","",IF(COUNTIF('Asset Detail'!A:A,A1009)&gt;0,"✓ Found","✗ Not Found"))</f>
        <v/>
      </c>
      <c r="F1009" s="31" t="str" cm="1">
        <f t="array" ref="F1009">IF(A1009="","",IFERROR(INDEX('Asset Detail'!C:C,_xlfn.XMATCH(A1009,'Asset Detail'!A:A,3)),"—"))</f>
        <v/>
      </c>
      <c r="G1009" s="32" t="str" cm="1">
        <f t="array" ref="G1009">IF(A1009="","",IFERROR(INDEX('Asset Detail'!E:E,_xlfn.XMATCH(A1009,'Asset Detail'!A:A,3)),"—"))</f>
        <v/>
      </c>
      <c r="H1009" s="34"/>
      <c r="I1009" s="39"/>
    </row>
    <row r="1010" spans="1:9" x14ac:dyDescent="0.25">
      <c r="A1010" s="23" t="str">
        <f t="shared" si="17"/>
        <v/>
      </c>
      <c r="B1010" s="38"/>
      <c r="C1010" s="34"/>
      <c r="D1010" s="180" t="s">
        <v>4</v>
      </c>
      <c r="E1010" s="32" t="str">
        <f>IF(A1010="","",IF(COUNTIF('Asset Detail'!A:A,A1010)&gt;0,"✓ Found","✗ Not Found"))</f>
        <v/>
      </c>
      <c r="F1010" s="31" t="str" cm="1">
        <f t="array" ref="F1010">IF(A1010="","",IFERROR(INDEX('Asset Detail'!C:C,_xlfn.XMATCH(A1010,'Asset Detail'!A:A,3)),"—"))</f>
        <v/>
      </c>
      <c r="G1010" s="32" t="str" cm="1">
        <f t="array" ref="G1010">IF(A1010="","",IFERROR(INDEX('Asset Detail'!E:E,_xlfn.XMATCH(A1010,'Asset Detail'!A:A,3)),"—"))</f>
        <v/>
      </c>
      <c r="H1010" s="34"/>
      <c r="I1010" s="39"/>
    </row>
    <row r="1011" spans="1:9" x14ac:dyDescent="0.25">
      <c r="A1011" s="23" t="str">
        <f t="shared" si="17"/>
        <v/>
      </c>
      <c r="B1011" s="38"/>
      <c r="C1011" s="34"/>
      <c r="D1011" s="180" t="s">
        <v>4</v>
      </c>
      <c r="E1011" s="32" t="str">
        <f>IF(A1011="","",IF(COUNTIF('Asset Detail'!A:A,A1011)&gt;0,"✓ Found","✗ Not Found"))</f>
        <v/>
      </c>
      <c r="F1011" s="31" t="str" cm="1">
        <f t="array" ref="F1011">IF(A1011="","",IFERROR(INDEX('Asset Detail'!C:C,_xlfn.XMATCH(A1011,'Asset Detail'!A:A,3)),"—"))</f>
        <v/>
      </c>
      <c r="G1011" s="32" t="str" cm="1">
        <f t="array" ref="G1011">IF(A1011="","",IFERROR(INDEX('Asset Detail'!E:E,_xlfn.XMATCH(A1011,'Asset Detail'!A:A,3)),"—"))</f>
        <v/>
      </c>
      <c r="H1011" s="34"/>
      <c r="I1011" s="39"/>
    </row>
    <row r="1012" spans="1:9" x14ac:dyDescent="0.25">
      <c r="A1012" s="23" t="str">
        <f t="shared" si="17"/>
        <v/>
      </c>
      <c r="B1012" s="38"/>
      <c r="C1012" s="34"/>
      <c r="D1012" s="180" t="s">
        <v>4</v>
      </c>
      <c r="E1012" s="32" t="str">
        <f>IF(A1012="","",IF(COUNTIF('Asset Detail'!A:A,A1012)&gt;0,"✓ Found","✗ Not Found"))</f>
        <v/>
      </c>
      <c r="F1012" s="31" t="str" cm="1">
        <f t="array" ref="F1012">IF(A1012="","",IFERROR(INDEX('Asset Detail'!C:C,_xlfn.XMATCH(A1012,'Asset Detail'!A:A,3)),"—"))</f>
        <v/>
      </c>
      <c r="G1012" s="32" t="str" cm="1">
        <f t="array" ref="G1012">IF(A1012="","",IFERROR(INDEX('Asset Detail'!E:E,_xlfn.XMATCH(A1012,'Asset Detail'!A:A,3)),"—"))</f>
        <v/>
      </c>
      <c r="H1012" s="34"/>
      <c r="I1012" s="39"/>
    </row>
    <row r="1013" spans="1:9" x14ac:dyDescent="0.25">
      <c r="A1013" s="23" t="str">
        <f t="shared" si="17"/>
        <v/>
      </c>
      <c r="B1013" s="38"/>
      <c r="C1013" s="34"/>
      <c r="D1013" s="180" t="s">
        <v>4</v>
      </c>
      <c r="E1013" s="32" t="str">
        <f>IF(A1013="","",IF(COUNTIF('Asset Detail'!A:A,A1013)&gt;0,"✓ Found","✗ Not Found"))</f>
        <v/>
      </c>
      <c r="F1013" s="31" t="str" cm="1">
        <f t="array" ref="F1013">IF(A1013="","",IFERROR(INDEX('Asset Detail'!C:C,_xlfn.XMATCH(A1013,'Asset Detail'!A:A,3)),"—"))</f>
        <v/>
      </c>
      <c r="G1013" s="32" t="str" cm="1">
        <f t="array" ref="G1013">IF(A1013="","",IFERROR(INDEX('Asset Detail'!E:E,_xlfn.XMATCH(A1013,'Asset Detail'!A:A,3)),"—"))</f>
        <v/>
      </c>
      <c r="H1013" s="34"/>
      <c r="I1013" s="39"/>
    </row>
    <row r="1014" spans="1:9" x14ac:dyDescent="0.25">
      <c r="A1014" s="23" t="str">
        <f t="shared" si="17"/>
        <v/>
      </c>
      <c r="B1014" s="38"/>
      <c r="C1014" s="34"/>
      <c r="D1014" s="180" t="s">
        <v>4</v>
      </c>
      <c r="E1014" s="32" t="str">
        <f>IF(A1014="","",IF(COUNTIF('Asset Detail'!A:A,A1014)&gt;0,"✓ Found","✗ Not Found"))</f>
        <v/>
      </c>
      <c r="F1014" s="31" t="str" cm="1">
        <f t="array" ref="F1014">IF(A1014="","",IFERROR(INDEX('Asset Detail'!C:C,_xlfn.XMATCH(A1014,'Asset Detail'!A:A,3)),"—"))</f>
        <v/>
      </c>
      <c r="G1014" s="32" t="str" cm="1">
        <f t="array" ref="G1014">IF(A1014="","",IFERROR(INDEX('Asset Detail'!E:E,_xlfn.XMATCH(A1014,'Asset Detail'!A:A,3)),"—"))</f>
        <v/>
      </c>
      <c r="H1014" s="34"/>
      <c r="I1014" s="39"/>
    </row>
    <row r="1015" spans="1:9" x14ac:dyDescent="0.25">
      <c r="A1015" s="23" t="str">
        <f t="shared" si="17"/>
        <v/>
      </c>
      <c r="B1015" s="38"/>
      <c r="C1015" s="34"/>
      <c r="D1015" s="180" t="s">
        <v>4</v>
      </c>
      <c r="E1015" s="32" t="str">
        <f>IF(A1015="","",IF(COUNTIF('Asset Detail'!A:A,A1015)&gt;0,"✓ Found","✗ Not Found"))</f>
        <v/>
      </c>
      <c r="F1015" s="31" t="str" cm="1">
        <f t="array" ref="F1015">IF(A1015="","",IFERROR(INDEX('Asset Detail'!C:C,_xlfn.XMATCH(A1015,'Asset Detail'!A:A,3)),"—"))</f>
        <v/>
      </c>
      <c r="G1015" s="32" t="str" cm="1">
        <f t="array" ref="G1015">IF(A1015="","",IFERROR(INDEX('Asset Detail'!E:E,_xlfn.XMATCH(A1015,'Asset Detail'!A:A,3)),"—"))</f>
        <v/>
      </c>
      <c r="H1015" s="34"/>
      <c r="I1015" s="39"/>
    </row>
    <row r="1016" spans="1:9" x14ac:dyDescent="0.25">
      <c r="A1016" s="23" t="str">
        <f t="shared" si="17"/>
        <v/>
      </c>
      <c r="B1016" s="38"/>
      <c r="C1016" s="34"/>
      <c r="D1016" s="180" t="s">
        <v>4</v>
      </c>
      <c r="E1016" s="32" t="str">
        <f>IF(A1016="","",IF(COUNTIF('Asset Detail'!A:A,A1016)&gt;0,"✓ Found","✗ Not Found"))</f>
        <v/>
      </c>
      <c r="F1016" s="31" t="str" cm="1">
        <f t="array" ref="F1016">IF(A1016="","",IFERROR(INDEX('Asset Detail'!C:C,_xlfn.XMATCH(A1016,'Asset Detail'!A:A,3)),"—"))</f>
        <v/>
      </c>
      <c r="G1016" s="32" t="str" cm="1">
        <f t="array" ref="G1016">IF(A1016="","",IFERROR(INDEX('Asset Detail'!E:E,_xlfn.XMATCH(A1016,'Asset Detail'!A:A,3)),"—"))</f>
        <v/>
      </c>
      <c r="H1016" s="34"/>
      <c r="I1016" s="39"/>
    </row>
    <row r="1017" spans="1:9" x14ac:dyDescent="0.25">
      <c r="A1017" s="23" t="str">
        <f t="shared" si="17"/>
        <v/>
      </c>
      <c r="B1017" s="38"/>
      <c r="C1017" s="34"/>
      <c r="D1017" s="180" t="s">
        <v>4</v>
      </c>
      <c r="E1017" s="32" t="str">
        <f>IF(A1017="","",IF(COUNTIF('Asset Detail'!A:A,A1017)&gt;0,"✓ Found","✗ Not Found"))</f>
        <v/>
      </c>
      <c r="F1017" s="31" t="str" cm="1">
        <f t="array" ref="F1017">IF(A1017="","",IFERROR(INDEX('Asset Detail'!C:C,_xlfn.XMATCH(A1017,'Asset Detail'!A:A,3)),"—"))</f>
        <v/>
      </c>
      <c r="G1017" s="32" t="str" cm="1">
        <f t="array" ref="G1017">IF(A1017="","",IFERROR(INDEX('Asset Detail'!E:E,_xlfn.XMATCH(A1017,'Asset Detail'!A:A,3)),"—"))</f>
        <v/>
      </c>
      <c r="H1017" s="34"/>
      <c r="I1017" s="39"/>
    </row>
    <row r="1018" spans="1:9" x14ac:dyDescent="0.25">
      <c r="A1018" s="23" t="str">
        <f t="shared" si="17"/>
        <v/>
      </c>
      <c r="B1018" s="38"/>
      <c r="C1018" s="34"/>
      <c r="D1018" s="180" t="s">
        <v>4</v>
      </c>
      <c r="E1018" s="32" t="str">
        <f>IF(A1018="","",IF(COUNTIF('Asset Detail'!A:A,A1018)&gt;0,"✓ Found","✗ Not Found"))</f>
        <v/>
      </c>
      <c r="F1018" s="31" t="str" cm="1">
        <f t="array" ref="F1018">IF(A1018="","",IFERROR(INDEX('Asset Detail'!C:C,_xlfn.XMATCH(A1018,'Asset Detail'!A:A,3)),"—"))</f>
        <v/>
      </c>
      <c r="G1018" s="32" t="str" cm="1">
        <f t="array" ref="G1018">IF(A1018="","",IFERROR(INDEX('Asset Detail'!E:E,_xlfn.XMATCH(A1018,'Asset Detail'!A:A,3)),"—"))</f>
        <v/>
      </c>
      <c r="H1018" s="34"/>
      <c r="I1018" s="39"/>
    </row>
    <row r="1019" spans="1:9" x14ac:dyDescent="0.25">
      <c r="A1019" s="23" t="str">
        <f t="shared" si="17"/>
        <v/>
      </c>
      <c r="B1019" s="38"/>
      <c r="C1019" s="34"/>
      <c r="D1019" s="180" t="s">
        <v>4</v>
      </c>
      <c r="E1019" s="32" t="str">
        <f>IF(A1019="","",IF(COUNTIF('Asset Detail'!A:A,A1019)&gt;0,"✓ Found","✗ Not Found"))</f>
        <v/>
      </c>
      <c r="F1019" s="31" t="str" cm="1">
        <f t="array" ref="F1019">IF(A1019="","",IFERROR(INDEX('Asset Detail'!C:C,_xlfn.XMATCH(A1019,'Asset Detail'!A:A,3)),"—"))</f>
        <v/>
      </c>
      <c r="G1019" s="32" t="str" cm="1">
        <f t="array" ref="G1019">IF(A1019="","",IFERROR(INDEX('Asset Detail'!E:E,_xlfn.XMATCH(A1019,'Asset Detail'!A:A,3)),"—"))</f>
        <v/>
      </c>
      <c r="H1019" s="34"/>
      <c r="I1019" s="39"/>
    </row>
    <row r="1020" spans="1:9" x14ac:dyDescent="0.25">
      <c r="A1020" s="23" t="str">
        <f t="shared" si="17"/>
        <v/>
      </c>
      <c r="B1020" s="38"/>
      <c r="C1020" s="34"/>
      <c r="D1020" s="180" t="s">
        <v>4</v>
      </c>
      <c r="E1020" s="32" t="str">
        <f>IF(A1020="","",IF(COUNTIF('Asset Detail'!A:A,A1020)&gt;0,"✓ Found","✗ Not Found"))</f>
        <v/>
      </c>
      <c r="F1020" s="31" t="str" cm="1">
        <f t="array" ref="F1020">IF(A1020="","",IFERROR(INDEX('Asset Detail'!C:C,_xlfn.XMATCH(A1020,'Asset Detail'!A:A,3)),"—"))</f>
        <v/>
      </c>
      <c r="G1020" s="32" t="str" cm="1">
        <f t="array" ref="G1020">IF(A1020="","",IFERROR(INDEX('Asset Detail'!E:E,_xlfn.XMATCH(A1020,'Asset Detail'!A:A,3)),"—"))</f>
        <v/>
      </c>
      <c r="H1020" s="34"/>
      <c r="I1020" s="39"/>
    </row>
    <row r="1021" spans="1:9" x14ac:dyDescent="0.25">
      <c r="A1021" s="23" t="str">
        <f t="shared" si="17"/>
        <v/>
      </c>
      <c r="B1021" s="38"/>
      <c r="C1021" s="34"/>
      <c r="D1021" s="180" t="s">
        <v>4</v>
      </c>
      <c r="E1021" s="32" t="str">
        <f>IF(A1021="","",IF(COUNTIF('Asset Detail'!A:A,A1021)&gt;0,"✓ Found","✗ Not Found"))</f>
        <v/>
      </c>
      <c r="F1021" s="31" t="str" cm="1">
        <f t="array" ref="F1021">IF(A1021="","",IFERROR(INDEX('Asset Detail'!C:C,_xlfn.XMATCH(A1021,'Asset Detail'!A:A,3)),"—"))</f>
        <v/>
      </c>
      <c r="G1021" s="32" t="str" cm="1">
        <f t="array" ref="G1021">IF(A1021="","",IFERROR(INDEX('Asset Detail'!E:E,_xlfn.XMATCH(A1021,'Asset Detail'!A:A,3)),"—"))</f>
        <v/>
      </c>
      <c r="H1021" s="34"/>
      <c r="I1021" s="39"/>
    </row>
    <row r="1022" spans="1:9" x14ac:dyDescent="0.25">
      <c r="A1022" s="23" t="str">
        <f t="shared" si="17"/>
        <v/>
      </c>
      <c r="B1022" s="38"/>
      <c r="C1022" s="34"/>
      <c r="D1022" s="180" t="s">
        <v>4</v>
      </c>
      <c r="E1022" s="32" t="str">
        <f>IF(A1022="","",IF(COUNTIF('Asset Detail'!A:A,A1022)&gt;0,"✓ Found","✗ Not Found"))</f>
        <v/>
      </c>
      <c r="F1022" s="31" t="str" cm="1">
        <f t="array" ref="F1022">IF(A1022="","",IFERROR(INDEX('Asset Detail'!C:C,_xlfn.XMATCH(A1022,'Asset Detail'!A:A,3)),"—"))</f>
        <v/>
      </c>
      <c r="G1022" s="32" t="str" cm="1">
        <f t="array" ref="G1022">IF(A1022="","",IFERROR(INDEX('Asset Detail'!E:E,_xlfn.XMATCH(A1022,'Asset Detail'!A:A,3)),"—"))</f>
        <v/>
      </c>
      <c r="H1022" s="34"/>
      <c r="I1022" s="39"/>
    </row>
    <row r="1023" spans="1:9" x14ac:dyDescent="0.25">
      <c r="A1023" s="23" t="str">
        <f t="shared" si="17"/>
        <v/>
      </c>
      <c r="B1023" s="38"/>
      <c r="C1023" s="34"/>
      <c r="D1023" s="180" t="s">
        <v>4</v>
      </c>
      <c r="E1023" s="32" t="str">
        <f>IF(A1023="","",IF(COUNTIF('Asset Detail'!A:A,A1023)&gt;0,"✓ Found","✗ Not Found"))</f>
        <v/>
      </c>
      <c r="F1023" s="31" t="str" cm="1">
        <f t="array" ref="F1023">IF(A1023="","",IFERROR(INDEX('Asset Detail'!C:C,_xlfn.XMATCH(A1023,'Asset Detail'!A:A,3)),"—"))</f>
        <v/>
      </c>
      <c r="G1023" s="32" t="str" cm="1">
        <f t="array" ref="G1023">IF(A1023="","",IFERROR(INDEX('Asset Detail'!E:E,_xlfn.XMATCH(A1023,'Asset Detail'!A:A,3)),"—"))</f>
        <v/>
      </c>
      <c r="H1023" s="34"/>
      <c r="I1023" s="39"/>
    </row>
    <row r="1024" spans="1:9" x14ac:dyDescent="0.25">
      <c r="A1024" s="23" t="str">
        <f t="shared" si="17"/>
        <v/>
      </c>
      <c r="B1024" s="38"/>
      <c r="C1024" s="34"/>
      <c r="D1024" s="180" t="s">
        <v>4</v>
      </c>
      <c r="E1024" s="32" t="str">
        <f>IF(A1024="","",IF(COUNTIF('Asset Detail'!A:A,A1024)&gt;0,"✓ Found","✗ Not Found"))</f>
        <v/>
      </c>
      <c r="F1024" s="31" t="str" cm="1">
        <f t="array" ref="F1024">IF(A1024="","",IFERROR(INDEX('Asset Detail'!C:C,_xlfn.XMATCH(A1024,'Asset Detail'!A:A,3)),"—"))</f>
        <v/>
      </c>
      <c r="G1024" s="32" t="str" cm="1">
        <f t="array" ref="G1024">IF(A1024="","",IFERROR(INDEX('Asset Detail'!E:E,_xlfn.XMATCH(A1024,'Asset Detail'!A:A,3)),"—"))</f>
        <v/>
      </c>
      <c r="H1024" s="34"/>
      <c r="I1024" s="39"/>
    </row>
    <row r="1025" spans="1:9" x14ac:dyDescent="0.25">
      <c r="A1025" s="23" t="str">
        <f t="shared" si="17"/>
        <v/>
      </c>
      <c r="B1025" s="38"/>
      <c r="C1025" s="34"/>
      <c r="D1025" s="180" t="s">
        <v>4</v>
      </c>
      <c r="E1025" s="32" t="str">
        <f>IF(A1025="","",IF(COUNTIF('Asset Detail'!A:A,A1025)&gt;0,"✓ Found","✗ Not Found"))</f>
        <v/>
      </c>
      <c r="F1025" s="31" t="str" cm="1">
        <f t="array" ref="F1025">IF(A1025="","",IFERROR(INDEX('Asset Detail'!C:C,_xlfn.XMATCH(A1025,'Asset Detail'!A:A,3)),"—"))</f>
        <v/>
      </c>
      <c r="G1025" s="32" t="str" cm="1">
        <f t="array" ref="G1025">IF(A1025="","",IFERROR(INDEX('Asset Detail'!E:E,_xlfn.XMATCH(A1025,'Asset Detail'!A:A,3)),"—"))</f>
        <v/>
      </c>
      <c r="H1025" s="34"/>
      <c r="I1025" s="39"/>
    </row>
    <row r="1026" spans="1:9" x14ac:dyDescent="0.25">
      <c r="A1026" s="23" t="str">
        <f t="shared" si="17"/>
        <v/>
      </c>
      <c r="B1026" s="38"/>
      <c r="C1026" s="34"/>
      <c r="D1026" s="180" t="s">
        <v>4</v>
      </c>
      <c r="E1026" s="32" t="str">
        <f>IF(A1026="","",IF(COUNTIF('Asset Detail'!A:A,A1026)&gt;0,"✓ Found","✗ Not Found"))</f>
        <v/>
      </c>
      <c r="F1026" s="31" t="str" cm="1">
        <f t="array" ref="F1026">IF(A1026="","",IFERROR(INDEX('Asset Detail'!C:C,_xlfn.XMATCH(A1026,'Asset Detail'!A:A,3)),"—"))</f>
        <v/>
      </c>
      <c r="G1026" s="32" t="str" cm="1">
        <f t="array" ref="G1026">IF(A1026="","",IFERROR(INDEX('Asset Detail'!E:E,_xlfn.XMATCH(A1026,'Asset Detail'!A:A,3)),"—"))</f>
        <v/>
      </c>
      <c r="H1026" s="34"/>
      <c r="I1026" s="39"/>
    </row>
    <row r="1027" spans="1:9" x14ac:dyDescent="0.25">
      <c r="A1027" s="23" t="str">
        <f t="shared" si="17"/>
        <v/>
      </c>
      <c r="B1027" s="38"/>
      <c r="C1027" s="34"/>
      <c r="D1027" s="180" t="s">
        <v>4</v>
      </c>
      <c r="E1027" s="32" t="str">
        <f>IF(A1027="","",IF(COUNTIF('Asset Detail'!A:A,A1027)&gt;0,"✓ Found","✗ Not Found"))</f>
        <v/>
      </c>
      <c r="F1027" s="31" t="str" cm="1">
        <f t="array" ref="F1027">IF(A1027="","",IFERROR(INDEX('Asset Detail'!C:C,_xlfn.XMATCH(A1027,'Asset Detail'!A:A,3)),"—"))</f>
        <v/>
      </c>
      <c r="G1027" s="32" t="str" cm="1">
        <f t="array" ref="G1027">IF(A1027="","",IFERROR(INDEX('Asset Detail'!E:E,_xlfn.XMATCH(A1027,'Asset Detail'!A:A,3)),"—"))</f>
        <v/>
      </c>
      <c r="H1027" s="34"/>
      <c r="I1027" s="39"/>
    </row>
    <row r="1028" spans="1:9" x14ac:dyDescent="0.25">
      <c r="A1028" s="23" t="str">
        <f t="shared" si="17"/>
        <v/>
      </c>
      <c r="B1028" s="38"/>
      <c r="C1028" s="34"/>
      <c r="D1028" s="180" t="s">
        <v>4</v>
      </c>
      <c r="E1028" s="32" t="str">
        <f>IF(A1028="","",IF(COUNTIF('Asset Detail'!A:A,A1028)&gt;0,"✓ Found","✗ Not Found"))</f>
        <v/>
      </c>
      <c r="F1028" s="31" t="str" cm="1">
        <f t="array" ref="F1028">IF(A1028="","",IFERROR(INDEX('Asset Detail'!C:C,_xlfn.XMATCH(A1028,'Asset Detail'!A:A,3)),"—"))</f>
        <v/>
      </c>
      <c r="G1028" s="32" t="str" cm="1">
        <f t="array" ref="G1028">IF(A1028="","",IFERROR(INDEX('Asset Detail'!E:E,_xlfn.XMATCH(A1028,'Asset Detail'!A:A,3)),"—"))</f>
        <v/>
      </c>
      <c r="H1028" s="34"/>
      <c r="I1028" s="39"/>
    </row>
    <row r="1029" spans="1:9" x14ac:dyDescent="0.25">
      <c r="A1029" s="23" t="str">
        <f t="shared" si="17"/>
        <v/>
      </c>
      <c r="B1029" s="38"/>
      <c r="C1029" s="34"/>
      <c r="D1029" s="180" t="s">
        <v>4</v>
      </c>
      <c r="E1029" s="32" t="str">
        <f>IF(A1029="","",IF(COUNTIF('Asset Detail'!A:A,A1029)&gt;0,"✓ Found","✗ Not Found"))</f>
        <v/>
      </c>
      <c r="F1029" s="31" t="str" cm="1">
        <f t="array" ref="F1029">IF(A1029="","",IFERROR(INDEX('Asset Detail'!C:C,_xlfn.XMATCH(A1029,'Asset Detail'!A:A,3)),"—"))</f>
        <v/>
      </c>
      <c r="G1029" s="32" t="str" cm="1">
        <f t="array" ref="G1029">IF(A1029="","",IFERROR(INDEX('Asset Detail'!E:E,_xlfn.XMATCH(A1029,'Asset Detail'!A:A,3)),"—"))</f>
        <v/>
      </c>
      <c r="H1029" s="34"/>
      <c r="I1029" s="39"/>
    </row>
    <row r="1030" spans="1:9" x14ac:dyDescent="0.25">
      <c r="A1030" s="23" t="str">
        <f t="shared" si="17"/>
        <v/>
      </c>
      <c r="B1030" s="38"/>
      <c r="C1030" s="34"/>
      <c r="D1030" s="180" t="s">
        <v>4</v>
      </c>
      <c r="E1030" s="32" t="str">
        <f>IF(A1030="","",IF(COUNTIF('Asset Detail'!A:A,A1030)&gt;0,"✓ Found","✗ Not Found"))</f>
        <v/>
      </c>
      <c r="F1030" s="31" t="str" cm="1">
        <f t="array" ref="F1030">IF(A1030="","",IFERROR(INDEX('Asset Detail'!C:C,_xlfn.XMATCH(A1030,'Asset Detail'!A:A,3)),"—"))</f>
        <v/>
      </c>
      <c r="G1030" s="32" t="str" cm="1">
        <f t="array" ref="G1030">IF(A1030="","",IFERROR(INDEX('Asset Detail'!E:E,_xlfn.XMATCH(A1030,'Asset Detail'!A:A,3)),"—"))</f>
        <v/>
      </c>
      <c r="H1030" s="34"/>
      <c r="I1030" s="39"/>
    </row>
    <row r="1031" spans="1:9" x14ac:dyDescent="0.25">
      <c r="A1031" s="23" t="str">
        <f t="shared" si="17"/>
        <v/>
      </c>
      <c r="B1031" s="38"/>
      <c r="C1031" s="34"/>
      <c r="D1031" s="180" t="s">
        <v>4</v>
      </c>
      <c r="E1031" s="32" t="str">
        <f>IF(A1031="","",IF(COUNTIF('Asset Detail'!A:A,A1031)&gt;0,"✓ Found","✗ Not Found"))</f>
        <v/>
      </c>
      <c r="F1031" s="31" t="str" cm="1">
        <f t="array" ref="F1031">IF(A1031="","",IFERROR(INDEX('Asset Detail'!C:C,_xlfn.XMATCH(A1031,'Asset Detail'!A:A,3)),"—"))</f>
        <v/>
      </c>
      <c r="G1031" s="32" t="str" cm="1">
        <f t="array" ref="G1031">IF(A1031="","",IFERROR(INDEX('Asset Detail'!E:E,_xlfn.XMATCH(A1031,'Asset Detail'!A:A,3)),"—"))</f>
        <v/>
      </c>
      <c r="H1031" s="34"/>
      <c r="I1031" s="39"/>
    </row>
    <row r="1032" spans="1:9" x14ac:dyDescent="0.25">
      <c r="A1032" s="23" t="str">
        <f t="shared" si="17"/>
        <v/>
      </c>
      <c r="B1032" s="38"/>
      <c r="C1032" s="34"/>
      <c r="D1032" s="180" t="s">
        <v>4</v>
      </c>
      <c r="E1032" s="32" t="str">
        <f>IF(A1032="","",IF(COUNTIF('Asset Detail'!A:A,A1032)&gt;0,"✓ Found","✗ Not Found"))</f>
        <v/>
      </c>
      <c r="F1032" s="31" t="str" cm="1">
        <f t="array" ref="F1032">IF(A1032="","",IFERROR(INDEX('Asset Detail'!C:C,_xlfn.XMATCH(A1032,'Asset Detail'!A:A,3)),"—"))</f>
        <v/>
      </c>
      <c r="G1032" s="32" t="str" cm="1">
        <f t="array" ref="G1032">IF(A1032="","",IFERROR(INDEX('Asset Detail'!E:E,_xlfn.XMATCH(A1032,'Asset Detail'!A:A,3)),"—"))</f>
        <v/>
      </c>
      <c r="H1032" s="34"/>
      <c r="I1032" s="39"/>
    </row>
    <row r="1033" spans="1:9" x14ac:dyDescent="0.25">
      <c r="A1033" s="23" t="str">
        <f t="shared" si="17"/>
        <v/>
      </c>
      <c r="B1033" s="38"/>
      <c r="C1033" s="34"/>
      <c r="D1033" s="180" t="s">
        <v>4</v>
      </c>
      <c r="E1033" s="32" t="str">
        <f>IF(A1033="","",IF(COUNTIF('Asset Detail'!A:A,A1033)&gt;0,"✓ Found","✗ Not Found"))</f>
        <v/>
      </c>
      <c r="F1033" s="31" t="str" cm="1">
        <f t="array" ref="F1033">IF(A1033="","",IFERROR(INDEX('Asset Detail'!C:C,_xlfn.XMATCH(A1033,'Asset Detail'!A:A,3)),"—"))</f>
        <v/>
      </c>
      <c r="G1033" s="32" t="str" cm="1">
        <f t="array" ref="G1033">IF(A1033="","",IFERROR(INDEX('Asset Detail'!E:E,_xlfn.XMATCH(A1033,'Asset Detail'!A:A,3)),"—"))</f>
        <v/>
      </c>
      <c r="H1033" s="34"/>
      <c r="I1033" s="39"/>
    </row>
    <row r="1034" spans="1:9" x14ac:dyDescent="0.25">
      <c r="A1034" s="23" t="str">
        <f t="shared" si="17"/>
        <v/>
      </c>
      <c r="B1034" s="38"/>
      <c r="C1034" s="34"/>
      <c r="D1034" s="180" t="s">
        <v>4</v>
      </c>
      <c r="E1034" s="32" t="str">
        <f>IF(A1034="","",IF(COUNTIF('Asset Detail'!A:A,A1034)&gt;0,"✓ Found","✗ Not Found"))</f>
        <v/>
      </c>
      <c r="F1034" s="31" t="str" cm="1">
        <f t="array" ref="F1034">IF(A1034="","",IFERROR(INDEX('Asset Detail'!C:C,_xlfn.XMATCH(A1034,'Asset Detail'!A:A,3)),"—"))</f>
        <v/>
      </c>
      <c r="G1034" s="32" t="str" cm="1">
        <f t="array" ref="G1034">IF(A1034="","",IFERROR(INDEX('Asset Detail'!E:E,_xlfn.XMATCH(A1034,'Asset Detail'!A:A,3)),"—"))</f>
        <v/>
      </c>
      <c r="H1034" s="34"/>
      <c r="I1034" s="39"/>
    </row>
    <row r="1035" spans="1:9" x14ac:dyDescent="0.25">
      <c r="A1035" s="23" t="str">
        <f t="shared" si="17"/>
        <v/>
      </c>
      <c r="B1035" s="38"/>
      <c r="C1035" s="34"/>
      <c r="D1035" s="180" t="s">
        <v>4</v>
      </c>
      <c r="E1035" s="32" t="str">
        <f>IF(A1035="","",IF(COUNTIF('Asset Detail'!A:A,A1035)&gt;0,"✓ Found","✗ Not Found"))</f>
        <v/>
      </c>
      <c r="F1035" s="31" t="str" cm="1">
        <f t="array" ref="F1035">IF(A1035="","",IFERROR(INDEX('Asset Detail'!C:C,_xlfn.XMATCH(A1035,'Asset Detail'!A:A,3)),"—"))</f>
        <v/>
      </c>
      <c r="G1035" s="32" t="str" cm="1">
        <f t="array" ref="G1035">IF(A1035="","",IFERROR(INDEX('Asset Detail'!E:E,_xlfn.XMATCH(A1035,'Asset Detail'!A:A,3)),"—"))</f>
        <v/>
      </c>
      <c r="H1035" s="34"/>
      <c r="I1035" s="39"/>
    </row>
    <row r="1036" spans="1:9" x14ac:dyDescent="0.25">
      <c r="A1036" s="23" t="str">
        <f t="shared" si="17"/>
        <v/>
      </c>
      <c r="B1036" s="38"/>
      <c r="C1036" s="34"/>
      <c r="D1036" s="180" t="s">
        <v>4</v>
      </c>
      <c r="E1036" s="32" t="str">
        <f>IF(A1036="","",IF(COUNTIF('Asset Detail'!A:A,A1036)&gt;0,"✓ Found","✗ Not Found"))</f>
        <v/>
      </c>
      <c r="F1036" s="31" t="str" cm="1">
        <f t="array" ref="F1036">IF(A1036="","",IFERROR(INDEX('Asset Detail'!C:C,_xlfn.XMATCH(A1036,'Asset Detail'!A:A,3)),"—"))</f>
        <v/>
      </c>
      <c r="G1036" s="32" t="str" cm="1">
        <f t="array" ref="G1036">IF(A1036="","",IFERROR(INDEX('Asset Detail'!E:E,_xlfn.XMATCH(A1036,'Asset Detail'!A:A,3)),"—"))</f>
        <v/>
      </c>
      <c r="H1036" s="34"/>
      <c r="I1036" s="39"/>
    </row>
    <row r="1037" spans="1:9" x14ac:dyDescent="0.25">
      <c r="A1037" s="23" t="str">
        <f t="shared" si="17"/>
        <v/>
      </c>
      <c r="B1037" s="38"/>
      <c r="C1037" s="34"/>
      <c r="D1037" s="180" t="s">
        <v>4</v>
      </c>
      <c r="E1037" s="32" t="str">
        <f>IF(A1037="","",IF(COUNTIF('Asset Detail'!A:A,A1037)&gt;0,"✓ Found","✗ Not Found"))</f>
        <v/>
      </c>
      <c r="F1037" s="31" t="str" cm="1">
        <f t="array" ref="F1037">IF(A1037="","",IFERROR(INDEX('Asset Detail'!C:C,_xlfn.XMATCH(A1037,'Asset Detail'!A:A,3)),"—"))</f>
        <v/>
      </c>
      <c r="G1037" s="32" t="str" cm="1">
        <f t="array" ref="G1037">IF(A1037="","",IFERROR(INDEX('Asset Detail'!E:E,_xlfn.XMATCH(A1037,'Asset Detail'!A:A,3)),"—"))</f>
        <v/>
      </c>
      <c r="H1037" s="34"/>
      <c r="I1037" s="39"/>
    </row>
    <row r="1038" spans="1:9" x14ac:dyDescent="0.25">
      <c r="A1038" s="23" t="str">
        <f t="shared" si="17"/>
        <v/>
      </c>
      <c r="B1038" s="38"/>
      <c r="C1038" s="34"/>
      <c r="D1038" s="180" t="s">
        <v>4</v>
      </c>
      <c r="E1038" s="32" t="str">
        <f>IF(A1038="","",IF(COUNTIF('Asset Detail'!A:A,A1038)&gt;0,"✓ Found","✗ Not Found"))</f>
        <v/>
      </c>
      <c r="F1038" s="31" t="str" cm="1">
        <f t="array" ref="F1038">IF(A1038="","",IFERROR(INDEX('Asset Detail'!C:C,_xlfn.XMATCH(A1038,'Asset Detail'!A:A,3)),"—"))</f>
        <v/>
      </c>
      <c r="G1038" s="32" t="str" cm="1">
        <f t="array" ref="G1038">IF(A1038="","",IFERROR(INDEX('Asset Detail'!E:E,_xlfn.XMATCH(A1038,'Asset Detail'!A:A,3)),"—"))</f>
        <v/>
      </c>
      <c r="H1038" s="34"/>
      <c r="I1038" s="39"/>
    </row>
    <row r="1039" spans="1:9" x14ac:dyDescent="0.25">
      <c r="A1039" s="23" t="str">
        <f t="shared" si="17"/>
        <v/>
      </c>
      <c r="B1039" s="38"/>
      <c r="C1039" s="34"/>
      <c r="D1039" s="180" t="s">
        <v>4</v>
      </c>
      <c r="E1039" s="32" t="str">
        <f>IF(A1039="","",IF(COUNTIF('Asset Detail'!A:A,A1039)&gt;0,"✓ Found","✗ Not Found"))</f>
        <v/>
      </c>
      <c r="F1039" s="31" t="str" cm="1">
        <f t="array" ref="F1039">IF(A1039="","",IFERROR(INDEX('Asset Detail'!C:C,_xlfn.XMATCH(A1039,'Asset Detail'!A:A,3)),"—"))</f>
        <v/>
      </c>
      <c r="G1039" s="32" t="str" cm="1">
        <f t="array" ref="G1039">IF(A1039="","",IFERROR(INDEX('Asset Detail'!E:E,_xlfn.XMATCH(A1039,'Asset Detail'!A:A,3)),"—"))</f>
        <v/>
      </c>
      <c r="H1039" s="34"/>
      <c r="I1039" s="39"/>
    </row>
    <row r="1040" spans="1:9" x14ac:dyDescent="0.25">
      <c r="A1040" s="23" t="str">
        <f t="shared" si="17"/>
        <v/>
      </c>
      <c r="B1040" s="38"/>
      <c r="C1040" s="34"/>
      <c r="D1040" s="180" t="s">
        <v>4</v>
      </c>
      <c r="E1040" s="32" t="str">
        <f>IF(A1040="","",IF(COUNTIF('Asset Detail'!A:A,A1040)&gt;0,"✓ Found","✗ Not Found"))</f>
        <v/>
      </c>
      <c r="F1040" s="31" t="str" cm="1">
        <f t="array" ref="F1040">IF(A1040="","",IFERROR(INDEX('Asset Detail'!C:C,_xlfn.XMATCH(A1040,'Asset Detail'!A:A,3)),"—"))</f>
        <v/>
      </c>
      <c r="G1040" s="32" t="str" cm="1">
        <f t="array" ref="G1040">IF(A1040="","",IFERROR(INDEX('Asset Detail'!E:E,_xlfn.XMATCH(A1040,'Asset Detail'!A:A,3)),"—"))</f>
        <v/>
      </c>
      <c r="H1040" s="34"/>
      <c r="I1040" s="39"/>
    </row>
    <row r="1041" spans="1:9" x14ac:dyDescent="0.25">
      <c r="A1041" s="23" t="str">
        <f t="shared" ref="A1041:A1052" si="18">SUBSTITUTE(I1041, "S", "")</f>
        <v/>
      </c>
      <c r="B1041" s="38"/>
      <c r="C1041" s="34"/>
      <c r="D1041" s="180" t="s">
        <v>4</v>
      </c>
      <c r="E1041" s="32" t="str">
        <f>IF(A1041="","",IF(COUNTIF('Asset Detail'!A:A,A1041)&gt;0,"✓ Found","✗ Not Found"))</f>
        <v/>
      </c>
      <c r="F1041" s="31" t="str" cm="1">
        <f t="array" ref="F1041">IF(A1041="","",IFERROR(INDEX('Asset Detail'!C:C,_xlfn.XMATCH(A1041,'Asset Detail'!A:A,3)),"—"))</f>
        <v/>
      </c>
      <c r="G1041" s="32" t="str" cm="1">
        <f t="array" ref="G1041">IF(A1041="","",IFERROR(INDEX('Asset Detail'!E:E,_xlfn.XMATCH(A1041,'Asset Detail'!A:A,3)),"—"))</f>
        <v/>
      </c>
      <c r="H1041" s="34"/>
      <c r="I1041" s="39"/>
    </row>
    <row r="1042" spans="1:9" x14ac:dyDescent="0.25">
      <c r="A1042" s="23" t="str">
        <f t="shared" si="18"/>
        <v/>
      </c>
      <c r="B1042" s="38"/>
      <c r="C1042" s="34"/>
      <c r="D1042" s="180" t="s">
        <v>4</v>
      </c>
      <c r="E1042" s="32" t="str">
        <f>IF(A1042="","",IF(COUNTIF('Asset Detail'!A:A,A1042)&gt;0,"✓ Found","✗ Not Found"))</f>
        <v/>
      </c>
      <c r="F1042" s="31" t="str" cm="1">
        <f t="array" ref="F1042">IF(A1042="","",IFERROR(INDEX('Asset Detail'!C:C,_xlfn.XMATCH(A1042,'Asset Detail'!A:A,3)),"—"))</f>
        <v/>
      </c>
      <c r="G1042" s="32" t="str" cm="1">
        <f t="array" ref="G1042">IF(A1042="","",IFERROR(INDEX('Asset Detail'!E:E,_xlfn.XMATCH(A1042,'Asset Detail'!A:A,3)),"—"))</f>
        <v/>
      </c>
      <c r="H1042" s="34"/>
      <c r="I1042" s="39"/>
    </row>
    <row r="1043" spans="1:9" x14ac:dyDescent="0.25">
      <c r="A1043" s="23" t="str">
        <f t="shared" si="18"/>
        <v/>
      </c>
      <c r="B1043" s="38"/>
      <c r="C1043" s="34"/>
      <c r="D1043" s="180" t="s">
        <v>4</v>
      </c>
      <c r="E1043" s="32" t="str">
        <f>IF(A1043="","",IF(COUNTIF('Asset Detail'!A:A,A1043)&gt;0,"✓ Found","✗ Not Found"))</f>
        <v/>
      </c>
      <c r="F1043" s="31" t="str" cm="1">
        <f t="array" ref="F1043">IF(A1043="","",IFERROR(INDEX('Asset Detail'!C:C,_xlfn.XMATCH(A1043,'Asset Detail'!A:A,3)),"—"))</f>
        <v/>
      </c>
      <c r="G1043" s="32" t="str" cm="1">
        <f t="array" ref="G1043">IF(A1043="","",IFERROR(INDEX('Asset Detail'!E:E,_xlfn.XMATCH(A1043,'Asset Detail'!A:A,3)),"—"))</f>
        <v/>
      </c>
      <c r="H1043" s="34"/>
      <c r="I1043" s="39"/>
    </row>
    <row r="1044" spans="1:9" x14ac:dyDescent="0.25">
      <c r="A1044" s="23" t="str">
        <f t="shared" si="18"/>
        <v/>
      </c>
      <c r="B1044" s="38"/>
      <c r="C1044" s="34"/>
      <c r="D1044" s="180" t="s">
        <v>4</v>
      </c>
      <c r="E1044" s="32" t="str">
        <f>IF(A1044="","",IF(COUNTIF('Asset Detail'!A:A,A1044)&gt;0,"✓ Found","✗ Not Found"))</f>
        <v/>
      </c>
      <c r="F1044" s="31" t="str" cm="1">
        <f t="array" ref="F1044">IF(A1044="","",IFERROR(INDEX('Asset Detail'!C:C,_xlfn.XMATCH(A1044,'Asset Detail'!A:A,3)),"—"))</f>
        <v/>
      </c>
      <c r="G1044" s="32" t="str" cm="1">
        <f t="array" ref="G1044">IF(A1044="","",IFERROR(INDEX('Asset Detail'!E:E,_xlfn.XMATCH(A1044,'Asset Detail'!A:A,3)),"—"))</f>
        <v/>
      </c>
      <c r="H1044" s="34"/>
      <c r="I1044" s="39"/>
    </row>
    <row r="1045" spans="1:9" x14ac:dyDescent="0.25">
      <c r="A1045" s="23" t="str">
        <f t="shared" si="18"/>
        <v/>
      </c>
      <c r="B1045" s="38"/>
      <c r="C1045" s="34"/>
      <c r="D1045" s="180" t="s">
        <v>4</v>
      </c>
      <c r="E1045" s="32" t="str">
        <f>IF(A1045="","",IF(COUNTIF('Asset Detail'!A:A,A1045)&gt;0,"✓ Found","✗ Not Found"))</f>
        <v/>
      </c>
      <c r="F1045" s="31" t="str" cm="1">
        <f t="array" ref="F1045">IF(A1045="","",IFERROR(INDEX('Asset Detail'!C:C,_xlfn.XMATCH(A1045,'Asset Detail'!A:A,3)),"—"))</f>
        <v/>
      </c>
      <c r="G1045" s="32" t="str" cm="1">
        <f t="array" ref="G1045">IF(A1045="","",IFERROR(INDEX('Asset Detail'!E:E,_xlfn.XMATCH(A1045,'Asset Detail'!A:A,3)),"—"))</f>
        <v/>
      </c>
      <c r="H1045" s="34"/>
      <c r="I1045" s="39"/>
    </row>
    <row r="1046" spans="1:9" x14ac:dyDescent="0.25">
      <c r="A1046" s="23" t="str">
        <f t="shared" si="18"/>
        <v/>
      </c>
      <c r="B1046" s="38"/>
      <c r="C1046" s="34"/>
      <c r="D1046" s="180" t="s">
        <v>4</v>
      </c>
      <c r="E1046" s="32" t="str">
        <f>IF(A1046="","",IF(COUNTIF('Asset Detail'!A:A,A1046)&gt;0,"✓ Found","✗ Not Found"))</f>
        <v/>
      </c>
      <c r="F1046" s="31" t="str" cm="1">
        <f t="array" ref="F1046">IF(A1046="","",IFERROR(INDEX('Asset Detail'!C:C,_xlfn.XMATCH(A1046,'Asset Detail'!A:A,3)),"—"))</f>
        <v/>
      </c>
      <c r="G1046" s="32" t="str" cm="1">
        <f t="array" ref="G1046">IF(A1046="","",IFERROR(INDEX('Asset Detail'!E:E,_xlfn.XMATCH(A1046,'Asset Detail'!A:A,3)),"—"))</f>
        <v/>
      </c>
      <c r="H1046" s="34"/>
      <c r="I1046" s="39"/>
    </row>
    <row r="1047" spans="1:9" x14ac:dyDescent="0.25">
      <c r="A1047" s="23" t="str">
        <f t="shared" si="18"/>
        <v/>
      </c>
      <c r="B1047" s="38"/>
      <c r="C1047" s="34"/>
      <c r="D1047" s="180" t="s">
        <v>4</v>
      </c>
      <c r="E1047" s="32" t="str">
        <f>IF(A1047="","",IF(COUNTIF('Asset Detail'!A:A,A1047)&gt;0,"✓ Found","✗ Not Found"))</f>
        <v/>
      </c>
      <c r="F1047" s="31" t="str" cm="1">
        <f t="array" ref="F1047">IF(A1047="","",IFERROR(INDEX('Asset Detail'!C:C,_xlfn.XMATCH(A1047,'Asset Detail'!A:A,3)),"—"))</f>
        <v/>
      </c>
      <c r="G1047" s="32" t="str" cm="1">
        <f t="array" ref="G1047">IF(A1047="","",IFERROR(INDEX('Asset Detail'!E:E,_xlfn.XMATCH(A1047,'Asset Detail'!A:A,3)),"—"))</f>
        <v/>
      </c>
      <c r="H1047" s="34"/>
      <c r="I1047" s="39"/>
    </row>
    <row r="1048" spans="1:9" x14ac:dyDescent="0.25">
      <c r="A1048" s="23" t="str">
        <f t="shared" si="18"/>
        <v/>
      </c>
      <c r="B1048" s="38"/>
      <c r="C1048" s="34"/>
      <c r="D1048" s="180" t="s">
        <v>4</v>
      </c>
      <c r="E1048" s="32" t="str">
        <f>IF(A1048="","",IF(COUNTIF('Asset Detail'!A:A,A1048)&gt;0,"✓ Found","✗ Not Found"))</f>
        <v/>
      </c>
      <c r="F1048" s="31" t="str" cm="1">
        <f t="array" ref="F1048">IF(A1048="","",IFERROR(INDEX('Asset Detail'!C:C,_xlfn.XMATCH(A1048,'Asset Detail'!A:A,3)),"—"))</f>
        <v/>
      </c>
      <c r="G1048" s="32" t="str" cm="1">
        <f t="array" ref="G1048">IF(A1048="","",IFERROR(INDEX('Asset Detail'!E:E,_xlfn.XMATCH(A1048,'Asset Detail'!A:A,3)),"—"))</f>
        <v/>
      </c>
      <c r="H1048" s="34"/>
      <c r="I1048" s="39"/>
    </row>
    <row r="1049" spans="1:9" x14ac:dyDescent="0.25">
      <c r="A1049" s="23" t="str">
        <f t="shared" si="18"/>
        <v/>
      </c>
      <c r="B1049" s="38"/>
      <c r="C1049" s="34"/>
      <c r="D1049" s="180" t="s">
        <v>4</v>
      </c>
      <c r="E1049" s="32" t="str">
        <f>IF(A1049="","",IF(COUNTIF('Asset Detail'!A:A,A1049)&gt;0,"✓ Found","✗ Not Found"))</f>
        <v/>
      </c>
      <c r="F1049" s="31" t="str" cm="1">
        <f t="array" ref="F1049">IF(A1049="","",IFERROR(INDEX('Asset Detail'!C:C,_xlfn.XMATCH(A1049,'Asset Detail'!A:A,3)),"—"))</f>
        <v/>
      </c>
      <c r="G1049" s="32" t="str" cm="1">
        <f t="array" ref="G1049">IF(A1049="","",IFERROR(INDEX('Asset Detail'!E:E,_xlfn.XMATCH(A1049,'Asset Detail'!A:A,3)),"—"))</f>
        <v/>
      </c>
      <c r="H1049" s="34"/>
      <c r="I1049" s="39"/>
    </row>
    <row r="1050" spans="1:9" x14ac:dyDescent="0.25">
      <c r="A1050" s="23" t="str">
        <f t="shared" si="18"/>
        <v/>
      </c>
      <c r="B1050" s="38"/>
      <c r="C1050" s="34"/>
      <c r="D1050" s="180" t="s">
        <v>4</v>
      </c>
      <c r="E1050" s="32" t="str">
        <f>IF(A1050="","",IF(COUNTIF('Asset Detail'!A:A,A1050)&gt;0,"✓ Found","✗ Not Found"))</f>
        <v/>
      </c>
      <c r="F1050" s="31" t="str" cm="1">
        <f t="array" ref="F1050">IF(A1050="","",IFERROR(INDEX('Asset Detail'!C:C,_xlfn.XMATCH(A1050,'Asset Detail'!A:A,3)),"—"))</f>
        <v/>
      </c>
      <c r="G1050" s="32" t="str" cm="1">
        <f t="array" ref="G1050">IF(A1050="","",IFERROR(INDEX('Asset Detail'!E:E,_xlfn.XMATCH(A1050,'Asset Detail'!A:A,3)),"—"))</f>
        <v/>
      </c>
      <c r="H1050" s="34"/>
      <c r="I1050" s="39"/>
    </row>
    <row r="1051" spans="1:9" x14ac:dyDescent="0.25">
      <c r="A1051" s="23" t="str">
        <f t="shared" si="18"/>
        <v/>
      </c>
      <c r="B1051" s="38"/>
      <c r="C1051" s="34"/>
      <c r="D1051" s="180" t="s">
        <v>4</v>
      </c>
      <c r="E1051" s="32" t="str">
        <f>IF(A1051="","",IF(COUNTIF('Asset Detail'!A:A,A1051)&gt;0,"✓ Found","✗ Not Found"))</f>
        <v/>
      </c>
      <c r="F1051" s="31" t="str" cm="1">
        <f t="array" ref="F1051">IF(A1051="","",IFERROR(INDEX('Asset Detail'!C:C,_xlfn.XMATCH(A1051,'Asset Detail'!A:A,3)),"—"))</f>
        <v/>
      </c>
      <c r="G1051" s="32" t="str" cm="1">
        <f t="array" ref="G1051">IF(A1051="","",IFERROR(INDEX('Asset Detail'!E:E,_xlfn.XMATCH(A1051,'Asset Detail'!A:A,3)),"—"))</f>
        <v/>
      </c>
      <c r="H1051" s="34"/>
      <c r="I1051" s="39"/>
    </row>
    <row r="1052" spans="1:9" x14ac:dyDescent="0.25">
      <c r="A1052" s="23" t="str">
        <f t="shared" si="18"/>
        <v/>
      </c>
      <c r="B1052" s="38"/>
      <c r="C1052" s="34"/>
      <c r="D1052" s="180" t="s">
        <v>4</v>
      </c>
      <c r="E1052" s="32" t="str">
        <f>IF(A1052="","",IF(COUNTIF('Asset Detail'!A:A,A1052)&gt;0,"✓ Found","✗ Not Found"))</f>
        <v/>
      </c>
      <c r="F1052" s="31" t="str" cm="1">
        <f t="array" ref="F1052">IF(A1052="","",IFERROR(INDEX('Asset Detail'!C:C,_xlfn.XMATCH(A1052,'Asset Detail'!A:A,3)),"—"))</f>
        <v/>
      </c>
      <c r="G1052" s="32" t="str" cm="1">
        <f t="array" ref="G1052">IF(A1052="","",IFERROR(INDEX('Asset Detail'!E:E,_xlfn.XMATCH(A1052,'Asset Detail'!A:A,3)),"—"))</f>
        <v/>
      </c>
      <c r="H1052" s="34"/>
      <c r="I1052" s="39"/>
    </row>
    <row r="1053" spans="1:9" x14ac:dyDescent="0.25">
      <c r="A1053" s="23" t="str">
        <f t="shared" ref="A1053:A1064" si="19">SUBSTITUTE(I1053, "S", "")</f>
        <v/>
      </c>
      <c r="B1053" s="38"/>
      <c r="C1053" s="34"/>
      <c r="D1053" s="180" t="s">
        <v>4</v>
      </c>
      <c r="E1053" s="32" t="str">
        <f>IF(A1053="","",IF(COUNTIF('Asset Detail'!A:A,A1053)&gt;0,"✓ Found","✗ Not Found"))</f>
        <v/>
      </c>
      <c r="F1053" s="31" t="str" cm="1">
        <f t="array" ref="F1053">IF(A1053="","",IFERROR(INDEX('Asset Detail'!C:C,_xlfn.XMATCH(A1053,'Asset Detail'!A:A,3)),"—"))</f>
        <v/>
      </c>
      <c r="G1053" s="32" t="str" cm="1">
        <f t="array" ref="G1053">IF(A1053="","",IFERROR(INDEX('Asset Detail'!E:E,_xlfn.XMATCH(A1053,'Asset Detail'!A:A,3)),"—"))</f>
        <v/>
      </c>
      <c r="H1053" s="34"/>
      <c r="I1053" s="39"/>
    </row>
    <row r="1054" spans="1:9" x14ac:dyDescent="0.25">
      <c r="A1054" s="23" t="str">
        <f t="shared" si="19"/>
        <v/>
      </c>
      <c r="B1054" s="38"/>
      <c r="C1054" s="34"/>
      <c r="D1054" s="180" t="s">
        <v>4</v>
      </c>
      <c r="E1054" s="32" t="str">
        <f>IF(A1054="","",IF(COUNTIF('Asset Detail'!A:A,A1054)&gt;0,"✓ Found","✗ Not Found"))</f>
        <v/>
      </c>
      <c r="F1054" s="31" t="str" cm="1">
        <f t="array" ref="F1054">IF(A1054="","",IFERROR(INDEX('Asset Detail'!C:C,_xlfn.XMATCH(A1054,'Asset Detail'!A:A,3)),"—"))</f>
        <v/>
      </c>
      <c r="G1054" s="32" t="str" cm="1">
        <f t="array" ref="G1054">IF(A1054="","",IFERROR(INDEX('Asset Detail'!E:E,_xlfn.XMATCH(A1054,'Asset Detail'!A:A,3)),"—"))</f>
        <v/>
      </c>
      <c r="H1054" s="34"/>
      <c r="I1054" s="39"/>
    </row>
    <row r="1055" spans="1:9" x14ac:dyDescent="0.25">
      <c r="A1055" s="23" t="str">
        <f t="shared" si="19"/>
        <v/>
      </c>
      <c r="B1055" s="38"/>
      <c r="C1055" s="34"/>
      <c r="D1055" s="180" t="s">
        <v>4</v>
      </c>
      <c r="E1055" s="32" t="str">
        <f>IF(A1055="","",IF(COUNTIF('Asset Detail'!A:A,A1055)&gt;0,"✓ Found","✗ Not Found"))</f>
        <v/>
      </c>
      <c r="F1055" s="31" t="str" cm="1">
        <f t="array" ref="F1055">IF(A1055="","",IFERROR(INDEX('Asset Detail'!C:C,_xlfn.XMATCH(A1055,'Asset Detail'!A:A,3)),"—"))</f>
        <v/>
      </c>
      <c r="G1055" s="32" t="str" cm="1">
        <f t="array" ref="G1055">IF(A1055="","",IFERROR(INDEX('Asset Detail'!E:E,_xlfn.XMATCH(A1055,'Asset Detail'!A:A,3)),"—"))</f>
        <v/>
      </c>
      <c r="H1055" s="34"/>
      <c r="I1055" s="39"/>
    </row>
    <row r="1056" spans="1:9" x14ac:dyDescent="0.25">
      <c r="A1056" s="23" t="str">
        <f t="shared" si="19"/>
        <v/>
      </c>
      <c r="B1056" s="38"/>
      <c r="C1056" s="34"/>
      <c r="D1056" s="180" t="s">
        <v>4</v>
      </c>
      <c r="E1056" s="32" t="str">
        <f>IF(A1056="","",IF(COUNTIF('Asset Detail'!A:A,A1056)&gt;0,"✓ Found","✗ Not Found"))</f>
        <v/>
      </c>
      <c r="F1056" s="31" t="str" cm="1">
        <f t="array" ref="F1056">IF(A1056="","",IFERROR(INDEX('Asset Detail'!C:C,_xlfn.XMATCH(A1056,'Asset Detail'!A:A,3)),"—"))</f>
        <v/>
      </c>
      <c r="G1056" s="32" t="str" cm="1">
        <f t="array" ref="G1056">IF(A1056="","",IFERROR(INDEX('Asset Detail'!E:E,_xlfn.XMATCH(A1056,'Asset Detail'!A:A,3)),"—"))</f>
        <v/>
      </c>
      <c r="H1056" s="34"/>
      <c r="I1056" s="39"/>
    </row>
    <row r="1057" spans="1:9" x14ac:dyDescent="0.25">
      <c r="A1057" s="23" t="str">
        <f t="shared" si="19"/>
        <v/>
      </c>
      <c r="B1057" s="38"/>
      <c r="C1057" s="34"/>
      <c r="D1057" s="180" t="s">
        <v>4</v>
      </c>
      <c r="E1057" s="32" t="str">
        <f>IF(A1057="","",IF(COUNTIF('Asset Detail'!A:A,A1057)&gt;0,"✓ Found","✗ Not Found"))</f>
        <v/>
      </c>
      <c r="F1057" s="31" t="str" cm="1">
        <f t="array" ref="F1057">IF(A1057="","",IFERROR(INDEX('Asset Detail'!C:C,_xlfn.XMATCH(A1057,'Asset Detail'!A:A,3)),"—"))</f>
        <v/>
      </c>
      <c r="G1057" s="32" t="str" cm="1">
        <f t="array" ref="G1057">IF(A1057="","",IFERROR(INDEX('Asset Detail'!E:E,_xlfn.XMATCH(A1057,'Asset Detail'!A:A,3)),"—"))</f>
        <v/>
      </c>
      <c r="H1057" s="34"/>
      <c r="I1057" s="39"/>
    </row>
    <row r="1058" spans="1:9" x14ac:dyDescent="0.25">
      <c r="A1058" s="23" t="str">
        <f t="shared" si="19"/>
        <v/>
      </c>
      <c r="B1058" s="38"/>
      <c r="C1058" s="34"/>
      <c r="D1058" s="180" t="s">
        <v>4</v>
      </c>
      <c r="E1058" s="32" t="str">
        <f>IF(A1058="","",IF(COUNTIF('Asset Detail'!A:A,A1058)&gt;0,"✓ Found","✗ Not Found"))</f>
        <v/>
      </c>
      <c r="F1058" s="31" t="str" cm="1">
        <f t="array" ref="F1058">IF(A1058="","",IFERROR(INDEX('Asset Detail'!C:C,_xlfn.XMATCH(A1058,'Asset Detail'!A:A,3)),"—"))</f>
        <v/>
      </c>
      <c r="G1058" s="32" t="str" cm="1">
        <f t="array" ref="G1058">IF(A1058="","",IFERROR(INDEX('Asset Detail'!E:E,_xlfn.XMATCH(A1058,'Asset Detail'!A:A,3)),"—"))</f>
        <v/>
      </c>
      <c r="H1058" s="34"/>
      <c r="I1058" s="39"/>
    </row>
    <row r="1059" spans="1:9" x14ac:dyDescent="0.25">
      <c r="A1059" s="23" t="str">
        <f t="shared" si="19"/>
        <v/>
      </c>
      <c r="B1059" s="38"/>
      <c r="C1059" s="34"/>
      <c r="D1059" s="180" t="s">
        <v>4</v>
      </c>
      <c r="E1059" s="32" t="str">
        <f>IF(A1059="","",IF(COUNTIF('Asset Detail'!A:A,A1059)&gt;0,"✓ Found","✗ Not Found"))</f>
        <v/>
      </c>
      <c r="F1059" s="31" t="str" cm="1">
        <f t="array" ref="F1059">IF(A1059="","",IFERROR(INDEX('Asset Detail'!C:C,_xlfn.XMATCH(A1059,'Asset Detail'!A:A,3)),"—"))</f>
        <v/>
      </c>
      <c r="G1059" s="32" t="str" cm="1">
        <f t="array" ref="G1059">IF(A1059="","",IFERROR(INDEX('Asset Detail'!E:E,_xlfn.XMATCH(A1059,'Asset Detail'!A:A,3)),"—"))</f>
        <v/>
      </c>
      <c r="H1059" s="34"/>
      <c r="I1059" s="39"/>
    </row>
    <row r="1060" spans="1:9" x14ac:dyDescent="0.25">
      <c r="A1060" s="23" t="str">
        <f t="shared" si="19"/>
        <v/>
      </c>
      <c r="B1060" s="38"/>
      <c r="C1060" s="34"/>
      <c r="D1060" s="180" t="s">
        <v>4</v>
      </c>
      <c r="E1060" s="32" t="str">
        <f>IF(A1060="","",IF(COUNTIF('Asset Detail'!A:A,A1060)&gt;0,"✓ Found","✗ Not Found"))</f>
        <v/>
      </c>
      <c r="F1060" s="31" t="str" cm="1">
        <f t="array" ref="F1060">IF(A1060="","",IFERROR(INDEX('Asset Detail'!C:C,_xlfn.XMATCH(A1060,'Asset Detail'!A:A,3)),"—"))</f>
        <v/>
      </c>
      <c r="G1060" s="32" t="str" cm="1">
        <f t="array" ref="G1060">IF(A1060="","",IFERROR(INDEX('Asset Detail'!E:E,_xlfn.XMATCH(A1060,'Asset Detail'!A:A,3)),"—"))</f>
        <v/>
      </c>
      <c r="H1060" s="34"/>
      <c r="I1060" s="39"/>
    </row>
    <row r="1061" spans="1:9" x14ac:dyDescent="0.25">
      <c r="A1061" s="23" t="str">
        <f t="shared" si="19"/>
        <v/>
      </c>
      <c r="B1061" s="38"/>
      <c r="C1061" s="34"/>
      <c r="D1061" s="180" t="s">
        <v>4</v>
      </c>
      <c r="E1061" s="32" t="str">
        <f>IF(A1061="","",IF(COUNTIF('Asset Detail'!A:A,A1061)&gt;0,"✓ Found","✗ Not Found"))</f>
        <v/>
      </c>
      <c r="F1061" s="31" t="str" cm="1">
        <f t="array" ref="F1061">IF(A1061="","",IFERROR(INDEX('Asset Detail'!C:C,_xlfn.XMATCH(A1061,'Asset Detail'!A:A,3)),"—"))</f>
        <v/>
      </c>
      <c r="G1061" s="32" t="str" cm="1">
        <f t="array" ref="G1061">IF(A1061="","",IFERROR(INDEX('Asset Detail'!E:E,_xlfn.XMATCH(A1061,'Asset Detail'!A:A,3)),"—"))</f>
        <v/>
      </c>
      <c r="H1061" s="34"/>
      <c r="I1061" s="39"/>
    </row>
    <row r="1062" spans="1:9" x14ac:dyDescent="0.25">
      <c r="A1062" s="23" t="str">
        <f t="shared" si="19"/>
        <v/>
      </c>
      <c r="B1062" s="38"/>
      <c r="C1062" s="34"/>
      <c r="D1062" s="180" t="s">
        <v>4</v>
      </c>
      <c r="E1062" s="32" t="str">
        <f>IF(A1062="","",IF(COUNTIF('Asset Detail'!A:A,A1062)&gt;0,"✓ Found","✗ Not Found"))</f>
        <v/>
      </c>
      <c r="F1062" s="31" t="str" cm="1">
        <f t="array" ref="F1062">IF(A1062="","",IFERROR(INDEX('Asset Detail'!C:C,_xlfn.XMATCH(A1062,'Asset Detail'!A:A,3)),"—"))</f>
        <v/>
      </c>
      <c r="G1062" s="32" t="str" cm="1">
        <f t="array" ref="G1062">IF(A1062="","",IFERROR(INDEX('Asset Detail'!E:E,_xlfn.XMATCH(A1062,'Asset Detail'!A:A,3)),"—"))</f>
        <v/>
      </c>
      <c r="H1062" s="34"/>
      <c r="I1062" s="39"/>
    </row>
    <row r="1063" spans="1:9" x14ac:dyDescent="0.25">
      <c r="A1063" s="23" t="str">
        <f t="shared" si="19"/>
        <v/>
      </c>
      <c r="B1063" s="38"/>
      <c r="C1063" s="34"/>
      <c r="D1063" s="180" t="s">
        <v>4</v>
      </c>
      <c r="E1063" s="32" t="str">
        <f>IF(A1063="","",IF(COUNTIF('Asset Detail'!A:A,A1063)&gt;0,"✓ Found","✗ Not Found"))</f>
        <v/>
      </c>
      <c r="F1063" s="31" t="str" cm="1">
        <f t="array" ref="F1063">IF(A1063="","",IFERROR(INDEX('Asset Detail'!C:C,_xlfn.XMATCH(A1063,'Asset Detail'!A:A,3)),"—"))</f>
        <v/>
      </c>
      <c r="G1063" s="32" t="str" cm="1">
        <f t="array" ref="G1063">IF(A1063="","",IFERROR(INDEX('Asset Detail'!E:E,_xlfn.XMATCH(A1063,'Asset Detail'!A:A,3)),"—"))</f>
        <v/>
      </c>
      <c r="H1063" s="34"/>
      <c r="I1063" s="39"/>
    </row>
    <row r="1064" spans="1:9" x14ac:dyDescent="0.25">
      <c r="A1064" s="23" t="str">
        <f t="shared" si="19"/>
        <v/>
      </c>
      <c r="B1064" s="38"/>
      <c r="C1064" s="34"/>
      <c r="D1064" s="180" t="s">
        <v>4</v>
      </c>
      <c r="E1064" s="32" t="str">
        <f>IF(A1064="","",IF(COUNTIF('Asset Detail'!A:A,A1064)&gt;0,"✓ Found","✗ Not Found"))</f>
        <v/>
      </c>
      <c r="F1064" s="31" t="str" cm="1">
        <f t="array" ref="F1064">IF(A1064="","",IFERROR(INDEX('Asset Detail'!C:C,_xlfn.XMATCH(A1064,'Asset Detail'!A:A,3)),"—"))</f>
        <v/>
      </c>
      <c r="G1064" s="32" t="str" cm="1">
        <f t="array" ref="G1064">IF(A1064="","",IFERROR(INDEX('Asset Detail'!E:E,_xlfn.XMATCH(A1064,'Asset Detail'!A:A,3)),"—"))</f>
        <v/>
      </c>
      <c r="H1064" s="34"/>
      <c r="I1064" s="39"/>
    </row>
    <row r="1065" spans="1:9" x14ac:dyDescent="0.25">
      <c r="A1065" s="23" t="str">
        <f t="shared" ref="A1065:A1079" si="20">SUBSTITUTE(I1065, "S", "")</f>
        <v/>
      </c>
      <c r="B1065" s="38"/>
      <c r="C1065" s="34"/>
      <c r="D1065" s="180" t="s">
        <v>4</v>
      </c>
      <c r="E1065" s="32" t="str">
        <f>IF(A1065="","",IF(COUNTIF('Asset Detail'!A:A,A1065)&gt;0,"✓ Found","✗ Not Found"))</f>
        <v/>
      </c>
      <c r="F1065" s="31" t="str" cm="1">
        <f t="array" ref="F1065">IF(A1065="","",IFERROR(INDEX('Asset Detail'!C:C,_xlfn.XMATCH(A1065,'Asset Detail'!A:A,3)),"—"))</f>
        <v/>
      </c>
      <c r="G1065" s="32" t="str" cm="1">
        <f t="array" ref="G1065">IF(A1065="","",IFERROR(INDEX('Asset Detail'!E:E,_xlfn.XMATCH(A1065,'Asset Detail'!A:A,3)),"—"))</f>
        <v/>
      </c>
      <c r="H1065" s="34"/>
      <c r="I1065" s="39"/>
    </row>
    <row r="1066" spans="1:9" x14ac:dyDescent="0.25">
      <c r="A1066" s="23" t="str">
        <f t="shared" si="20"/>
        <v/>
      </c>
      <c r="B1066" s="38"/>
      <c r="C1066" s="34"/>
      <c r="D1066" s="180" t="s">
        <v>4</v>
      </c>
      <c r="E1066" s="32" t="str">
        <f>IF(A1066="","",IF(COUNTIF('Asset Detail'!A:A,A1066)&gt;0,"✓ Found","✗ Not Found"))</f>
        <v/>
      </c>
      <c r="F1066" s="31" t="str" cm="1">
        <f t="array" ref="F1066">IF(A1066="","",IFERROR(INDEX('Asset Detail'!C:C,_xlfn.XMATCH(A1066,'Asset Detail'!A:A,3)),"—"))</f>
        <v/>
      </c>
      <c r="G1066" s="32" t="str" cm="1">
        <f t="array" ref="G1066">IF(A1066="","",IFERROR(INDEX('Asset Detail'!E:E,_xlfn.XMATCH(A1066,'Asset Detail'!A:A,3)),"—"))</f>
        <v/>
      </c>
      <c r="H1066" s="34"/>
      <c r="I1066" s="39"/>
    </row>
    <row r="1067" spans="1:9" x14ac:dyDescent="0.25">
      <c r="A1067" s="23" t="str">
        <f t="shared" si="20"/>
        <v/>
      </c>
      <c r="B1067" s="38"/>
      <c r="C1067" s="34"/>
      <c r="D1067" s="180" t="s">
        <v>4</v>
      </c>
      <c r="E1067" s="32" t="str">
        <f>IF(A1067="","",IF(COUNTIF('Asset Detail'!A:A,A1067)&gt;0,"✓ Found","✗ Not Found"))</f>
        <v/>
      </c>
      <c r="F1067" s="31" t="str" cm="1">
        <f t="array" ref="F1067">IF(A1067="","",IFERROR(INDEX('Asset Detail'!C:C,_xlfn.XMATCH(A1067,'Asset Detail'!A:A,3)),"—"))</f>
        <v/>
      </c>
      <c r="G1067" s="32" t="str" cm="1">
        <f t="array" ref="G1067">IF(A1067="","",IFERROR(INDEX('Asset Detail'!E:E,_xlfn.XMATCH(A1067,'Asset Detail'!A:A,3)),"—"))</f>
        <v/>
      </c>
      <c r="H1067" s="34"/>
      <c r="I1067" s="39"/>
    </row>
    <row r="1068" spans="1:9" x14ac:dyDescent="0.25">
      <c r="A1068" s="23" t="str">
        <f t="shared" si="20"/>
        <v/>
      </c>
      <c r="B1068" s="38"/>
      <c r="C1068" s="34"/>
      <c r="D1068" s="180" t="s">
        <v>4</v>
      </c>
      <c r="E1068" s="32" t="str">
        <f>IF(A1068="","",IF(COUNTIF('Asset Detail'!A:A,A1068)&gt;0,"✓ Found","✗ Not Found"))</f>
        <v/>
      </c>
      <c r="F1068" s="31" t="str" cm="1">
        <f t="array" ref="F1068">IF(A1068="","",IFERROR(INDEX('Asset Detail'!C:C,_xlfn.XMATCH(A1068,'Asset Detail'!A:A,3)),"—"))</f>
        <v/>
      </c>
      <c r="G1068" s="32" t="str" cm="1">
        <f t="array" ref="G1068">IF(A1068="","",IFERROR(INDEX('Asset Detail'!E:E,_xlfn.XMATCH(A1068,'Asset Detail'!A:A,3)),"—"))</f>
        <v/>
      </c>
      <c r="H1068" s="34"/>
      <c r="I1068" s="39"/>
    </row>
    <row r="1069" spans="1:9" x14ac:dyDescent="0.25">
      <c r="A1069" s="23" t="str">
        <f t="shared" si="20"/>
        <v/>
      </c>
      <c r="B1069" s="38"/>
      <c r="C1069" s="34"/>
      <c r="D1069" s="180" t="s">
        <v>4</v>
      </c>
      <c r="E1069" s="32" t="str">
        <f>IF(A1069="","",IF(COUNTIF('Asset Detail'!A:A,A1069)&gt;0,"✓ Found","✗ Not Found"))</f>
        <v/>
      </c>
      <c r="F1069" s="31" t="str" cm="1">
        <f t="array" ref="F1069">IF(A1069="","",IFERROR(INDEX('Asset Detail'!C:C,_xlfn.XMATCH(A1069,'Asset Detail'!A:A,3)),"—"))</f>
        <v/>
      </c>
      <c r="G1069" s="32" t="str" cm="1">
        <f t="array" ref="G1069">IF(A1069="","",IFERROR(INDEX('Asset Detail'!E:E,_xlfn.XMATCH(A1069,'Asset Detail'!A:A,3)),"—"))</f>
        <v/>
      </c>
      <c r="H1069" s="34"/>
      <c r="I1069" s="39"/>
    </row>
    <row r="1070" spans="1:9" x14ac:dyDescent="0.25">
      <c r="A1070" s="23" t="str">
        <f t="shared" si="20"/>
        <v/>
      </c>
      <c r="B1070" s="38"/>
      <c r="C1070" s="34"/>
      <c r="D1070" s="180" t="s">
        <v>4</v>
      </c>
      <c r="E1070" s="32" t="str">
        <f>IF(A1070="","",IF(COUNTIF('Asset Detail'!A:A,A1070)&gt;0,"✓ Found","✗ Not Found"))</f>
        <v/>
      </c>
      <c r="F1070" s="31" t="str" cm="1">
        <f t="array" ref="F1070">IF(A1070="","",IFERROR(INDEX('Asset Detail'!C:C,_xlfn.XMATCH(A1070,'Asset Detail'!A:A,3)),"—"))</f>
        <v/>
      </c>
      <c r="G1070" s="32" t="str" cm="1">
        <f t="array" ref="G1070">IF(A1070="","",IFERROR(INDEX('Asset Detail'!E:E,_xlfn.XMATCH(A1070,'Asset Detail'!A:A,3)),"—"))</f>
        <v/>
      </c>
      <c r="H1070" s="34"/>
      <c r="I1070" s="39"/>
    </row>
    <row r="1071" spans="1:9" x14ac:dyDescent="0.25">
      <c r="A1071" s="23" t="str">
        <f t="shared" si="20"/>
        <v/>
      </c>
      <c r="B1071" s="38"/>
      <c r="C1071" s="34"/>
      <c r="D1071" s="180" t="s">
        <v>4</v>
      </c>
      <c r="E1071" s="32" t="str">
        <f>IF(A1071="","",IF(COUNTIF('Asset Detail'!A:A,A1071)&gt;0,"✓ Found","✗ Not Found"))</f>
        <v/>
      </c>
      <c r="F1071" s="31" t="str" cm="1">
        <f t="array" ref="F1071">IF(A1071="","",IFERROR(INDEX('Asset Detail'!C:C,_xlfn.XMATCH(A1071,'Asset Detail'!A:A,3)),"—"))</f>
        <v/>
      </c>
      <c r="G1071" s="32" t="str" cm="1">
        <f t="array" ref="G1071">IF(A1071="","",IFERROR(INDEX('Asset Detail'!E:E,_xlfn.XMATCH(A1071,'Asset Detail'!A:A,3)),"—"))</f>
        <v/>
      </c>
      <c r="H1071" s="34"/>
      <c r="I1071" s="39"/>
    </row>
    <row r="1072" spans="1:9" x14ac:dyDescent="0.25">
      <c r="A1072" s="23" t="str">
        <f t="shared" si="20"/>
        <v/>
      </c>
      <c r="B1072" s="38"/>
      <c r="C1072" s="34"/>
      <c r="D1072" s="180" t="s">
        <v>4</v>
      </c>
      <c r="E1072" s="32" t="str">
        <f>IF(A1072="","",IF(COUNTIF('Asset Detail'!A:A,A1072)&gt;0,"✓ Found","✗ Not Found"))</f>
        <v/>
      </c>
      <c r="F1072" s="31" t="str" cm="1">
        <f t="array" ref="F1072">IF(A1072="","",IFERROR(INDEX('Asset Detail'!C:C,_xlfn.XMATCH(A1072,'Asset Detail'!A:A,3)),"—"))</f>
        <v/>
      </c>
      <c r="G1072" s="32" t="str" cm="1">
        <f t="array" ref="G1072">IF(A1072="","",IFERROR(INDEX('Asset Detail'!E:E,_xlfn.XMATCH(A1072,'Asset Detail'!A:A,3)),"—"))</f>
        <v/>
      </c>
      <c r="H1072" s="34"/>
      <c r="I1072" s="39"/>
    </row>
    <row r="1073" spans="1:9" x14ac:dyDescent="0.25">
      <c r="A1073" s="23" t="str">
        <f t="shared" si="20"/>
        <v/>
      </c>
      <c r="B1073" s="38"/>
      <c r="C1073" s="34"/>
      <c r="D1073" s="180" t="s">
        <v>4</v>
      </c>
      <c r="E1073" s="32" t="str">
        <f>IF(A1073="","",IF(COUNTIF('Asset Detail'!A:A,A1073)&gt;0,"✓ Found","✗ Not Found"))</f>
        <v/>
      </c>
      <c r="F1073" s="31" t="str" cm="1">
        <f t="array" ref="F1073">IF(A1073="","",IFERROR(INDEX('Asset Detail'!C:C,_xlfn.XMATCH(A1073,'Asset Detail'!A:A,3)),"—"))</f>
        <v/>
      </c>
      <c r="G1073" s="32" t="str" cm="1">
        <f t="array" ref="G1073">IF(A1073="","",IFERROR(INDEX('Asset Detail'!E:E,_xlfn.XMATCH(A1073,'Asset Detail'!A:A,3)),"—"))</f>
        <v/>
      </c>
      <c r="H1073" s="34"/>
      <c r="I1073" s="39"/>
    </row>
    <row r="1074" spans="1:9" x14ac:dyDescent="0.25">
      <c r="A1074" s="23" t="str">
        <f t="shared" si="20"/>
        <v/>
      </c>
      <c r="B1074" s="38"/>
      <c r="C1074" s="34"/>
      <c r="D1074" s="180" t="s">
        <v>4</v>
      </c>
      <c r="E1074" s="32" t="str">
        <f>IF(A1074="","",IF(COUNTIF('Asset Detail'!A:A,A1074)&gt;0,"✓ Found","✗ Not Found"))</f>
        <v/>
      </c>
      <c r="F1074" s="31" t="str" cm="1">
        <f t="array" ref="F1074">IF(A1074="","",IFERROR(INDEX('Asset Detail'!C:C,_xlfn.XMATCH(A1074,'Asset Detail'!A:A,3)),"—"))</f>
        <v/>
      </c>
      <c r="G1074" s="32" t="str" cm="1">
        <f t="array" ref="G1074">IF(A1074="","",IFERROR(INDEX('Asset Detail'!E:E,_xlfn.XMATCH(A1074,'Asset Detail'!A:A,3)),"—"))</f>
        <v/>
      </c>
      <c r="H1074" s="34"/>
      <c r="I1074" s="39"/>
    </row>
    <row r="1075" spans="1:9" x14ac:dyDescent="0.25">
      <c r="A1075" s="23" t="str">
        <f t="shared" si="20"/>
        <v/>
      </c>
      <c r="B1075" s="38"/>
      <c r="C1075" s="34"/>
      <c r="D1075" s="180" t="s">
        <v>4</v>
      </c>
      <c r="E1075" s="32" t="str">
        <f>IF(A1075="","",IF(COUNTIF('Asset Detail'!A:A,A1075)&gt;0,"✓ Found","✗ Not Found"))</f>
        <v/>
      </c>
      <c r="F1075" s="31" t="str" cm="1">
        <f t="array" ref="F1075">IF(A1075="","",IFERROR(INDEX('Asset Detail'!C:C,_xlfn.XMATCH(A1075,'Asset Detail'!A:A,3)),"—"))</f>
        <v/>
      </c>
      <c r="G1075" s="32" t="str" cm="1">
        <f t="array" ref="G1075">IF(A1075="","",IFERROR(INDEX('Asset Detail'!E:E,_xlfn.XMATCH(A1075,'Asset Detail'!A:A,3)),"—"))</f>
        <v/>
      </c>
      <c r="H1075" s="34"/>
      <c r="I1075" s="39"/>
    </row>
    <row r="1076" spans="1:9" x14ac:dyDescent="0.25">
      <c r="A1076" s="23" t="str">
        <f t="shared" si="20"/>
        <v/>
      </c>
      <c r="B1076" s="38"/>
      <c r="C1076" s="34"/>
      <c r="D1076" s="180" t="s">
        <v>4</v>
      </c>
      <c r="E1076" s="32" t="str">
        <f>IF(A1076="","",IF(COUNTIF('Asset Detail'!A:A,A1076)&gt;0,"✓ Found","✗ Not Found"))</f>
        <v/>
      </c>
      <c r="F1076" s="31" t="str" cm="1">
        <f t="array" ref="F1076">IF(A1076="","",IFERROR(INDEX('Asset Detail'!C:C,_xlfn.XMATCH(A1076,'Asset Detail'!A:A,3)),"—"))</f>
        <v/>
      </c>
      <c r="G1076" s="32" t="str" cm="1">
        <f t="array" ref="G1076">IF(A1076="","",IFERROR(INDEX('Asset Detail'!E:E,_xlfn.XMATCH(A1076,'Asset Detail'!A:A,3)),"—"))</f>
        <v/>
      </c>
      <c r="H1076" s="34"/>
      <c r="I1076" s="39"/>
    </row>
    <row r="1077" spans="1:9" x14ac:dyDescent="0.25">
      <c r="A1077" s="23" t="str">
        <f t="shared" si="20"/>
        <v/>
      </c>
      <c r="B1077" s="38"/>
      <c r="C1077" s="34"/>
      <c r="D1077" s="180" t="s">
        <v>4</v>
      </c>
      <c r="E1077" s="32" t="str">
        <f>IF(A1077="","",IF(COUNTIF('Asset Detail'!A:A,A1077)&gt;0,"✓ Found","✗ Not Found"))</f>
        <v/>
      </c>
      <c r="F1077" s="31" t="str" cm="1">
        <f t="array" ref="F1077">IF(A1077="","",IFERROR(INDEX('Asset Detail'!C:C,_xlfn.XMATCH(A1077,'Asset Detail'!A:A,3)),"—"))</f>
        <v/>
      </c>
      <c r="G1077" s="32" t="str" cm="1">
        <f t="array" ref="G1077">IF(A1077="","",IFERROR(INDEX('Asset Detail'!E:E,_xlfn.XMATCH(A1077,'Asset Detail'!A:A,3)),"—"))</f>
        <v/>
      </c>
      <c r="H1077" s="34"/>
      <c r="I1077" s="39"/>
    </row>
    <row r="1078" spans="1:9" x14ac:dyDescent="0.25">
      <c r="A1078" s="23" t="str">
        <f t="shared" si="20"/>
        <v/>
      </c>
      <c r="B1078" s="38"/>
      <c r="C1078" s="34"/>
      <c r="D1078" s="180" t="s">
        <v>4</v>
      </c>
      <c r="E1078" s="32" t="str">
        <f>IF(A1078="","",IF(COUNTIF('Asset Detail'!A:A,A1078)&gt;0,"✓ Found","✗ Not Found"))</f>
        <v/>
      </c>
      <c r="F1078" s="31" t="str" cm="1">
        <f t="array" ref="F1078">IF(A1078="","",IFERROR(INDEX('Asset Detail'!C:C,_xlfn.XMATCH(A1078,'Asset Detail'!A:A,3)),"—"))</f>
        <v/>
      </c>
      <c r="G1078" s="32" t="str" cm="1">
        <f t="array" ref="G1078">IF(A1078="","",IFERROR(INDEX('Asset Detail'!E:E,_xlfn.XMATCH(A1078,'Asset Detail'!A:A,3)),"—"))</f>
        <v/>
      </c>
      <c r="H1078" s="34"/>
      <c r="I1078" s="39"/>
    </row>
    <row r="1079" spans="1:9" x14ac:dyDescent="0.25">
      <c r="A1079" s="23" t="str">
        <f t="shared" si="20"/>
        <v/>
      </c>
      <c r="B1079" s="38"/>
      <c r="C1079" s="34"/>
      <c r="D1079" s="180" t="s">
        <v>4</v>
      </c>
      <c r="E1079" s="32" t="str">
        <f>IF(A1079="","",IF(COUNTIF('Asset Detail'!A:A,A1079)&gt;0,"✓ Found","✗ Not Found"))</f>
        <v/>
      </c>
      <c r="F1079" s="31" t="str" cm="1">
        <f t="array" ref="F1079">IF(A1079="","",IFERROR(INDEX('Asset Detail'!C:C,_xlfn.XMATCH(A1079,'Asset Detail'!A:A,3)),"—"))</f>
        <v/>
      </c>
      <c r="G1079" s="32" t="str" cm="1">
        <f t="array" ref="G1079">IF(A1079="","",IFERROR(INDEX('Asset Detail'!E:E,_xlfn.XMATCH(A1079,'Asset Detail'!A:A,3)),"—"))</f>
        <v/>
      </c>
      <c r="H1079" s="34"/>
      <c r="I1079" s="39"/>
    </row>
    <row r="1080" spans="1:9" x14ac:dyDescent="0.25">
      <c r="A1080" s="23" t="str">
        <f t="shared" ref="A1080:A1089" si="21">SUBSTITUTE(I1080, "S", "")</f>
        <v/>
      </c>
      <c r="B1080" s="38"/>
      <c r="C1080" s="34"/>
      <c r="D1080" s="180" t="s">
        <v>4</v>
      </c>
      <c r="E1080" s="32" t="str">
        <f>IF(A1080="","",IF(COUNTIF('Asset Detail'!A:A,A1080)&gt;0,"✓ Found","✗ Not Found"))</f>
        <v/>
      </c>
      <c r="F1080" s="31" t="str" cm="1">
        <f t="array" ref="F1080">IF(A1080="","",IFERROR(INDEX('Asset Detail'!C:C,_xlfn.XMATCH(A1080,'Asset Detail'!A:A,3)),"—"))</f>
        <v/>
      </c>
      <c r="G1080" s="32" t="str" cm="1">
        <f t="array" ref="G1080">IF(A1080="","",IFERROR(INDEX('Asset Detail'!E:E,_xlfn.XMATCH(A1080,'Asset Detail'!A:A,3)),"—"))</f>
        <v/>
      </c>
      <c r="H1080" s="34"/>
      <c r="I1080" s="39"/>
    </row>
    <row r="1081" spans="1:9" x14ac:dyDescent="0.25">
      <c r="A1081" s="23" t="str">
        <f t="shared" si="21"/>
        <v/>
      </c>
      <c r="B1081" s="38"/>
      <c r="C1081" s="34"/>
      <c r="D1081" s="180" t="s">
        <v>4</v>
      </c>
      <c r="E1081" s="32" t="str">
        <f>IF(A1081="","",IF(COUNTIF('Asset Detail'!A:A,A1081)&gt;0,"✓ Found","✗ Not Found"))</f>
        <v/>
      </c>
      <c r="F1081" s="31" t="str" cm="1">
        <f t="array" ref="F1081">IF(A1081="","",IFERROR(INDEX('Asset Detail'!C:C,_xlfn.XMATCH(A1081,'Asset Detail'!A:A,3)),"—"))</f>
        <v/>
      </c>
      <c r="G1081" s="32" t="str" cm="1">
        <f t="array" ref="G1081">IF(A1081="","",IFERROR(INDEX('Asset Detail'!E:E,_xlfn.XMATCH(A1081,'Asset Detail'!A:A,3)),"—"))</f>
        <v/>
      </c>
      <c r="H1081" s="34"/>
      <c r="I1081" s="39"/>
    </row>
    <row r="1082" spans="1:9" x14ac:dyDescent="0.25">
      <c r="A1082" s="23" t="str">
        <f t="shared" si="21"/>
        <v/>
      </c>
      <c r="B1082" s="38"/>
      <c r="C1082" s="34"/>
      <c r="D1082" s="180" t="s">
        <v>4</v>
      </c>
      <c r="E1082" s="32" t="str">
        <f>IF(A1082="","",IF(COUNTIF('Asset Detail'!A:A,A1082)&gt;0,"✓ Found","✗ Not Found"))</f>
        <v/>
      </c>
      <c r="F1082" s="31" t="str" cm="1">
        <f t="array" ref="F1082">IF(A1082="","",IFERROR(INDEX('Asset Detail'!C:C,_xlfn.XMATCH(A1082,'Asset Detail'!A:A,3)),"—"))</f>
        <v/>
      </c>
      <c r="G1082" s="32" t="str" cm="1">
        <f t="array" ref="G1082">IF(A1082="","",IFERROR(INDEX('Asset Detail'!E:E,_xlfn.XMATCH(A1082,'Asset Detail'!A:A,3)),"—"))</f>
        <v/>
      </c>
      <c r="H1082" s="34"/>
      <c r="I1082" s="39"/>
    </row>
    <row r="1083" spans="1:9" x14ac:dyDescent="0.25">
      <c r="A1083" s="23" t="str">
        <f t="shared" si="21"/>
        <v/>
      </c>
      <c r="B1083" s="38"/>
      <c r="C1083" s="34"/>
      <c r="D1083" s="180" t="s">
        <v>4</v>
      </c>
      <c r="E1083" s="32" t="str">
        <f>IF(A1083="","",IF(COUNTIF('Asset Detail'!A:A,A1083)&gt;0,"✓ Found","✗ Not Found"))</f>
        <v/>
      </c>
      <c r="F1083" s="31" t="str" cm="1">
        <f t="array" ref="F1083">IF(A1083="","",IFERROR(INDEX('Asset Detail'!C:C,_xlfn.XMATCH(A1083,'Asset Detail'!A:A,3)),"—"))</f>
        <v/>
      </c>
      <c r="G1083" s="32" t="str" cm="1">
        <f t="array" ref="G1083">IF(A1083="","",IFERROR(INDEX('Asset Detail'!E:E,_xlfn.XMATCH(A1083,'Asset Detail'!A:A,3)),"—"))</f>
        <v/>
      </c>
      <c r="H1083" s="34"/>
      <c r="I1083" s="39"/>
    </row>
    <row r="1084" spans="1:9" x14ac:dyDescent="0.25">
      <c r="A1084" s="23" t="str">
        <f t="shared" si="21"/>
        <v/>
      </c>
      <c r="B1084" s="38"/>
      <c r="C1084" s="34"/>
      <c r="D1084" s="180" t="s">
        <v>4</v>
      </c>
      <c r="E1084" s="32" t="str">
        <f>IF(A1084="","",IF(COUNTIF('Asset Detail'!A:A,A1084)&gt;0,"✓ Found","✗ Not Found"))</f>
        <v/>
      </c>
      <c r="F1084" s="31" t="str" cm="1">
        <f t="array" ref="F1084">IF(A1084="","",IFERROR(INDEX('Asset Detail'!C:C,_xlfn.XMATCH(A1084,'Asset Detail'!A:A,3)),"—"))</f>
        <v/>
      </c>
      <c r="G1084" s="32" t="str" cm="1">
        <f t="array" ref="G1084">IF(A1084="","",IFERROR(INDEX('Asset Detail'!E:E,_xlfn.XMATCH(A1084,'Asset Detail'!A:A,3)),"—"))</f>
        <v/>
      </c>
      <c r="H1084" s="34"/>
      <c r="I1084" s="39"/>
    </row>
    <row r="1085" spans="1:9" x14ac:dyDescent="0.25">
      <c r="A1085" s="23" t="str">
        <f t="shared" si="21"/>
        <v/>
      </c>
      <c r="B1085" s="38"/>
      <c r="C1085" s="34"/>
      <c r="D1085" s="180" t="s">
        <v>4</v>
      </c>
      <c r="E1085" s="32" t="str">
        <f>IF(A1085="","",IF(COUNTIF('Asset Detail'!A:A,A1085)&gt;0,"✓ Found","✗ Not Found"))</f>
        <v/>
      </c>
      <c r="F1085" s="31" t="str" cm="1">
        <f t="array" ref="F1085">IF(A1085="","",IFERROR(INDEX('Asset Detail'!C:C,_xlfn.XMATCH(A1085,'Asset Detail'!A:A,3)),"—"))</f>
        <v/>
      </c>
      <c r="G1085" s="32" t="str" cm="1">
        <f t="array" ref="G1085">IF(A1085="","",IFERROR(INDEX('Asset Detail'!E:E,_xlfn.XMATCH(A1085,'Asset Detail'!A:A,3)),"—"))</f>
        <v/>
      </c>
      <c r="H1085" s="34"/>
      <c r="I1085" s="39"/>
    </row>
    <row r="1086" spans="1:9" x14ac:dyDescent="0.25">
      <c r="A1086" s="23" t="str">
        <f t="shared" si="21"/>
        <v/>
      </c>
      <c r="B1086" s="38"/>
      <c r="C1086" s="34"/>
      <c r="D1086" s="180" t="s">
        <v>4</v>
      </c>
      <c r="E1086" s="32" t="str">
        <f>IF(A1086="","",IF(COUNTIF('Asset Detail'!A:A,A1086)&gt;0,"✓ Found","✗ Not Found"))</f>
        <v/>
      </c>
      <c r="F1086" s="31" t="str" cm="1">
        <f t="array" ref="F1086">IF(A1086="","",IFERROR(INDEX('Asset Detail'!C:C,_xlfn.XMATCH(A1086,'Asset Detail'!A:A,3)),"—"))</f>
        <v/>
      </c>
      <c r="G1086" s="32" t="str" cm="1">
        <f t="array" ref="G1086">IF(A1086="","",IFERROR(INDEX('Asset Detail'!E:E,_xlfn.XMATCH(A1086,'Asset Detail'!A:A,3)),"—"))</f>
        <v/>
      </c>
      <c r="H1086" s="34"/>
      <c r="I1086" s="39"/>
    </row>
    <row r="1087" spans="1:9" x14ac:dyDescent="0.25">
      <c r="A1087" s="23" t="str">
        <f t="shared" si="21"/>
        <v/>
      </c>
      <c r="B1087" s="38"/>
      <c r="C1087" s="34"/>
      <c r="D1087" s="180" t="s">
        <v>4</v>
      </c>
      <c r="E1087" s="32" t="str">
        <f>IF(A1087="","",IF(COUNTIF('Asset Detail'!A:A,A1087)&gt;0,"✓ Found","✗ Not Found"))</f>
        <v/>
      </c>
      <c r="F1087" s="31" t="str" cm="1">
        <f t="array" ref="F1087">IF(A1087="","",IFERROR(INDEX('Asset Detail'!C:C,_xlfn.XMATCH(A1087,'Asset Detail'!A:A,3)),"—"))</f>
        <v/>
      </c>
      <c r="G1087" s="32" t="str" cm="1">
        <f t="array" ref="G1087">IF(A1087="","",IFERROR(INDEX('Asset Detail'!E:E,_xlfn.XMATCH(A1087,'Asset Detail'!A:A,3)),"—"))</f>
        <v/>
      </c>
      <c r="H1087" s="34"/>
      <c r="I1087" s="39"/>
    </row>
    <row r="1088" spans="1:9" x14ac:dyDescent="0.25">
      <c r="A1088" s="23" t="str">
        <f t="shared" si="21"/>
        <v/>
      </c>
      <c r="B1088" s="38"/>
      <c r="C1088" s="34"/>
      <c r="D1088" s="180" t="s">
        <v>4</v>
      </c>
      <c r="E1088" s="32" t="str">
        <f>IF(A1088="","",IF(COUNTIF('Asset Detail'!A:A,A1088)&gt;0,"✓ Found","✗ Not Found"))</f>
        <v/>
      </c>
      <c r="F1088" s="31" t="str" cm="1">
        <f t="array" ref="F1088">IF(A1088="","",IFERROR(INDEX('Asset Detail'!C:C,_xlfn.XMATCH(A1088,'Asset Detail'!A:A,3)),"—"))</f>
        <v/>
      </c>
      <c r="G1088" s="32" t="str" cm="1">
        <f t="array" ref="G1088">IF(A1088="","",IFERROR(INDEX('Asset Detail'!E:E,_xlfn.XMATCH(A1088,'Asset Detail'!A:A,3)),"—"))</f>
        <v/>
      </c>
      <c r="H1088" s="34"/>
      <c r="I1088" s="39"/>
    </row>
    <row r="1089" spans="1:9" x14ac:dyDescent="0.25">
      <c r="A1089" s="23" t="str">
        <f t="shared" si="21"/>
        <v/>
      </c>
      <c r="B1089" s="38"/>
      <c r="C1089" s="34"/>
      <c r="D1089" s="180" t="s">
        <v>4</v>
      </c>
      <c r="E1089" s="32" t="str">
        <f>IF(A1089="","",IF(COUNTIF('Asset Detail'!A:A,A1089)&gt;0,"✓ Found","✗ Not Found"))</f>
        <v/>
      </c>
      <c r="F1089" s="31" t="str" cm="1">
        <f t="array" ref="F1089">IF(A1089="","",IFERROR(INDEX('Asset Detail'!C:C,_xlfn.XMATCH(A1089,'Asset Detail'!A:A,3)),"—"))</f>
        <v/>
      </c>
      <c r="G1089" s="32" t="str" cm="1">
        <f t="array" ref="G1089">IF(A1089="","",IFERROR(INDEX('Asset Detail'!E:E,_xlfn.XMATCH(A1089,'Asset Detail'!A:A,3)),"—"))</f>
        <v/>
      </c>
      <c r="H1089" s="34"/>
      <c r="I1089" s="39"/>
    </row>
    <row r="1090" spans="1:9" x14ac:dyDescent="0.25">
      <c r="A1090" s="23" t="str">
        <f t="shared" ref="A1090:A1106" si="22">SUBSTITUTE(I1090, "S", "")</f>
        <v/>
      </c>
      <c r="B1090" s="38"/>
      <c r="C1090" s="34"/>
      <c r="D1090" s="180" t="s">
        <v>4</v>
      </c>
      <c r="E1090" s="32" t="str">
        <f>IF(A1090="","",IF(COUNTIF('Asset Detail'!A:A,A1090)&gt;0,"✓ Found","✗ Not Found"))</f>
        <v/>
      </c>
      <c r="F1090" s="31" t="str" cm="1">
        <f t="array" ref="F1090">IF(A1090="","",IFERROR(INDEX('Asset Detail'!C:C,_xlfn.XMATCH(A1090,'Asset Detail'!A:A,3)),"—"))</f>
        <v/>
      </c>
      <c r="G1090" s="32" t="str" cm="1">
        <f t="array" ref="G1090">IF(A1090="","",IFERROR(INDEX('Asset Detail'!E:E,_xlfn.XMATCH(A1090,'Asset Detail'!A:A,3)),"—"))</f>
        <v/>
      </c>
      <c r="H1090" s="34"/>
      <c r="I1090" s="39"/>
    </row>
    <row r="1091" spans="1:9" x14ac:dyDescent="0.25">
      <c r="A1091" s="23" t="str">
        <f t="shared" si="22"/>
        <v/>
      </c>
      <c r="B1091" s="38"/>
      <c r="C1091" s="34"/>
      <c r="D1091" s="180" t="s">
        <v>4</v>
      </c>
      <c r="E1091" s="32" t="str">
        <f>IF(A1091="","",IF(COUNTIF('Asset Detail'!A:A,A1091)&gt;0,"✓ Found","✗ Not Found"))</f>
        <v/>
      </c>
      <c r="F1091" s="31" t="str" cm="1">
        <f t="array" ref="F1091">IF(A1091="","",IFERROR(INDEX('Asset Detail'!C:C,_xlfn.XMATCH(A1091,'Asset Detail'!A:A,3)),"—"))</f>
        <v/>
      </c>
      <c r="G1091" s="32" t="str" cm="1">
        <f t="array" ref="G1091">IF(A1091="","",IFERROR(INDEX('Asset Detail'!E:E,_xlfn.XMATCH(A1091,'Asset Detail'!A:A,3)),"—"))</f>
        <v/>
      </c>
      <c r="H1091" s="34"/>
      <c r="I1091" s="39"/>
    </row>
    <row r="1092" spans="1:9" x14ac:dyDescent="0.25">
      <c r="A1092" s="23" t="str">
        <f t="shared" si="22"/>
        <v/>
      </c>
      <c r="B1092" s="38"/>
      <c r="C1092" s="34"/>
      <c r="D1092" s="180" t="s">
        <v>4</v>
      </c>
      <c r="E1092" s="32" t="str">
        <f>IF(A1092="","",IF(COUNTIF('Asset Detail'!A:A,A1092)&gt;0,"✓ Found","✗ Not Found"))</f>
        <v/>
      </c>
      <c r="F1092" s="31" t="str" cm="1">
        <f t="array" ref="F1092">IF(A1092="","",IFERROR(INDEX('Asset Detail'!C:C,_xlfn.XMATCH(A1092,'Asset Detail'!A:A,3)),"—"))</f>
        <v/>
      </c>
      <c r="G1092" s="32" t="str" cm="1">
        <f t="array" ref="G1092">IF(A1092="","",IFERROR(INDEX('Asset Detail'!E:E,_xlfn.XMATCH(A1092,'Asset Detail'!A:A,3)),"—"))</f>
        <v/>
      </c>
      <c r="H1092" s="34"/>
      <c r="I1092" s="39"/>
    </row>
    <row r="1093" spans="1:9" x14ac:dyDescent="0.25">
      <c r="A1093" s="23" t="str">
        <f t="shared" si="22"/>
        <v/>
      </c>
      <c r="B1093" s="38"/>
      <c r="C1093" s="34"/>
      <c r="D1093" s="180" t="s">
        <v>4</v>
      </c>
      <c r="E1093" s="32" t="str">
        <f>IF(A1093="","",IF(COUNTIF('Asset Detail'!A:A,A1093)&gt;0,"✓ Found","✗ Not Found"))</f>
        <v/>
      </c>
      <c r="F1093" s="31" t="str" cm="1">
        <f t="array" ref="F1093">IF(A1093="","",IFERROR(INDEX('Asset Detail'!C:C,_xlfn.XMATCH(A1093,'Asset Detail'!A:A,3)),"—"))</f>
        <v/>
      </c>
      <c r="G1093" s="32" t="str" cm="1">
        <f t="array" ref="G1093">IF(A1093="","",IFERROR(INDEX('Asset Detail'!E:E,_xlfn.XMATCH(A1093,'Asset Detail'!A:A,3)),"—"))</f>
        <v/>
      </c>
      <c r="H1093" s="34"/>
      <c r="I1093" s="39"/>
    </row>
    <row r="1094" spans="1:9" x14ac:dyDescent="0.25">
      <c r="A1094" s="23" t="str">
        <f t="shared" si="22"/>
        <v/>
      </c>
      <c r="B1094" s="38"/>
      <c r="C1094" s="34"/>
      <c r="D1094" s="180" t="s">
        <v>4</v>
      </c>
      <c r="E1094" s="32" t="str">
        <f>IF(A1094="","",IF(COUNTIF('Asset Detail'!A:A,A1094)&gt;0,"✓ Found","✗ Not Found"))</f>
        <v/>
      </c>
      <c r="F1094" s="31" t="str" cm="1">
        <f t="array" ref="F1094">IF(A1094="","",IFERROR(INDEX('Asset Detail'!C:C,_xlfn.XMATCH(A1094,'Asset Detail'!A:A,3)),"—"))</f>
        <v/>
      </c>
      <c r="G1094" s="32" t="str" cm="1">
        <f t="array" ref="G1094">IF(A1094="","",IFERROR(INDEX('Asset Detail'!E:E,_xlfn.XMATCH(A1094,'Asset Detail'!A:A,3)),"—"))</f>
        <v/>
      </c>
      <c r="H1094" s="34"/>
      <c r="I1094" s="39"/>
    </row>
    <row r="1095" spans="1:9" x14ac:dyDescent="0.25">
      <c r="A1095" s="23" t="str">
        <f t="shared" si="22"/>
        <v/>
      </c>
      <c r="B1095" s="38"/>
      <c r="C1095" s="34"/>
      <c r="D1095" s="180" t="s">
        <v>4</v>
      </c>
      <c r="E1095" s="32" t="str">
        <f>IF(A1095="","",IF(COUNTIF('Asset Detail'!A:A,A1095)&gt;0,"✓ Found","✗ Not Found"))</f>
        <v/>
      </c>
      <c r="F1095" s="31" t="str" cm="1">
        <f t="array" ref="F1095">IF(A1095="","",IFERROR(INDEX('Asset Detail'!C:C,_xlfn.XMATCH(A1095,'Asset Detail'!A:A,3)),"—"))</f>
        <v/>
      </c>
      <c r="G1095" s="32" t="str" cm="1">
        <f t="array" ref="G1095">IF(A1095="","",IFERROR(INDEX('Asset Detail'!E:E,_xlfn.XMATCH(A1095,'Asset Detail'!A:A,3)),"—"))</f>
        <v/>
      </c>
      <c r="H1095" s="34"/>
      <c r="I1095" s="39"/>
    </row>
    <row r="1096" spans="1:9" x14ac:dyDescent="0.25">
      <c r="A1096" s="23" t="str">
        <f t="shared" si="22"/>
        <v/>
      </c>
      <c r="B1096" s="38"/>
      <c r="C1096" s="34"/>
      <c r="D1096" s="180" t="s">
        <v>4</v>
      </c>
      <c r="E1096" s="32" t="str">
        <f>IF(A1096="","",IF(COUNTIF('Asset Detail'!A:A,A1096)&gt;0,"✓ Found","✗ Not Found"))</f>
        <v/>
      </c>
      <c r="F1096" s="31" t="str" cm="1">
        <f t="array" ref="F1096">IF(A1096="","",IFERROR(INDEX('Asset Detail'!C:C,_xlfn.XMATCH(A1096,'Asset Detail'!A:A,3)),"—"))</f>
        <v/>
      </c>
      <c r="G1096" s="32" t="str" cm="1">
        <f t="array" ref="G1096">IF(A1096="","",IFERROR(INDEX('Asset Detail'!E:E,_xlfn.XMATCH(A1096,'Asset Detail'!A:A,3)),"—"))</f>
        <v/>
      </c>
      <c r="H1096" s="34"/>
      <c r="I1096" s="39"/>
    </row>
    <row r="1097" spans="1:9" x14ac:dyDescent="0.25">
      <c r="A1097" s="23" t="str">
        <f t="shared" si="22"/>
        <v/>
      </c>
      <c r="B1097" s="38"/>
      <c r="C1097" s="34"/>
      <c r="D1097" s="180" t="s">
        <v>4</v>
      </c>
      <c r="E1097" s="32" t="str">
        <f>IF(A1097="","",IF(COUNTIF('Asset Detail'!A:A,A1097)&gt;0,"✓ Found","✗ Not Found"))</f>
        <v/>
      </c>
      <c r="F1097" s="31" t="str" cm="1">
        <f t="array" ref="F1097">IF(A1097="","",IFERROR(INDEX('Asset Detail'!C:C,_xlfn.XMATCH(A1097,'Asset Detail'!A:A,3)),"—"))</f>
        <v/>
      </c>
      <c r="G1097" s="32" t="str" cm="1">
        <f t="array" ref="G1097">IF(A1097="","",IFERROR(INDEX('Asset Detail'!E:E,_xlfn.XMATCH(A1097,'Asset Detail'!A:A,3)),"—"))</f>
        <v/>
      </c>
      <c r="H1097" s="34"/>
      <c r="I1097" s="39"/>
    </row>
    <row r="1098" spans="1:9" x14ac:dyDescent="0.25">
      <c r="A1098" s="23" t="str">
        <f t="shared" si="22"/>
        <v/>
      </c>
      <c r="B1098" s="38"/>
      <c r="C1098" s="34"/>
      <c r="D1098" s="180" t="s">
        <v>4</v>
      </c>
      <c r="E1098" s="32" t="str">
        <f>IF(A1098="","",IF(COUNTIF('Asset Detail'!A:A,A1098)&gt;0,"✓ Found","✗ Not Found"))</f>
        <v/>
      </c>
      <c r="F1098" s="31" t="str" cm="1">
        <f t="array" ref="F1098">IF(A1098="","",IFERROR(INDEX('Asset Detail'!C:C,_xlfn.XMATCH(A1098,'Asset Detail'!A:A,3)),"—"))</f>
        <v/>
      </c>
      <c r="G1098" s="32" t="str" cm="1">
        <f t="array" ref="G1098">IF(A1098="","",IFERROR(INDEX('Asset Detail'!E:E,_xlfn.XMATCH(A1098,'Asset Detail'!A:A,3)),"—"))</f>
        <v/>
      </c>
      <c r="H1098" s="34"/>
      <c r="I1098" s="39"/>
    </row>
    <row r="1099" spans="1:9" x14ac:dyDescent="0.25">
      <c r="A1099" s="23" t="str">
        <f t="shared" si="22"/>
        <v/>
      </c>
      <c r="B1099" s="38"/>
      <c r="C1099" s="34"/>
      <c r="D1099" s="180" t="s">
        <v>4</v>
      </c>
      <c r="E1099" s="32" t="str">
        <f>IF(A1099="","",IF(COUNTIF('Asset Detail'!A:A,A1099)&gt;0,"✓ Found","✗ Not Found"))</f>
        <v/>
      </c>
      <c r="F1099" s="31" t="str" cm="1">
        <f t="array" ref="F1099">IF(A1099="","",IFERROR(INDEX('Asset Detail'!C:C,_xlfn.XMATCH(A1099,'Asset Detail'!A:A,3)),"—"))</f>
        <v/>
      </c>
      <c r="G1099" s="32" t="str" cm="1">
        <f t="array" ref="G1099">IF(A1099="","",IFERROR(INDEX('Asset Detail'!E:E,_xlfn.XMATCH(A1099,'Asset Detail'!A:A,3)),"—"))</f>
        <v/>
      </c>
      <c r="H1099" s="34"/>
      <c r="I1099" s="39"/>
    </row>
    <row r="1100" spans="1:9" x14ac:dyDescent="0.25">
      <c r="A1100" s="23" t="str">
        <f t="shared" si="22"/>
        <v/>
      </c>
      <c r="B1100" s="38"/>
      <c r="C1100" s="34"/>
      <c r="D1100" s="180" t="s">
        <v>4</v>
      </c>
      <c r="E1100" s="32" t="str">
        <f>IF(A1100="","",IF(COUNTIF('Asset Detail'!A:A,A1100)&gt;0,"✓ Found","✗ Not Found"))</f>
        <v/>
      </c>
      <c r="F1100" s="31" t="str" cm="1">
        <f t="array" ref="F1100">IF(A1100="","",IFERROR(INDEX('Asset Detail'!C:C,_xlfn.XMATCH(A1100,'Asset Detail'!A:A,3)),"—"))</f>
        <v/>
      </c>
      <c r="G1100" s="32" t="str" cm="1">
        <f t="array" ref="G1100">IF(A1100="","",IFERROR(INDEX('Asset Detail'!E:E,_xlfn.XMATCH(A1100,'Asset Detail'!A:A,3)),"—"))</f>
        <v/>
      </c>
      <c r="H1100" s="34"/>
      <c r="I1100" s="39"/>
    </row>
    <row r="1101" spans="1:9" x14ac:dyDescent="0.25">
      <c r="A1101" s="23" t="str">
        <f t="shared" si="22"/>
        <v/>
      </c>
      <c r="B1101" s="38"/>
      <c r="C1101" s="34"/>
      <c r="D1101" s="180" t="s">
        <v>4</v>
      </c>
      <c r="E1101" s="32" t="str">
        <f>IF(A1101="","",IF(COUNTIF('Asset Detail'!A:A,A1101)&gt;0,"✓ Found","✗ Not Found"))</f>
        <v/>
      </c>
      <c r="F1101" s="31" t="str" cm="1">
        <f t="array" ref="F1101">IF(A1101="","",IFERROR(INDEX('Asset Detail'!C:C,_xlfn.XMATCH(A1101,'Asset Detail'!A:A,3)),"—"))</f>
        <v/>
      </c>
      <c r="G1101" s="32" t="str" cm="1">
        <f t="array" ref="G1101">IF(A1101="","",IFERROR(INDEX('Asset Detail'!E:E,_xlfn.XMATCH(A1101,'Asset Detail'!A:A,3)),"—"))</f>
        <v/>
      </c>
      <c r="H1101" s="34"/>
      <c r="I1101" s="39"/>
    </row>
    <row r="1102" spans="1:9" x14ac:dyDescent="0.25">
      <c r="A1102" s="23" t="str">
        <f t="shared" si="22"/>
        <v/>
      </c>
      <c r="B1102" s="38"/>
      <c r="C1102" s="34"/>
      <c r="D1102" s="180" t="s">
        <v>4</v>
      </c>
      <c r="E1102" s="32" t="str">
        <f>IF(A1102="","",IF(COUNTIF('Asset Detail'!A:A,A1102)&gt;0,"✓ Found","✗ Not Found"))</f>
        <v/>
      </c>
      <c r="F1102" s="31" t="str" cm="1">
        <f t="array" ref="F1102">IF(A1102="","",IFERROR(INDEX('Asset Detail'!C:C,_xlfn.XMATCH(A1102,'Asset Detail'!A:A,3)),"—"))</f>
        <v/>
      </c>
      <c r="G1102" s="32" t="str" cm="1">
        <f t="array" ref="G1102">IF(A1102="","",IFERROR(INDEX('Asset Detail'!E:E,_xlfn.XMATCH(A1102,'Asset Detail'!A:A,3)),"—"))</f>
        <v/>
      </c>
      <c r="H1102" s="34"/>
      <c r="I1102" s="39"/>
    </row>
    <row r="1103" spans="1:9" x14ac:dyDescent="0.25">
      <c r="A1103" s="23" t="str">
        <f t="shared" si="22"/>
        <v/>
      </c>
      <c r="B1103" s="38"/>
      <c r="C1103" s="34"/>
      <c r="D1103" s="180" t="s">
        <v>4</v>
      </c>
      <c r="E1103" s="32" t="str">
        <f>IF(A1103="","",IF(COUNTIF('Asset Detail'!A:A,A1103)&gt;0,"✓ Found","✗ Not Found"))</f>
        <v/>
      </c>
      <c r="F1103" s="31" t="str" cm="1">
        <f t="array" ref="F1103">IF(A1103="","",IFERROR(INDEX('Asset Detail'!C:C,_xlfn.XMATCH(A1103,'Asset Detail'!A:A,3)),"—"))</f>
        <v/>
      </c>
      <c r="G1103" s="32" t="str" cm="1">
        <f t="array" ref="G1103">IF(A1103="","",IFERROR(INDEX('Asset Detail'!E:E,_xlfn.XMATCH(A1103,'Asset Detail'!A:A,3)),"—"))</f>
        <v/>
      </c>
      <c r="H1103" s="34"/>
      <c r="I1103" s="39"/>
    </row>
    <row r="1104" spans="1:9" x14ac:dyDescent="0.25">
      <c r="A1104" s="23" t="str">
        <f t="shared" si="22"/>
        <v/>
      </c>
      <c r="B1104" s="38"/>
      <c r="C1104" s="34"/>
      <c r="D1104" s="180" t="s">
        <v>4</v>
      </c>
      <c r="E1104" s="32" t="str">
        <f>IF(A1104="","",IF(COUNTIF('Asset Detail'!A:A,A1104)&gt;0,"✓ Found","✗ Not Found"))</f>
        <v/>
      </c>
      <c r="F1104" s="31" t="str" cm="1">
        <f t="array" ref="F1104">IF(A1104="","",IFERROR(INDEX('Asset Detail'!C:C,_xlfn.XMATCH(A1104,'Asset Detail'!A:A,3)),"—"))</f>
        <v/>
      </c>
      <c r="G1104" s="32" t="str" cm="1">
        <f t="array" ref="G1104">IF(A1104="","",IFERROR(INDEX('Asset Detail'!E:E,_xlfn.XMATCH(A1104,'Asset Detail'!A:A,3)),"—"))</f>
        <v/>
      </c>
      <c r="H1104" s="34"/>
      <c r="I1104" s="39"/>
    </row>
    <row r="1105" spans="1:9" x14ac:dyDescent="0.25">
      <c r="A1105" s="23" t="str">
        <f t="shared" si="22"/>
        <v/>
      </c>
      <c r="B1105" s="38"/>
      <c r="C1105" s="34"/>
      <c r="D1105" s="180" t="s">
        <v>4</v>
      </c>
      <c r="E1105" s="32" t="str">
        <f>IF(A1105="","",IF(COUNTIF('Asset Detail'!A:A,A1105)&gt;0,"✓ Found","✗ Not Found"))</f>
        <v/>
      </c>
      <c r="F1105" s="31" t="str" cm="1">
        <f t="array" ref="F1105">IF(A1105="","",IFERROR(INDEX('Asset Detail'!C:C,_xlfn.XMATCH(A1105,'Asset Detail'!A:A,3)),"—"))</f>
        <v/>
      </c>
      <c r="G1105" s="32" t="str" cm="1">
        <f t="array" ref="G1105">IF(A1105="","",IFERROR(INDEX('Asset Detail'!E:E,_xlfn.XMATCH(A1105,'Asset Detail'!A:A,3)),"—"))</f>
        <v/>
      </c>
      <c r="H1105" s="34"/>
      <c r="I1105" s="39"/>
    </row>
    <row r="1106" spans="1:9" x14ac:dyDescent="0.25">
      <c r="A1106" s="23" t="str">
        <f t="shared" si="22"/>
        <v/>
      </c>
      <c r="B1106" s="38"/>
      <c r="C1106" s="34"/>
      <c r="D1106" s="180" t="s">
        <v>4</v>
      </c>
      <c r="E1106" s="32" t="str">
        <f>IF(A1106="","",IF(COUNTIF('Asset Detail'!A:A,A1106)&gt;0,"✓ Found","✗ Not Found"))</f>
        <v/>
      </c>
      <c r="F1106" s="31" t="str" cm="1">
        <f t="array" ref="F1106">IF(A1106="","",IFERROR(INDEX('Asset Detail'!C:C,_xlfn.XMATCH(A1106,'Asset Detail'!A:A,3)),"—"))</f>
        <v/>
      </c>
      <c r="G1106" s="32" t="str" cm="1">
        <f t="array" ref="G1106">IF(A1106="","",IFERROR(INDEX('Asset Detail'!E:E,_xlfn.XMATCH(A1106,'Asset Detail'!A:A,3)),"—"))</f>
        <v/>
      </c>
      <c r="H1106" s="34"/>
      <c r="I1106" s="39"/>
    </row>
    <row r="1107" spans="1:9" x14ac:dyDescent="0.25">
      <c r="A1107" s="23" t="str">
        <f>SUBSTITUTE(I1107, "S", "")</f>
        <v/>
      </c>
      <c r="B1107" s="38"/>
      <c r="C1107" s="34"/>
      <c r="D1107" s="180" t="s">
        <v>4</v>
      </c>
      <c r="E1107" s="32" t="str">
        <f>IF(A1107="","",IF(COUNTIF('Asset Detail'!A:A,A1107)&gt;0,"✓ Found","✗ Not Found"))</f>
        <v/>
      </c>
      <c r="F1107" s="31" t="str" cm="1">
        <f t="array" ref="F1107">IF(A1107="","",IFERROR(INDEX('Asset Detail'!C:C,_xlfn.XMATCH(A1107,'Asset Detail'!A:A,3)),"—"))</f>
        <v/>
      </c>
      <c r="G1107" s="32" t="str" cm="1">
        <f t="array" ref="G1107">IF(A1107="","",IFERROR(INDEX('Asset Detail'!E:E,_xlfn.XMATCH(A1107,'Asset Detail'!A:A,3)),"—"))</f>
        <v/>
      </c>
      <c r="H1107" s="34"/>
      <c r="I1107" s="39"/>
    </row>
    <row r="1108" spans="1:9" x14ac:dyDescent="0.25">
      <c r="A1108" s="23" t="str">
        <f t="shared" ref="A1108:A1112" si="23">SUBSTITUTE(I1108, "S", "")</f>
        <v/>
      </c>
      <c r="B1108" s="38"/>
      <c r="C1108" s="34"/>
      <c r="D1108" s="180" t="s">
        <v>4</v>
      </c>
      <c r="E1108" s="32" t="str">
        <f>IF(A1108="","",IF(COUNTIF('Asset Detail'!A:A,A1108)&gt;0,"✓ Found","✗ Not Found"))</f>
        <v/>
      </c>
      <c r="F1108" s="31" t="str" cm="1">
        <f t="array" ref="F1108">IF(A1108="","",IFERROR(INDEX('Asset Detail'!C:C,_xlfn.XMATCH(A1108,'Asset Detail'!A:A,3)),"—"))</f>
        <v/>
      </c>
      <c r="G1108" s="32" t="str" cm="1">
        <f t="array" ref="G1108">IF(A1108="","",IFERROR(INDEX('Asset Detail'!E:E,_xlfn.XMATCH(A1108,'Asset Detail'!A:A,3)),"—"))</f>
        <v/>
      </c>
      <c r="H1108" s="34"/>
      <c r="I1108" s="39"/>
    </row>
    <row r="1109" spans="1:9" x14ac:dyDescent="0.25">
      <c r="A1109" s="23" t="str">
        <f t="shared" si="23"/>
        <v/>
      </c>
      <c r="B1109" s="38"/>
      <c r="C1109" s="34"/>
      <c r="D1109" s="180" t="s">
        <v>4</v>
      </c>
      <c r="E1109" s="32" t="str">
        <f>IF(A1109="","",IF(COUNTIF('Asset Detail'!A:A,A1109)&gt;0,"✓ Found","✗ Not Found"))</f>
        <v/>
      </c>
      <c r="F1109" s="31" t="str" cm="1">
        <f t="array" ref="F1109">IF(A1109="","",IFERROR(INDEX('Asset Detail'!C:C,_xlfn.XMATCH(A1109,'Asset Detail'!A:A,3)),"—"))</f>
        <v/>
      </c>
      <c r="G1109" s="32" t="str" cm="1">
        <f t="array" ref="G1109">IF(A1109="","",IFERROR(INDEX('Asset Detail'!E:E,_xlfn.XMATCH(A1109,'Asset Detail'!A:A,3)),"—"))</f>
        <v/>
      </c>
      <c r="H1109" s="34"/>
      <c r="I1109" s="39"/>
    </row>
    <row r="1110" spans="1:9" x14ac:dyDescent="0.25">
      <c r="A1110" s="23" t="str">
        <f t="shared" si="23"/>
        <v/>
      </c>
      <c r="B1110" s="38"/>
      <c r="C1110" s="34"/>
      <c r="D1110" s="180" t="s">
        <v>4</v>
      </c>
      <c r="E1110" s="32" t="str">
        <f>IF(A1110="","",IF(COUNTIF('Asset Detail'!A:A,A1110)&gt;0,"✓ Found","✗ Not Found"))</f>
        <v/>
      </c>
      <c r="F1110" s="31" t="str" cm="1">
        <f t="array" ref="F1110">IF(A1110="","",IFERROR(INDEX('Asset Detail'!C:C,_xlfn.XMATCH(A1110,'Asset Detail'!A:A,3)),"—"))</f>
        <v/>
      </c>
      <c r="G1110" s="32" t="str" cm="1">
        <f t="array" ref="G1110">IF(A1110="","",IFERROR(INDEX('Asset Detail'!E:E,_xlfn.XMATCH(A1110,'Asset Detail'!A:A,3)),"—"))</f>
        <v/>
      </c>
      <c r="H1110" s="34"/>
      <c r="I1110" s="39"/>
    </row>
    <row r="1111" spans="1:9" x14ac:dyDescent="0.25">
      <c r="A1111" s="23" t="str">
        <f t="shared" si="23"/>
        <v/>
      </c>
      <c r="B1111" s="38"/>
      <c r="C1111" s="34"/>
      <c r="D1111" s="180" t="s">
        <v>4</v>
      </c>
      <c r="E1111" s="32" t="str">
        <f>IF(A1111="","",IF(COUNTIF('Asset Detail'!A:A,A1111)&gt;0,"✓ Found","✗ Not Found"))</f>
        <v/>
      </c>
      <c r="F1111" s="31" t="str" cm="1">
        <f t="array" ref="F1111">IF(A1111="","",IFERROR(INDEX('Asset Detail'!C:C,_xlfn.XMATCH(A1111,'Asset Detail'!A:A,3)),"—"))</f>
        <v/>
      </c>
      <c r="G1111" s="32" t="str" cm="1">
        <f t="array" ref="G1111">IF(A1111="","",IFERROR(INDEX('Asset Detail'!E:E,_xlfn.XMATCH(A1111,'Asset Detail'!A:A,3)),"—"))</f>
        <v/>
      </c>
      <c r="H1111" s="34"/>
      <c r="I1111" s="39"/>
    </row>
    <row r="1112" spans="1:9" x14ac:dyDescent="0.25">
      <c r="A1112" s="23" t="str">
        <f t="shared" si="23"/>
        <v/>
      </c>
      <c r="B1112" s="38"/>
      <c r="C1112" s="34"/>
      <c r="D1112" s="180" t="s">
        <v>4</v>
      </c>
      <c r="E1112" s="32" t="str">
        <f>IF(A1112="","",IF(COUNTIF('Asset Detail'!A:A,A1112)&gt;0,"✓ Found","✗ Not Found"))</f>
        <v/>
      </c>
      <c r="F1112" s="31" t="str" cm="1">
        <f t="array" ref="F1112">IF(A1112="","",IFERROR(INDEX('Asset Detail'!C:C,_xlfn.XMATCH(A1112,'Asset Detail'!A:A,3)),"—"))</f>
        <v/>
      </c>
      <c r="G1112" s="32" t="str" cm="1">
        <f t="array" ref="G1112">IF(A1112="","",IFERROR(INDEX('Asset Detail'!E:E,_xlfn.XMATCH(A1112,'Asset Detail'!A:A,3)),"—"))</f>
        <v/>
      </c>
      <c r="H1112" s="34"/>
      <c r="I1112" s="39"/>
    </row>
    <row r="1113" spans="1:9" x14ac:dyDescent="0.25"/>
    <row r="1114" spans="1:9" x14ac:dyDescent="0.25"/>
    <row r="1115" spans="1:9" x14ac:dyDescent="0.25"/>
    <row r="1116" spans="1:9" x14ac:dyDescent="0.25"/>
    <row r="1117" spans="1:9" x14ac:dyDescent="0.25"/>
    <row r="1118" spans="1:9" x14ac:dyDescent="0.25"/>
    <row r="1119" spans="1:9" x14ac:dyDescent="0.25"/>
    <row r="1120" spans="1:9" x14ac:dyDescent="0.25"/>
    <row r="1121" x14ac:dyDescent="0.25"/>
    <row r="1122" x14ac:dyDescent="0.25"/>
    <row r="1123" x14ac:dyDescent="0.25"/>
    <row r="1124" x14ac:dyDescent="0.25"/>
    <row r="1125" x14ac:dyDescent="0.25"/>
    <row r="1126" x14ac:dyDescent="0.25"/>
    <row r="1127" x14ac:dyDescent="0.25"/>
    <row r="1128" x14ac:dyDescent="0.25"/>
    <row r="1129" x14ac:dyDescent="0.25"/>
    <row r="1130" x14ac:dyDescent="0.25"/>
    <row r="1131" x14ac:dyDescent="0.25"/>
    <row r="1132" x14ac:dyDescent="0.25"/>
    <row r="1133" x14ac:dyDescent="0.25"/>
    <row r="1134" x14ac:dyDescent="0.25"/>
    <row r="1135" x14ac:dyDescent="0.25"/>
    <row r="1136" x14ac:dyDescent="0.25"/>
    <row r="1137" x14ac:dyDescent="0.25"/>
    <row r="1138" x14ac:dyDescent="0.25"/>
    <row r="1139" x14ac:dyDescent="0.25"/>
    <row r="1140" x14ac:dyDescent="0.25"/>
    <row r="1141" x14ac:dyDescent="0.25"/>
    <row r="1142" x14ac:dyDescent="0.25"/>
    <row r="1143" x14ac:dyDescent="0.25"/>
    <row r="1144" x14ac:dyDescent="0.25"/>
    <row r="1145" x14ac:dyDescent="0.25"/>
    <row r="1146" x14ac:dyDescent="0.25"/>
    <row r="1147" x14ac:dyDescent="0.25"/>
    <row r="1148" x14ac:dyDescent="0.25"/>
    <row r="1149" x14ac:dyDescent="0.25"/>
    <row r="1150" x14ac:dyDescent="0.25"/>
    <row r="1151" x14ac:dyDescent="0.25"/>
    <row r="1152" x14ac:dyDescent="0.25"/>
    <row r="1153" x14ac:dyDescent="0.25"/>
    <row r="1154" x14ac:dyDescent="0.25"/>
  </sheetData>
  <mergeCells count="2">
    <mergeCell ref="A1:H1"/>
    <mergeCell ref="A3:H3"/>
  </mergeCells>
  <phoneticPr fontId="28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392B"/>
    <pageSetUpPr fitToPage="1"/>
  </sheetPr>
  <dimension ref="A1:F42"/>
  <sheetViews>
    <sheetView zoomScaleNormal="100" workbookViewId="0">
      <selection activeCell="A36" sqref="A36:E36"/>
    </sheetView>
  </sheetViews>
  <sheetFormatPr defaultColWidth="8.7109375" defaultRowHeight="15" customHeight="1" x14ac:dyDescent="0.25"/>
  <cols>
    <col min="1" max="1" width="16.42578125" customWidth="1"/>
    <col min="2" max="2" width="22" customWidth="1"/>
    <col min="3" max="3" width="77.7109375" bestFit="1" customWidth="1"/>
    <col min="4" max="4" width="14.28515625" bestFit="1" customWidth="1"/>
    <col min="5" max="5" width="27.140625" bestFit="1" customWidth="1"/>
    <col min="6" max="6" width="15.7109375" customWidth="1"/>
    <col min="7" max="7" width="8.7109375" customWidth="1"/>
    <col min="9" max="14" width="33.140625" customWidth="1"/>
  </cols>
  <sheetData>
    <row r="1" spans="1:6" ht="24" customHeight="1" x14ac:dyDescent="0.4">
      <c r="A1" s="195" t="s">
        <v>1985</v>
      </c>
      <c r="B1" s="195"/>
      <c r="C1" s="195"/>
      <c r="D1" s="195"/>
      <c r="E1" s="195"/>
      <c r="F1" s="195"/>
    </row>
    <row r="2" spans="1:6" x14ac:dyDescent="0.25">
      <c r="C2" s="35"/>
    </row>
    <row r="3" spans="1:6" ht="15" customHeight="1" x14ac:dyDescent="0.25">
      <c r="A3" s="196" t="s">
        <v>1986</v>
      </c>
      <c r="B3" s="196"/>
      <c r="C3" s="196"/>
      <c r="D3" s="196"/>
      <c r="E3" s="196"/>
      <c r="F3" s="196"/>
    </row>
    <row r="4" spans="1:6" x14ac:dyDescent="0.25">
      <c r="C4" s="35"/>
    </row>
    <row r="5" spans="1:6" ht="15" customHeight="1" x14ac:dyDescent="0.25">
      <c r="A5" s="79" t="s">
        <v>63</v>
      </c>
      <c r="B5" s="79" t="s">
        <v>65</v>
      </c>
      <c r="C5" s="79" t="s">
        <v>1987</v>
      </c>
      <c r="D5" s="79" t="s">
        <v>69</v>
      </c>
      <c r="E5" s="79" t="s">
        <v>70</v>
      </c>
      <c r="F5" s="79" t="s">
        <v>1988</v>
      </c>
    </row>
    <row r="6" spans="1:6" x14ac:dyDescent="0.25">
      <c r="A6" s="43"/>
      <c r="B6" s="66"/>
      <c r="E6" s="61"/>
    </row>
    <row r="7" spans="1:6" ht="15" customHeight="1" x14ac:dyDescent="0.25">
      <c r="A7" s="43"/>
      <c r="B7" s="66"/>
      <c r="E7" s="61"/>
    </row>
    <row r="8" spans="1:6" x14ac:dyDescent="0.25">
      <c r="A8" s="43"/>
      <c r="B8" s="66"/>
      <c r="E8" s="61"/>
    </row>
    <row r="9" spans="1:6" x14ac:dyDescent="0.25">
      <c r="A9" s="43"/>
      <c r="B9" s="66"/>
      <c r="E9" s="61"/>
    </row>
    <row r="10" spans="1:6" x14ac:dyDescent="0.25">
      <c r="A10" s="43"/>
      <c r="B10" s="66"/>
      <c r="E10" s="61"/>
    </row>
    <row r="11" spans="1:6" x14ac:dyDescent="0.25">
      <c r="A11" s="43"/>
      <c r="B11" s="66"/>
      <c r="E11" s="61"/>
    </row>
    <row r="12" spans="1:6" x14ac:dyDescent="0.25">
      <c r="A12" s="43"/>
      <c r="B12" s="66"/>
      <c r="E12" s="61"/>
    </row>
    <row r="13" spans="1:6" x14ac:dyDescent="0.25">
      <c r="A13" s="43"/>
      <c r="B13" s="66"/>
      <c r="E13" s="61"/>
    </row>
    <row r="14" spans="1:6" x14ac:dyDescent="0.25">
      <c r="A14" s="43"/>
      <c r="B14" s="66"/>
      <c r="E14" s="61"/>
    </row>
    <row r="15" spans="1:6" x14ac:dyDescent="0.25">
      <c r="A15" s="43"/>
      <c r="B15" s="66"/>
      <c r="E15" s="61"/>
    </row>
    <row r="16" spans="1:6" x14ac:dyDescent="0.25">
      <c r="A16" s="43"/>
      <c r="B16" s="66"/>
      <c r="C16" s="35"/>
      <c r="E16" s="61"/>
    </row>
    <row r="17" spans="1:5" x14ac:dyDescent="0.25">
      <c r="A17" s="43"/>
      <c r="B17" s="66"/>
      <c r="C17" s="35"/>
      <c r="E17" s="61"/>
    </row>
    <row r="18" spans="1:5" x14ac:dyDescent="0.25">
      <c r="A18" s="128"/>
      <c r="B18" s="66"/>
      <c r="C18" s="35"/>
      <c r="E18" s="61"/>
    </row>
    <row r="19" spans="1:5" ht="15" customHeight="1" x14ac:dyDescent="0.25">
      <c r="A19" s="43"/>
      <c r="B19" s="66"/>
      <c r="E19" s="61"/>
    </row>
    <row r="20" spans="1:5" ht="15" customHeight="1" x14ac:dyDescent="0.25">
      <c r="A20" s="43"/>
      <c r="B20" s="66"/>
      <c r="E20" s="61"/>
    </row>
    <row r="21" spans="1:5" x14ac:dyDescent="0.25">
      <c r="A21" s="43"/>
      <c r="B21" s="66"/>
      <c r="E21" s="61"/>
    </row>
    <row r="22" spans="1:5" x14ac:dyDescent="0.25">
      <c r="A22" s="43"/>
      <c r="B22" s="66"/>
      <c r="E22" s="61"/>
    </row>
    <row r="23" spans="1:5" x14ac:dyDescent="0.25">
      <c r="A23" s="43"/>
      <c r="B23" s="66"/>
      <c r="E23" s="61"/>
    </row>
    <row r="24" spans="1:5" x14ac:dyDescent="0.25">
      <c r="A24" s="43"/>
      <c r="B24" s="66"/>
      <c r="E24" s="61"/>
    </row>
    <row r="25" spans="1:5" ht="15" customHeight="1" x14ac:dyDescent="0.25">
      <c r="A25" s="43"/>
      <c r="B25" s="66"/>
      <c r="E25" s="61"/>
    </row>
    <row r="26" spans="1:5" ht="15" customHeight="1" x14ac:dyDescent="0.25">
      <c r="A26" s="43"/>
      <c r="B26" s="66"/>
      <c r="E26" s="61"/>
    </row>
    <row r="27" spans="1:5" ht="15" customHeight="1" x14ac:dyDescent="0.25">
      <c r="A27" s="43"/>
      <c r="B27" s="66"/>
      <c r="E27" s="61"/>
    </row>
    <row r="28" spans="1:5" ht="15" customHeight="1" x14ac:dyDescent="0.25">
      <c r="A28" s="43"/>
      <c r="B28" s="66"/>
      <c r="E28" s="61"/>
    </row>
    <row r="29" spans="1:5" ht="15" customHeight="1" x14ac:dyDescent="0.25">
      <c r="A29" s="43"/>
      <c r="B29" s="66"/>
      <c r="E29" s="61"/>
    </row>
    <row r="30" spans="1:5" ht="15" customHeight="1" x14ac:dyDescent="0.25">
      <c r="A30" s="43"/>
      <c r="B30" s="66"/>
      <c r="E30" s="61"/>
    </row>
    <row r="31" spans="1:5" ht="15" customHeight="1" x14ac:dyDescent="0.25">
      <c r="A31" s="43"/>
      <c r="B31" s="66"/>
      <c r="E31" s="61"/>
    </row>
    <row r="32" spans="1:5" ht="15" customHeight="1" x14ac:dyDescent="0.25">
      <c r="A32" s="43"/>
      <c r="B32" s="66"/>
      <c r="E32" s="61"/>
    </row>
    <row r="33" spans="1:5" ht="15" customHeight="1" x14ac:dyDescent="0.25">
      <c r="A33" s="43"/>
      <c r="B33" s="66"/>
      <c r="E33" s="61"/>
    </row>
    <row r="34" spans="1:5" ht="15" customHeight="1" x14ac:dyDescent="0.25">
      <c r="A34" s="43"/>
      <c r="B34" s="66"/>
      <c r="E34" s="61"/>
    </row>
    <row r="35" spans="1:5" ht="15" customHeight="1" x14ac:dyDescent="0.25">
      <c r="A35" s="43"/>
      <c r="B35" s="66"/>
      <c r="E35" s="61"/>
    </row>
    <row r="36" spans="1:5" ht="15" customHeight="1" x14ac:dyDescent="0.25">
      <c r="A36" s="43"/>
      <c r="B36" s="66"/>
      <c r="E36" s="61"/>
    </row>
    <row r="37" spans="1:5" ht="15" customHeight="1" x14ac:dyDescent="0.25">
      <c r="A37" s="43"/>
      <c r="B37" s="66"/>
      <c r="E37" s="61"/>
    </row>
    <row r="38" spans="1:5" ht="15" customHeight="1" x14ac:dyDescent="0.25">
      <c r="A38" s="43"/>
      <c r="B38" s="66"/>
      <c r="E38" s="61"/>
    </row>
    <row r="39" spans="1:5" ht="15" customHeight="1" x14ac:dyDescent="0.25">
      <c r="A39" s="43"/>
      <c r="B39" s="66"/>
      <c r="E39" s="61"/>
    </row>
    <row r="40" spans="1:5" ht="15" customHeight="1" x14ac:dyDescent="0.25">
      <c r="A40" s="43"/>
      <c r="B40" s="66"/>
      <c r="E40" s="61"/>
    </row>
    <row r="41" spans="1:5" ht="15" customHeight="1" x14ac:dyDescent="0.25">
      <c r="A41" s="43"/>
      <c r="B41" s="66"/>
      <c r="E41" s="61"/>
    </row>
    <row r="42" spans="1:5" ht="15" customHeight="1" x14ac:dyDescent="0.25">
      <c r="A42" s="43"/>
      <c r="B42" s="66"/>
      <c r="E42" s="61"/>
    </row>
  </sheetData>
  <mergeCells count="2">
    <mergeCell ref="A1:F1"/>
    <mergeCell ref="A3:F3"/>
  </mergeCells>
  <pageMargins left="0.75" right="0.75" top="1" bottom="1" header="0.511811023622047" footer="0.511811023622047"/>
  <pageSetup paperSize="9" orientation="landscape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20144-FF30-4C1E-A4BB-93C01D06295B}">
  <sheetPr>
    <tabColor rgb="FFE67E22"/>
  </sheetPr>
  <dimension ref="A1:I25"/>
  <sheetViews>
    <sheetView zoomScaleNormal="100" workbookViewId="0">
      <selection activeCell="C30" sqref="C30"/>
    </sheetView>
  </sheetViews>
  <sheetFormatPr defaultColWidth="8.7109375" defaultRowHeight="15" customHeight="1" x14ac:dyDescent="0.25"/>
  <cols>
    <col min="1" max="1" width="17.7109375" bestFit="1" customWidth="1"/>
    <col min="2" max="2" width="22" customWidth="1"/>
    <col min="3" max="3" width="61.42578125" bestFit="1" customWidth="1"/>
    <col min="4" max="4" width="18.140625" bestFit="1" customWidth="1"/>
    <col min="5" max="5" width="30.140625" bestFit="1" customWidth="1"/>
    <col min="6" max="6" width="27.7109375" bestFit="1" customWidth="1"/>
    <col min="7" max="8" width="30.140625" bestFit="1" customWidth="1"/>
    <col min="9" max="9" width="22.140625" bestFit="1" customWidth="1"/>
    <col min="10" max="15" width="8.7109375" customWidth="1"/>
  </cols>
  <sheetData>
    <row r="1" spans="1:9" ht="24" customHeight="1" x14ac:dyDescent="0.4">
      <c r="A1" s="197" t="s">
        <v>1989</v>
      </c>
      <c r="B1" s="197"/>
      <c r="C1" s="197"/>
      <c r="D1" s="197"/>
      <c r="E1" s="197"/>
      <c r="F1" s="197"/>
      <c r="G1" s="197"/>
    </row>
    <row r="2" spans="1:9" x14ac:dyDescent="0.25"/>
    <row r="3" spans="1:9" ht="15" customHeight="1" x14ac:dyDescent="0.3">
      <c r="A3" s="198" t="s">
        <v>11</v>
      </c>
      <c r="B3" s="198"/>
      <c r="C3" s="198"/>
      <c r="D3" s="198"/>
      <c r="E3" s="198"/>
      <c r="F3" s="198"/>
      <c r="G3" s="198"/>
    </row>
    <row r="4" spans="1:9" x14ac:dyDescent="0.25">
      <c r="A4" s="80" t="s">
        <v>1990</v>
      </c>
      <c r="B4" s="80" t="s">
        <v>1991</v>
      </c>
      <c r="C4" s="80" t="s">
        <v>1992</v>
      </c>
      <c r="D4" s="80" t="s">
        <v>1993</v>
      </c>
      <c r="E4" s="80" t="s">
        <v>1994</v>
      </c>
      <c r="F4" s="80" t="s">
        <v>1995</v>
      </c>
    </row>
    <row r="5" spans="1:9" x14ac:dyDescent="0.25">
      <c r="A5" s="63">
        <f>COUNTA(A10:A100)</f>
        <v>16</v>
      </c>
      <c r="B5" s="63">
        <f>COUNTA(F10:F100)</f>
        <v>16</v>
      </c>
      <c r="C5" s="63">
        <f>COUNTA(H10:H100)</f>
        <v>15</v>
      </c>
      <c r="D5" s="64">
        <f>IFERROR(C5/B5,0)</f>
        <v>0.9375</v>
      </c>
      <c r="E5" s="63">
        <f>IFERROR(B5-C5,0)</f>
        <v>1</v>
      </c>
      <c r="F5" s="63">
        <f>COUNTA(G10:G100)</f>
        <v>15</v>
      </c>
    </row>
    <row r="6" spans="1:9" x14ac:dyDescent="0.25"/>
    <row r="7" spans="1:9" x14ac:dyDescent="0.25"/>
    <row r="8" spans="1:9" x14ac:dyDescent="0.25"/>
    <row r="9" spans="1:9" ht="15" customHeight="1" x14ac:dyDescent="0.25">
      <c r="A9" s="77" t="s">
        <v>63</v>
      </c>
      <c r="B9" s="78" t="s">
        <v>65</v>
      </c>
      <c r="C9" s="78" t="s">
        <v>1996</v>
      </c>
      <c r="D9" s="78" t="s">
        <v>1997</v>
      </c>
      <c r="E9" s="78" t="s">
        <v>1998</v>
      </c>
      <c r="F9" s="78" t="s">
        <v>1999</v>
      </c>
      <c r="G9" s="78" t="s">
        <v>2000</v>
      </c>
      <c r="H9" s="78" t="s">
        <v>2001</v>
      </c>
      <c r="I9" s="78" t="s">
        <v>2002</v>
      </c>
    </row>
    <row r="10" spans="1:9" hidden="1" x14ac:dyDescent="0.25">
      <c r="A10" s="43">
        <v>22348522507422</v>
      </c>
      <c r="B10" s="10" t="s">
        <v>2003</v>
      </c>
      <c r="C10" s="60" t="s">
        <v>164</v>
      </c>
      <c r="D10" s="49" t="s">
        <v>2004</v>
      </c>
      <c r="E10" s="62">
        <v>45996</v>
      </c>
      <c r="F10" s="62">
        <v>45999</v>
      </c>
      <c r="G10" s="62">
        <v>46022</v>
      </c>
      <c r="H10" s="62">
        <v>46022</v>
      </c>
      <c r="I10" s="125">
        <v>22348522507422</v>
      </c>
    </row>
    <row r="11" spans="1:9" ht="15" hidden="1" customHeight="1" x14ac:dyDescent="0.25">
      <c r="A11" s="43" t="s">
        <v>318</v>
      </c>
      <c r="B11" s="10" t="s">
        <v>2003</v>
      </c>
      <c r="C11" s="60" t="s">
        <v>319</v>
      </c>
      <c r="D11" s="49" t="s">
        <v>2005</v>
      </c>
      <c r="E11" s="62">
        <v>45996</v>
      </c>
      <c r="F11" s="62">
        <v>45999</v>
      </c>
      <c r="G11" s="62">
        <v>46036</v>
      </c>
      <c r="H11" s="62">
        <v>46037</v>
      </c>
      <c r="I11" s="126">
        <v>22332522506104</v>
      </c>
    </row>
    <row r="12" spans="1:9" hidden="1" x14ac:dyDescent="0.25">
      <c r="A12" s="65">
        <v>22348522507332</v>
      </c>
      <c r="B12" s="10" t="s">
        <v>2003</v>
      </c>
      <c r="C12" s="60" t="s">
        <v>2006</v>
      </c>
      <c r="D12" s="49" t="s">
        <v>2007</v>
      </c>
      <c r="E12" s="62">
        <v>45979</v>
      </c>
      <c r="F12" s="62">
        <v>45979</v>
      </c>
      <c r="G12" s="62">
        <v>46006</v>
      </c>
      <c r="H12" s="62">
        <v>46006</v>
      </c>
      <c r="I12" s="125">
        <v>22348522507332</v>
      </c>
    </row>
    <row r="13" spans="1:9" hidden="1" x14ac:dyDescent="0.25">
      <c r="A13" s="43">
        <v>22147523023858</v>
      </c>
      <c r="B13" s="10" t="s">
        <v>2008</v>
      </c>
      <c r="C13" s="60" t="s">
        <v>2006</v>
      </c>
      <c r="D13" s="49" t="s">
        <v>2009</v>
      </c>
      <c r="E13" s="62">
        <v>46001</v>
      </c>
      <c r="F13" s="62">
        <v>46021</v>
      </c>
      <c r="G13" s="62">
        <v>46041</v>
      </c>
      <c r="H13" s="62">
        <v>46041</v>
      </c>
      <c r="I13" s="125">
        <v>22147523023858</v>
      </c>
    </row>
    <row r="14" spans="1:9" hidden="1" x14ac:dyDescent="0.25">
      <c r="A14" s="43">
        <v>22332522507151</v>
      </c>
      <c r="B14" s="10" t="s">
        <v>2003</v>
      </c>
      <c r="C14" s="60" t="s">
        <v>163</v>
      </c>
      <c r="D14" s="49" t="s">
        <v>2010</v>
      </c>
      <c r="E14" s="62">
        <v>46001</v>
      </c>
      <c r="F14" s="62">
        <v>46002</v>
      </c>
      <c r="G14" s="62">
        <v>46017</v>
      </c>
      <c r="H14" s="62">
        <v>46017</v>
      </c>
      <c r="I14" s="125">
        <v>22332522507151</v>
      </c>
    </row>
    <row r="15" spans="1:9" hidden="1" x14ac:dyDescent="0.25">
      <c r="A15" s="65" t="s">
        <v>693</v>
      </c>
      <c r="B15" s="10" t="s">
        <v>2003</v>
      </c>
      <c r="C15" s="60" t="s">
        <v>2006</v>
      </c>
      <c r="D15" s="49" t="s">
        <v>2011</v>
      </c>
      <c r="E15" s="62">
        <v>45976</v>
      </c>
      <c r="F15" s="62">
        <v>45976</v>
      </c>
      <c r="G15" s="62">
        <v>46006</v>
      </c>
      <c r="H15" s="62">
        <v>46006</v>
      </c>
      <c r="I15" s="125" t="s">
        <v>693</v>
      </c>
    </row>
    <row r="16" spans="1:9" hidden="1" x14ac:dyDescent="0.25">
      <c r="A16" s="43">
        <v>22333522509979</v>
      </c>
      <c r="B16" s="10" t="s">
        <v>2003</v>
      </c>
      <c r="C16" s="60" t="s">
        <v>2012</v>
      </c>
      <c r="D16" s="49" t="s">
        <v>2013</v>
      </c>
      <c r="E16" s="62">
        <v>46006</v>
      </c>
      <c r="F16" s="62">
        <v>46007</v>
      </c>
      <c r="G16" s="62">
        <v>45683</v>
      </c>
      <c r="H16" s="62">
        <v>46034</v>
      </c>
      <c r="I16" s="125">
        <v>22333522509979</v>
      </c>
    </row>
    <row r="17" spans="1:9" hidden="1" x14ac:dyDescent="0.25">
      <c r="A17" s="43">
        <v>22323522509986</v>
      </c>
      <c r="B17" s="10" t="s">
        <v>2003</v>
      </c>
      <c r="C17" s="60" t="s">
        <v>2006</v>
      </c>
      <c r="D17" s="49" t="s">
        <v>2014</v>
      </c>
      <c r="E17" s="62">
        <v>46006</v>
      </c>
      <c r="F17" s="62">
        <v>46007</v>
      </c>
      <c r="G17" s="62">
        <v>46035</v>
      </c>
      <c r="H17" s="62">
        <v>46034</v>
      </c>
      <c r="I17" s="125">
        <v>22323522509986</v>
      </c>
    </row>
    <row r="18" spans="1:9" ht="15" customHeight="1" x14ac:dyDescent="0.25">
      <c r="A18" s="43">
        <v>22322522503014</v>
      </c>
      <c r="B18" s="10" t="s">
        <v>2003</v>
      </c>
      <c r="C18" s="60" t="s">
        <v>2015</v>
      </c>
      <c r="D18" s="49" t="s">
        <v>2016</v>
      </c>
      <c r="E18" s="62">
        <v>46027</v>
      </c>
      <c r="F18" s="62">
        <v>46028</v>
      </c>
      <c r="G18" s="62">
        <v>46044</v>
      </c>
      <c r="H18" s="62">
        <v>46044</v>
      </c>
      <c r="I18" s="125">
        <v>22322522503014</v>
      </c>
    </row>
    <row r="19" spans="1:9" ht="15" customHeight="1" x14ac:dyDescent="0.25">
      <c r="A19" s="43">
        <v>22325522505119</v>
      </c>
      <c r="B19" s="10" t="s">
        <v>2003</v>
      </c>
      <c r="C19" s="60" t="s">
        <v>2017</v>
      </c>
      <c r="D19" s="49" t="s">
        <v>2018</v>
      </c>
      <c r="E19" s="62">
        <v>46027</v>
      </c>
      <c r="F19" s="62">
        <v>46028</v>
      </c>
      <c r="G19" s="62">
        <v>46044</v>
      </c>
      <c r="H19" s="62">
        <v>46044</v>
      </c>
      <c r="I19" s="125">
        <v>22325522505119</v>
      </c>
    </row>
    <row r="20" spans="1:9" ht="15" customHeight="1" x14ac:dyDescent="0.25">
      <c r="A20" s="43">
        <v>22332522506035</v>
      </c>
      <c r="B20" s="10" t="s">
        <v>2003</v>
      </c>
      <c r="C20" s="60" t="s">
        <v>2017</v>
      </c>
      <c r="D20" s="49" t="s">
        <v>2019</v>
      </c>
      <c r="E20" s="62">
        <v>46027</v>
      </c>
      <c r="F20" s="62">
        <v>46028</v>
      </c>
      <c r="G20" s="62">
        <v>46044</v>
      </c>
      <c r="H20" s="62">
        <v>46044</v>
      </c>
      <c r="I20" s="125">
        <v>22332522506035</v>
      </c>
    </row>
    <row r="21" spans="1:9" ht="15" hidden="1" customHeight="1" x14ac:dyDescent="0.25">
      <c r="A21" s="43">
        <v>22325522504983</v>
      </c>
      <c r="B21" s="10" t="s">
        <v>2003</v>
      </c>
      <c r="C21" s="60" t="s">
        <v>2020</v>
      </c>
      <c r="D21" s="49" t="s">
        <v>2021</v>
      </c>
      <c r="E21" s="127" t="s">
        <v>2022</v>
      </c>
      <c r="F21" s="62" t="s">
        <v>2022</v>
      </c>
      <c r="G21" s="62">
        <v>46058</v>
      </c>
      <c r="H21" s="62">
        <v>46058</v>
      </c>
      <c r="I21" s="125">
        <v>22325522504983</v>
      </c>
    </row>
    <row r="22" spans="1:9" ht="15" hidden="1" customHeight="1" x14ac:dyDescent="0.25">
      <c r="A22" s="43">
        <v>22349522504478</v>
      </c>
      <c r="B22" s="10" t="s">
        <v>2003</v>
      </c>
      <c r="C22" s="60" t="s">
        <v>2020</v>
      </c>
      <c r="D22" s="49" t="s">
        <v>2023</v>
      </c>
      <c r="E22" s="62" t="s">
        <v>2022</v>
      </c>
      <c r="F22" s="62" t="s">
        <v>2022</v>
      </c>
      <c r="G22" s="62">
        <v>46058</v>
      </c>
      <c r="H22" s="62">
        <v>46058</v>
      </c>
      <c r="I22" s="125">
        <v>22349522504478</v>
      </c>
    </row>
    <row r="23" spans="1:9" ht="15" hidden="1" customHeight="1" x14ac:dyDescent="0.25">
      <c r="A23" s="43">
        <v>22348522505015</v>
      </c>
      <c r="B23" s="10" t="s">
        <v>2003</v>
      </c>
      <c r="C23" s="60" t="s">
        <v>2020</v>
      </c>
      <c r="D23" s="49" t="s">
        <v>2024</v>
      </c>
      <c r="E23" s="62" t="s">
        <v>2022</v>
      </c>
      <c r="F23" s="62" t="s">
        <v>2022</v>
      </c>
      <c r="G23" s="62">
        <v>46058</v>
      </c>
      <c r="H23" s="62">
        <v>46058</v>
      </c>
      <c r="I23" s="125">
        <v>22348522505015</v>
      </c>
    </row>
    <row r="24" spans="1:9" ht="15" customHeight="1" x14ac:dyDescent="0.25">
      <c r="A24" s="142">
        <v>22333522510206</v>
      </c>
      <c r="B24" s="10" t="s">
        <v>2003</v>
      </c>
      <c r="C24" s="60" t="s">
        <v>2025</v>
      </c>
      <c r="D24" s="49" t="s">
        <v>2026</v>
      </c>
      <c r="E24" s="62">
        <v>46021</v>
      </c>
      <c r="F24" s="62">
        <v>46021</v>
      </c>
      <c r="G24" s="62">
        <v>46044</v>
      </c>
      <c r="H24" s="62">
        <v>46044</v>
      </c>
      <c r="I24" s="125">
        <v>22333522510206</v>
      </c>
    </row>
    <row r="25" spans="1:9" ht="15" customHeight="1" x14ac:dyDescent="0.25">
      <c r="A25" s="43" t="s">
        <v>2027</v>
      </c>
      <c r="B25" s="10" t="s">
        <v>2003</v>
      </c>
      <c r="C25" s="60" t="s">
        <v>2028</v>
      </c>
      <c r="D25" s="49" t="s">
        <v>2029</v>
      </c>
      <c r="E25" s="62">
        <v>46059</v>
      </c>
      <c r="F25" s="62">
        <v>46059</v>
      </c>
      <c r="G25" s="62"/>
      <c r="H25" s="62"/>
      <c r="I25" s="125"/>
    </row>
  </sheetData>
  <mergeCells count="2">
    <mergeCell ref="A1:G1"/>
    <mergeCell ref="A3:G3"/>
  </mergeCells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1C40F"/>
  </sheetPr>
  <dimension ref="A1:J20"/>
  <sheetViews>
    <sheetView topLeftCell="A3" zoomScaleNormal="100" workbookViewId="0">
      <selection activeCell="N14" sqref="N14"/>
    </sheetView>
  </sheetViews>
  <sheetFormatPr defaultColWidth="8.7109375" defaultRowHeight="15" customHeight="1" x14ac:dyDescent="0.25"/>
  <cols>
    <col min="1" max="1" width="22" customWidth="1"/>
    <col min="2" max="2" width="11.28515625" customWidth="1"/>
    <col min="3" max="3" width="11.5703125" customWidth="1"/>
    <col min="4" max="4" width="10.28515625" customWidth="1"/>
    <col min="5" max="5" width="13.5703125" customWidth="1"/>
    <col min="6" max="6" width="11.140625" customWidth="1"/>
    <col min="7" max="7" width="10" customWidth="1"/>
    <col min="8" max="8" width="10.28515625" customWidth="1"/>
    <col min="9" max="9" width="10" customWidth="1"/>
    <col min="10" max="10" width="8" customWidth="1"/>
  </cols>
  <sheetData>
    <row r="1" spans="1:10" ht="24" customHeight="1" thickBot="1" x14ac:dyDescent="0.45">
      <c r="A1" s="195" t="s">
        <v>2030</v>
      </c>
      <c r="B1" s="195"/>
      <c r="C1" s="195"/>
      <c r="D1" s="195"/>
      <c r="E1" s="195"/>
      <c r="F1" s="195"/>
      <c r="G1" s="195"/>
      <c r="H1" s="195"/>
      <c r="I1" s="195"/>
      <c r="J1" s="195"/>
    </row>
    <row r="2" spans="1:10" ht="15" customHeight="1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</row>
    <row r="3" spans="1:10" x14ac:dyDescent="0.25"/>
    <row r="4" spans="1:10" ht="31.5" customHeight="1" x14ac:dyDescent="0.25">
      <c r="A4" s="5" t="s">
        <v>21</v>
      </c>
      <c r="B4" s="5" t="s">
        <v>2031</v>
      </c>
      <c r="C4" s="5" t="s">
        <v>2032</v>
      </c>
      <c r="D4" s="5" t="s">
        <v>2033</v>
      </c>
      <c r="E4" s="5" t="s">
        <v>2034</v>
      </c>
      <c r="F4" s="5" t="s">
        <v>2035</v>
      </c>
      <c r="G4" s="5" t="s">
        <v>2036</v>
      </c>
      <c r="H4" s="5" t="s">
        <v>2037</v>
      </c>
      <c r="I4" s="5" t="s">
        <v>17</v>
      </c>
      <c r="J4" s="5" t="s">
        <v>2038</v>
      </c>
    </row>
    <row r="5" spans="1:10" ht="17.25" customHeight="1" x14ac:dyDescent="0.3">
      <c r="A5" s="3" t="s">
        <v>30</v>
      </c>
      <c r="B5" s="132">
        <v>118</v>
      </c>
      <c r="C5" s="132">
        <v>110</v>
      </c>
      <c r="D5" s="132">
        <v>8</v>
      </c>
      <c r="E5" s="133"/>
      <c r="F5" s="133"/>
      <c r="G5" s="133"/>
      <c r="H5" s="134"/>
      <c r="I5" s="133"/>
      <c r="J5" s="25" t="str">
        <f t="shared" ref="J5:J16" si="0">IF(I5&gt;0,"▲",IF(I5&lt;0,"▼","—"))</f>
        <v>—</v>
      </c>
    </row>
    <row r="6" spans="1:10" ht="17.25" customHeight="1" x14ac:dyDescent="0.3">
      <c r="A6" s="4" t="s">
        <v>31</v>
      </c>
      <c r="B6" s="132">
        <v>73</v>
      </c>
      <c r="C6" s="132">
        <v>73</v>
      </c>
      <c r="D6" s="132">
        <v>0</v>
      </c>
      <c r="E6" s="135"/>
      <c r="F6" s="135"/>
      <c r="G6" s="135"/>
      <c r="H6" s="135"/>
      <c r="I6" s="135"/>
      <c r="J6" s="26" t="str">
        <f t="shared" si="0"/>
        <v>—</v>
      </c>
    </row>
    <row r="7" spans="1:10" ht="17.25" customHeight="1" x14ac:dyDescent="0.3">
      <c r="A7" s="3" t="s">
        <v>32</v>
      </c>
      <c r="B7" s="132">
        <v>73</v>
      </c>
      <c r="C7" s="132">
        <v>72</v>
      </c>
      <c r="D7" s="132">
        <v>1</v>
      </c>
      <c r="E7" s="133"/>
      <c r="F7" s="134"/>
      <c r="G7" s="134"/>
      <c r="H7" s="134"/>
      <c r="I7" s="133"/>
      <c r="J7" s="25" t="str">
        <f t="shared" si="0"/>
        <v>—</v>
      </c>
    </row>
    <row r="8" spans="1:10" ht="17.25" customHeight="1" x14ac:dyDescent="0.3">
      <c r="A8" s="4" t="s">
        <v>33</v>
      </c>
      <c r="B8" s="132">
        <v>60</v>
      </c>
      <c r="C8" s="132">
        <v>59</v>
      </c>
      <c r="D8" s="132">
        <v>1</v>
      </c>
      <c r="E8" s="135"/>
      <c r="F8" s="136"/>
      <c r="G8" s="136"/>
      <c r="H8" s="136"/>
      <c r="I8" s="135"/>
      <c r="J8" s="26" t="str">
        <f t="shared" si="0"/>
        <v>—</v>
      </c>
    </row>
    <row r="9" spans="1:10" ht="17.25" customHeight="1" x14ac:dyDescent="0.3">
      <c r="A9" s="3" t="s">
        <v>34</v>
      </c>
      <c r="B9" s="132">
        <v>26</v>
      </c>
      <c r="C9" s="132">
        <v>25</v>
      </c>
      <c r="D9" s="132">
        <v>1</v>
      </c>
      <c r="E9" s="133"/>
      <c r="F9" s="134"/>
      <c r="G9" s="134"/>
      <c r="H9" s="134"/>
      <c r="I9" s="133"/>
      <c r="J9" s="25" t="str">
        <f t="shared" si="0"/>
        <v>—</v>
      </c>
    </row>
    <row r="10" spans="1:10" ht="17.25" customHeight="1" x14ac:dyDescent="0.3">
      <c r="A10" s="4" t="s">
        <v>2039</v>
      </c>
      <c r="B10" s="132">
        <v>39</v>
      </c>
      <c r="C10" s="132">
        <v>39</v>
      </c>
      <c r="D10" s="132">
        <v>0</v>
      </c>
      <c r="E10" s="135"/>
      <c r="F10" s="136"/>
      <c r="G10" s="136"/>
      <c r="H10" s="136"/>
      <c r="I10" s="135"/>
      <c r="J10" s="26" t="str">
        <f t="shared" si="0"/>
        <v>—</v>
      </c>
    </row>
    <row r="11" spans="1:10" ht="17.25" customHeight="1" x14ac:dyDescent="0.3">
      <c r="A11" s="3" t="s">
        <v>41</v>
      </c>
      <c r="B11" s="132">
        <v>46</v>
      </c>
      <c r="C11" s="132">
        <v>46</v>
      </c>
      <c r="D11" s="132">
        <v>0</v>
      </c>
      <c r="E11" s="133"/>
      <c r="F11" s="134"/>
      <c r="G11" s="134"/>
      <c r="H11" s="134"/>
      <c r="I11" s="133"/>
      <c r="J11" s="25" t="str">
        <f t="shared" si="0"/>
        <v>—</v>
      </c>
    </row>
    <row r="12" spans="1:10" ht="17.25" customHeight="1" x14ac:dyDescent="0.3">
      <c r="A12" s="4" t="s">
        <v>2040</v>
      </c>
      <c r="B12" s="132">
        <v>120</v>
      </c>
      <c r="C12" s="132">
        <v>116</v>
      </c>
      <c r="D12" s="132">
        <v>4</v>
      </c>
      <c r="E12" s="135"/>
      <c r="F12" s="136"/>
      <c r="G12" s="136"/>
      <c r="H12" s="136"/>
      <c r="I12" s="135"/>
      <c r="J12" s="26" t="str">
        <f t="shared" si="0"/>
        <v>—</v>
      </c>
    </row>
    <row r="13" spans="1:10" ht="17.25" customHeight="1" x14ac:dyDescent="0.3">
      <c r="A13" s="3" t="s">
        <v>43</v>
      </c>
      <c r="B13" s="132">
        <v>104</v>
      </c>
      <c r="C13" s="132">
        <v>104</v>
      </c>
      <c r="D13" s="132">
        <v>0</v>
      </c>
      <c r="E13" s="133"/>
      <c r="F13" s="134"/>
      <c r="G13" s="134"/>
      <c r="H13" s="134"/>
      <c r="I13" s="133"/>
      <c r="J13" s="25" t="str">
        <f t="shared" si="0"/>
        <v>—</v>
      </c>
    </row>
    <row r="14" spans="1:10" ht="17.25" customHeight="1" x14ac:dyDescent="0.3">
      <c r="A14" s="4" t="s">
        <v>44</v>
      </c>
      <c r="B14" s="132">
        <v>7</v>
      </c>
      <c r="C14" s="132">
        <v>7</v>
      </c>
      <c r="D14" s="132">
        <v>0</v>
      </c>
      <c r="E14" s="135"/>
      <c r="F14" s="135"/>
      <c r="G14" s="135"/>
      <c r="H14" s="135"/>
      <c r="I14" s="135"/>
      <c r="J14" s="26" t="str">
        <f t="shared" si="0"/>
        <v>—</v>
      </c>
    </row>
    <row r="15" spans="1:10" ht="17.25" customHeight="1" x14ac:dyDescent="0.3">
      <c r="A15" s="3" t="s">
        <v>45</v>
      </c>
      <c r="B15" s="132">
        <v>36</v>
      </c>
      <c r="C15" s="132">
        <v>35</v>
      </c>
      <c r="D15" s="132">
        <v>1</v>
      </c>
      <c r="E15" s="133"/>
      <c r="F15" s="133"/>
      <c r="G15" s="133"/>
      <c r="H15" s="133"/>
      <c r="I15" s="133"/>
      <c r="J15" s="25" t="str">
        <f t="shared" si="0"/>
        <v>—</v>
      </c>
    </row>
    <row r="16" spans="1:10" ht="17.25" customHeight="1" x14ac:dyDescent="0.3">
      <c r="A16" s="4" t="s">
        <v>46</v>
      </c>
      <c r="B16" s="132">
        <v>167</v>
      </c>
      <c r="C16" s="132">
        <v>164</v>
      </c>
      <c r="D16" s="132">
        <v>3</v>
      </c>
      <c r="E16" s="135"/>
      <c r="F16" s="135"/>
      <c r="G16" s="135"/>
      <c r="H16" s="135"/>
      <c r="I16" s="135"/>
      <c r="J16" s="26" t="str">
        <f t="shared" si="0"/>
        <v>—</v>
      </c>
    </row>
    <row r="17" spans="1:10" ht="15" customHeight="1" x14ac:dyDescent="0.3">
      <c r="A17" s="3" t="s">
        <v>47</v>
      </c>
      <c r="B17" s="132">
        <v>19</v>
      </c>
      <c r="C17" s="132">
        <v>16</v>
      </c>
      <c r="D17" s="132">
        <v>3</v>
      </c>
      <c r="E17" s="133"/>
      <c r="F17" s="133"/>
      <c r="G17" s="133"/>
      <c r="H17" s="133"/>
      <c r="I17" s="133"/>
      <c r="J17" s="25" t="str">
        <f t="shared" ref="J17" si="1">IF(I17&gt;0,"▲",IF(I17&lt;0,"▼","—"))</f>
        <v>—</v>
      </c>
    </row>
    <row r="18" spans="1:10" ht="15" customHeight="1" x14ac:dyDescent="0.3">
      <c r="A18" s="4" t="s">
        <v>48</v>
      </c>
      <c r="B18" s="132">
        <v>141</v>
      </c>
      <c r="C18" s="132">
        <v>136</v>
      </c>
      <c r="D18" s="132">
        <v>5</v>
      </c>
      <c r="E18" s="135"/>
      <c r="F18" s="135"/>
      <c r="G18" s="135"/>
      <c r="H18" s="135"/>
      <c r="I18" s="135"/>
      <c r="J18" s="26" t="str">
        <f t="shared" ref="J18:J19" si="2">IF(I18&gt;0,"▲",IF(I18&lt;0,"▼","—"))</f>
        <v>—</v>
      </c>
    </row>
    <row r="19" spans="1:10" ht="15" customHeight="1" x14ac:dyDescent="0.3">
      <c r="A19" s="3" t="s">
        <v>49</v>
      </c>
      <c r="B19" s="132">
        <v>24</v>
      </c>
      <c r="C19" s="132">
        <v>21</v>
      </c>
      <c r="D19" s="132">
        <v>3</v>
      </c>
      <c r="E19" s="133"/>
      <c r="F19" s="133"/>
      <c r="G19" s="133"/>
      <c r="H19" s="133"/>
      <c r="I19" s="133"/>
      <c r="J19" s="25" t="str">
        <f t="shared" si="2"/>
        <v>—</v>
      </c>
    </row>
    <row r="20" spans="1:10" ht="15" customHeight="1" x14ac:dyDescent="0.3">
      <c r="A20" s="4" t="s">
        <v>50</v>
      </c>
      <c r="B20" s="132">
        <v>39</v>
      </c>
      <c r="C20" s="132">
        <v>39</v>
      </c>
      <c r="D20" s="132">
        <v>0</v>
      </c>
      <c r="E20" s="135"/>
      <c r="F20" s="135"/>
      <c r="G20" s="135"/>
      <c r="H20" s="135"/>
      <c r="I20" s="135"/>
      <c r="J20" s="26" t="str">
        <f>IF(I20&gt;0,"▲",IF(I20&lt;0,"▼","—"))</f>
        <v>—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BF6B-C3B4-47EB-A569-ADAF440A6CB2}">
  <sheetPr>
    <tabColor rgb="FFFFFF66"/>
  </sheetPr>
  <dimension ref="A1:R17"/>
  <sheetViews>
    <sheetView workbookViewId="0">
      <selection activeCell="J34" sqref="J34"/>
    </sheetView>
  </sheetViews>
  <sheetFormatPr defaultRowHeight="15" customHeight="1" x14ac:dyDescent="0.25"/>
  <cols>
    <col min="1" max="1" width="12.7109375" customWidth="1"/>
    <col min="2" max="3" width="16.5703125" customWidth="1"/>
    <col min="4" max="5" width="13.28515625" customWidth="1"/>
    <col min="6" max="6" width="16.42578125" customWidth="1"/>
    <col min="7" max="7" width="20.5703125" customWidth="1"/>
    <col min="8" max="8" width="22" customWidth="1"/>
    <col min="9" max="9" width="22.140625" customWidth="1"/>
    <col min="10" max="11" width="13.28515625" customWidth="1"/>
    <col min="12" max="12" width="15" customWidth="1"/>
    <col min="13" max="13" width="14.5703125" customWidth="1"/>
  </cols>
  <sheetData>
    <row r="1" spans="1:18" ht="27" thickBot="1" x14ac:dyDescent="0.45">
      <c r="A1" s="195" t="s">
        <v>2041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</row>
    <row r="2" spans="1:18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8" x14ac:dyDescent="0.25"/>
    <row r="4" spans="1:18" ht="31.5" customHeight="1" x14ac:dyDescent="0.25">
      <c r="A4" s="68" t="s">
        <v>2042</v>
      </c>
      <c r="B4" s="5" t="s">
        <v>30</v>
      </c>
      <c r="C4" s="5" t="s">
        <v>36</v>
      </c>
      <c r="D4" s="5" t="s">
        <v>32</v>
      </c>
      <c r="E4" s="5" t="s">
        <v>31</v>
      </c>
      <c r="F4" s="5" t="s">
        <v>33</v>
      </c>
      <c r="G4" s="5" t="s">
        <v>34</v>
      </c>
      <c r="H4" s="5" t="s">
        <v>42</v>
      </c>
      <c r="I4" s="5" t="s">
        <v>41</v>
      </c>
      <c r="J4" s="5" t="s">
        <v>46</v>
      </c>
      <c r="K4" s="5" t="s">
        <v>2043</v>
      </c>
      <c r="L4" s="5" t="s">
        <v>47</v>
      </c>
      <c r="M4" s="5" t="s">
        <v>60</v>
      </c>
    </row>
    <row r="5" spans="1:18" x14ac:dyDescent="0.25">
      <c r="A5" s="28" t="s">
        <v>2044</v>
      </c>
      <c r="B5" s="137">
        <v>118</v>
      </c>
      <c r="C5" s="137">
        <v>0</v>
      </c>
      <c r="D5" s="137">
        <v>72</v>
      </c>
      <c r="E5" s="137">
        <v>74</v>
      </c>
      <c r="F5" s="137">
        <v>61</v>
      </c>
      <c r="G5" s="137">
        <v>26</v>
      </c>
      <c r="H5" s="141">
        <v>120</v>
      </c>
      <c r="I5" s="137">
        <v>46</v>
      </c>
      <c r="J5" s="137">
        <v>167</v>
      </c>
      <c r="K5" s="137">
        <v>0</v>
      </c>
      <c r="L5" s="137">
        <v>19</v>
      </c>
      <c r="M5" s="138">
        <f>SUM(Table8[[#This Row],[TC58]:[MC930 Battery]])</f>
        <v>703</v>
      </c>
    </row>
    <row r="6" spans="1:18" x14ac:dyDescent="0.25">
      <c r="A6" s="81" t="s">
        <v>2045</v>
      </c>
      <c r="B6" s="139">
        <v>118</v>
      </c>
      <c r="C6" s="139">
        <v>0</v>
      </c>
      <c r="D6" s="139">
        <v>72</v>
      </c>
      <c r="E6" s="139">
        <v>75</v>
      </c>
      <c r="F6" s="139">
        <v>60</v>
      </c>
      <c r="G6" s="139">
        <v>25</v>
      </c>
      <c r="H6" s="139">
        <v>118</v>
      </c>
      <c r="I6" s="139">
        <v>46</v>
      </c>
      <c r="J6" s="139">
        <v>167</v>
      </c>
      <c r="K6" s="139">
        <v>0</v>
      </c>
      <c r="L6" s="139">
        <v>19</v>
      </c>
      <c r="M6" s="138">
        <f>SUM(Table8[[#This Row],[TC58]:[MC930 Battery]])</f>
        <v>700</v>
      </c>
    </row>
    <row r="7" spans="1:18" x14ac:dyDescent="0.25">
      <c r="A7" s="81" t="s">
        <v>2046</v>
      </c>
      <c r="B7" s="140"/>
      <c r="C7" s="139"/>
      <c r="D7" s="139"/>
      <c r="E7" s="139"/>
      <c r="F7" s="140"/>
      <c r="G7" s="139"/>
      <c r="H7" s="139"/>
      <c r="I7" s="139"/>
      <c r="J7" s="140"/>
      <c r="K7" s="139"/>
      <c r="L7" s="139"/>
      <c r="M7" s="138">
        <f>SUM(Table8[[#This Row],[TC58]:[MC930 Battery]])</f>
        <v>0</v>
      </c>
    </row>
    <row r="8" spans="1:18" x14ac:dyDescent="0.25">
      <c r="A8" s="81" t="s">
        <v>2047</v>
      </c>
      <c r="B8" s="140"/>
      <c r="C8" s="139"/>
      <c r="D8" s="139"/>
      <c r="E8" s="139"/>
      <c r="F8" s="140"/>
      <c r="G8" s="139"/>
      <c r="H8" s="139"/>
      <c r="I8" s="139"/>
      <c r="J8" s="140"/>
      <c r="K8" s="139"/>
      <c r="L8" s="139"/>
      <c r="M8" s="138">
        <f>SUM(Table8[[#This Row],[TC58]:[MC930 Battery]])</f>
        <v>0</v>
      </c>
    </row>
    <row r="9" spans="1:18" x14ac:dyDescent="0.25">
      <c r="A9" s="81" t="s">
        <v>2048</v>
      </c>
      <c r="B9" s="140"/>
      <c r="C9" s="139"/>
      <c r="D9" s="139"/>
      <c r="E9" s="139"/>
      <c r="F9" s="140"/>
      <c r="G9" s="139"/>
      <c r="H9" s="139"/>
      <c r="I9" s="139"/>
      <c r="J9" s="140"/>
      <c r="K9" s="139"/>
      <c r="L9" s="139"/>
      <c r="M9" s="138">
        <f>SUM(Table8[[#This Row],[TC58]:[MC930 Battery]])</f>
        <v>0</v>
      </c>
    </row>
    <row r="10" spans="1:18" x14ac:dyDescent="0.25">
      <c r="A10" s="81" t="s">
        <v>2049</v>
      </c>
      <c r="B10" s="140"/>
      <c r="C10" s="139"/>
      <c r="D10" s="139"/>
      <c r="E10" s="139"/>
      <c r="F10" s="140"/>
      <c r="G10" s="139"/>
      <c r="H10" s="139"/>
      <c r="I10" s="139"/>
      <c r="J10" s="140"/>
      <c r="K10" s="139"/>
      <c r="L10" s="139"/>
      <c r="M10" s="138">
        <f>SUM(Table8[[#This Row],[TC58]:[MC930 Battery]])</f>
        <v>0</v>
      </c>
      <c r="R10" t="s">
        <v>2050</v>
      </c>
    </row>
    <row r="11" spans="1:18" x14ac:dyDescent="0.25">
      <c r="A11" s="81" t="s">
        <v>2051</v>
      </c>
      <c r="B11" s="140"/>
      <c r="C11" s="139"/>
      <c r="D11" s="139"/>
      <c r="E11" s="139"/>
      <c r="F11" s="140"/>
      <c r="G11" s="139"/>
      <c r="H11" s="139"/>
      <c r="I11" s="139"/>
      <c r="J11" s="140"/>
      <c r="K11" s="139"/>
      <c r="L11" s="139"/>
      <c r="M11" s="138">
        <f>SUM(Table8[[#This Row],[TC58]:[MC930 Battery]])</f>
        <v>0</v>
      </c>
    </row>
    <row r="12" spans="1:18" x14ac:dyDescent="0.25">
      <c r="A12" s="81" t="s">
        <v>2052</v>
      </c>
      <c r="B12" s="140"/>
      <c r="C12" s="139"/>
      <c r="D12" s="139"/>
      <c r="E12" s="139"/>
      <c r="F12" s="140"/>
      <c r="G12" s="139"/>
      <c r="H12" s="139"/>
      <c r="I12" s="139"/>
      <c r="J12" s="140"/>
      <c r="K12" s="139"/>
      <c r="L12" s="139"/>
      <c r="M12" s="138">
        <f>SUM(Table8[[#This Row],[TC58]:[MC930 Battery]])</f>
        <v>0</v>
      </c>
    </row>
    <row r="13" spans="1:18" x14ac:dyDescent="0.25">
      <c r="A13" s="81" t="s">
        <v>2053</v>
      </c>
      <c r="B13" s="140"/>
      <c r="C13" s="139"/>
      <c r="D13" s="139"/>
      <c r="E13" s="139"/>
      <c r="F13" s="140"/>
      <c r="G13" s="139"/>
      <c r="H13" s="139"/>
      <c r="I13" s="139"/>
      <c r="J13" s="140"/>
      <c r="K13" s="139"/>
      <c r="L13" s="139"/>
      <c r="M13" s="138">
        <f>SUM(Table8[[#This Row],[TC58]:[MC930 Battery]])</f>
        <v>0</v>
      </c>
    </row>
    <row r="14" spans="1:18" x14ac:dyDescent="0.25">
      <c r="A14" s="81" t="s">
        <v>2054</v>
      </c>
      <c r="B14" s="140"/>
      <c r="C14" s="139"/>
      <c r="D14" s="139"/>
      <c r="E14" s="139"/>
      <c r="F14" s="140"/>
      <c r="G14" s="139"/>
      <c r="H14" s="139"/>
      <c r="I14" s="139"/>
      <c r="J14" s="140"/>
      <c r="K14" s="139"/>
      <c r="L14" s="139"/>
      <c r="M14" s="138">
        <f>SUM(Table8[[#This Row],[TC58]:[MC930 Battery]])</f>
        <v>0</v>
      </c>
    </row>
    <row r="15" spans="1:18" x14ac:dyDescent="0.25">
      <c r="A15" s="81" t="s">
        <v>2055</v>
      </c>
      <c r="B15" s="140"/>
      <c r="C15" s="139"/>
      <c r="D15" s="139"/>
      <c r="E15" s="139"/>
      <c r="F15" s="140"/>
      <c r="G15" s="139"/>
      <c r="H15" s="139"/>
      <c r="I15" s="139"/>
      <c r="J15" s="140"/>
      <c r="K15" s="139"/>
      <c r="L15" s="139"/>
      <c r="M15" s="138">
        <f>SUM(Table8[[#This Row],[TC58]:[MC930 Battery]])</f>
        <v>0</v>
      </c>
    </row>
    <row r="16" spans="1:18" x14ac:dyDescent="0.25">
      <c r="A16" s="81" t="s">
        <v>2056</v>
      </c>
      <c r="B16" s="140"/>
      <c r="C16" s="139"/>
      <c r="D16" s="139"/>
      <c r="E16" s="139"/>
      <c r="F16" s="140"/>
      <c r="G16" s="139"/>
      <c r="H16" s="139"/>
      <c r="I16" s="139"/>
      <c r="J16" s="140"/>
      <c r="K16" s="139"/>
      <c r="L16" s="139"/>
      <c r="M16" s="138">
        <f>SUM(Table8[[#This Row],[TC58]:[MC930 Battery]])</f>
        <v>0</v>
      </c>
    </row>
    <row r="17" spans="1:13" x14ac:dyDescent="0.25">
      <c r="A17" s="81" t="s">
        <v>2044</v>
      </c>
      <c r="B17" s="140"/>
      <c r="C17" s="139"/>
      <c r="D17" s="139"/>
      <c r="E17" s="139"/>
      <c r="F17" s="140"/>
      <c r="G17" s="139"/>
      <c r="H17" s="139"/>
      <c r="I17" s="139"/>
      <c r="J17" s="140"/>
      <c r="K17" s="139"/>
      <c r="L17" s="139"/>
      <c r="M17" s="138">
        <f>SUM(Table8[[#This Row],[TC58]:[MC930 Battery]])</f>
        <v>0</v>
      </c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66573"/>
  </sheetPr>
  <dimension ref="A1:G21"/>
  <sheetViews>
    <sheetView topLeftCell="C1" zoomScaleNormal="100" workbookViewId="0">
      <selection activeCell="G13" sqref="G13"/>
    </sheetView>
  </sheetViews>
  <sheetFormatPr defaultColWidth="8.7109375" defaultRowHeight="15" customHeight="1" x14ac:dyDescent="0.25"/>
  <cols>
    <col min="1" max="7" width="22" customWidth="1"/>
  </cols>
  <sheetData>
    <row r="1" spans="1:7" ht="15" customHeight="1" x14ac:dyDescent="0.25">
      <c r="A1" s="27" t="s">
        <v>66</v>
      </c>
      <c r="B1" s="27" t="s">
        <v>67</v>
      </c>
      <c r="C1" s="27" t="s">
        <v>65</v>
      </c>
      <c r="D1" s="27" t="s">
        <v>2057</v>
      </c>
      <c r="E1" s="27" t="s">
        <v>68</v>
      </c>
      <c r="F1" s="27" t="s">
        <v>2058</v>
      </c>
      <c r="G1" s="27" t="s">
        <v>1</v>
      </c>
    </row>
    <row r="2" spans="1:7" ht="15" customHeight="1" x14ac:dyDescent="0.25">
      <c r="A2" s="28" t="s">
        <v>23</v>
      </c>
      <c r="B2" s="28" t="s">
        <v>2059</v>
      </c>
      <c r="C2" s="28" t="s">
        <v>2003</v>
      </c>
      <c r="D2" s="28" t="s">
        <v>2060</v>
      </c>
      <c r="E2" s="28" t="s">
        <v>2061</v>
      </c>
      <c r="F2" s="28" t="s">
        <v>2062</v>
      </c>
      <c r="G2" s="28" t="s">
        <v>2</v>
      </c>
    </row>
    <row r="3" spans="1:7" ht="15" customHeight="1" x14ac:dyDescent="0.25">
      <c r="A3" s="28" t="s">
        <v>24</v>
      </c>
      <c r="B3" s="28" t="s">
        <v>1991</v>
      </c>
      <c r="C3" s="28" t="s">
        <v>2063</v>
      </c>
      <c r="D3" s="28" t="s">
        <v>2064</v>
      </c>
      <c r="E3" s="28" t="s">
        <v>2065</v>
      </c>
      <c r="F3" s="28" t="s">
        <v>2066</v>
      </c>
      <c r="G3" s="28" t="s">
        <v>2067</v>
      </c>
    </row>
    <row r="4" spans="1:7" ht="15" customHeight="1" x14ac:dyDescent="0.25">
      <c r="A4" s="28" t="s">
        <v>25</v>
      </c>
      <c r="B4" s="28" t="s">
        <v>2068</v>
      </c>
      <c r="C4" s="28" t="s">
        <v>2069</v>
      </c>
      <c r="D4" s="28" t="s">
        <v>2070</v>
      </c>
      <c r="E4" s="28" t="s">
        <v>2071</v>
      </c>
      <c r="F4" s="28" t="s">
        <v>2072</v>
      </c>
      <c r="G4" s="28" t="s">
        <v>2073</v>
      </c>
    </row>
    <row r="5" spans="1:7" ht="15" customHeight="1" x14ac:dyDescent="0.25">
      <c r="A5" s="28" t="s">
        <v>26</v>
      </c>
      <c r="B5" s="28" t="s">
        <v>2074</v>
      </c>
      <c r="C5" s="28" t="s">
        <v>2075</v>
      </c>
      <c r="D5" s="28" t="s">
        <v>2076</v>
      </c>
      <c r="E5" s="28" t="s">
        <v>2077</v>
      </c>
      <c r="F5" s="28" t="s">
        <v>1666</v>
      </c>
      <c r="G5" s="28"/>
    </row>
    <row r="6" spans="1:7" ht="15" customHeight="1" x14ac:dyDescent="0.25">
      <c r="B6" s="28" t="s">
        <v>2078</v>
      </c>
      <c r="C6" s="28" t="s">
        <v>2079</v>
      </c>
      <c r="D6" s="28" t="s">
        <v>2080</v>
      </c>
      <c r="E6" s="28" t="s">
        <v>2081</v>
      </c>
    </row>
    <row r="7" spans="1:7" ht="15" customHeight="1" x14ac:dyDescent="0.25">
      <c r="B7" s="28" t="s">
        <v>2082</v>
      </c>
      <c r="C7" s="28" t="s">
        <v>2083</v>
      </c>
      <c r="D7" s="28" t="s">
        <v>2084</v>
      </c>
    </row>
    <row r="8" spans="1:7" ht="15" customHeight="1" x14ac:dyDescent="0.25">
      <c r="B8" s="28" t="s">
        <v>2085</v>
      </c>
      <c r="C8" s="28" t="s">
        <v>2008</v>
      </c>
      <c r="D8" s="28" t="s">
        <v>2086</v>
      </c>
    </row>
    <row r="9" spans="1:7" ht="15" customHeight="1" x14ac:dyDescent="0.25">
      <c r="B9" s="28" t="s">
        <v>2087</v>
      </c>
      <c r="C9" s="28" t="s">
        <v>2088</v>
      </c>
      <c r="D9" s="28" t="s">
        <v>2089</v>
      </c>
    </row>
    <row r="10" spans="1:7" ht="15" customHeight="1" x14ac:dyDescent="0.25">
      <c r="B10" s="28" t="s">
        <v>2090</v>
      </c>
      <c r="C10" s="28" t="s">
        <v>2091</v>
      </c>
      <c r="D10" s="28" t="s">
        <v>2092</v>
      </c>
    </row>
    <row r="11" spans="1:7" ht="15" customHeight="1" x14ac:dyDescent="0.25">
      <c r="B11" s="28" t="s">
        <v>2093</v>
      </c>
      <c r="C11" s="28" t="s">
        <v>2094</v>
      </c>
      <c r="D11" s="28" t="s">
        <v>2095</v>
      </c>
    </row>
    <row r="12" spans="1:7" ht="15" customHeight="1" x14ac:dyDescent="0.25">
      <c r="B12" s="28" t="s">
        <v>2096</v>
      </c>
      <c r="C12" s="28" t="s">
        <v>46</v>
      </c>
      <c r="D12" s="28" t="s">
        <v>2074</v>
      </c>
    </row>
    <row r="13" spans="1:7" ht="15" customHeight="1" x14ac:dyDescent="0.25">
      <c r="B13" s="28" t="s">
        <v>26</v>
      </c>
      <c r="C13" s="28" t="s">
        <v>2043</v>
      </c>
      <c r="D13" s="28" t="s">
        <v>2097</v>
      </c>
    </row>
    <row r="14" spans="1:7" ht="15" customHeight="1" x14ac:dyDescent="0.25">
      <c r="B14" s="28" t="s">
        <v>2098</v>
      </c>
      <c r="C14" s="28" t="s">
        <v>47</v>
      </c>
      <c r="D14" s="28" t="s">
        <v>2096</v>
      </c>
    </row>
    <row r="15" spans="1:7" ht="15" customHeight="1" x14ac:dyDescent="0.25">
      <c r="B15" s="28" t="s">
        <v>2099</v>
      </c>
      <c r="C15" s="28" t="s">
        <v>48</v>
      </c>
      <c r="D15" s="28" t="s">
        <v>2100</v>
      </c>
    </row>
    <row r="16" spans="1:7" ht="15" customHeight="1" x14ac:dyDescent="0.25">
      <c r="C16" s="28" t="s">
        <v>45</v>
      </c>
    </row>
    <row r="17" spans="3:3" ht="15" customHeight="1" x14ac:dyDescent="0.25">
      <c r="C17" s="28" t="s">
        <v>2101</v>
      </c>
    </row>
    <row r="18" spans="3:3" x14ac:dyDescent="0.25">
      <c r="C18" s="28" t="s">
        <v>2102</v>
      </c>
    </row>
    <row r="19" spans="3:3" x14ac:dyDescent="0.25">
      <c r="C19" s="28" t="s">
        <v>50</v>
      </c>
    </row>
    <row r="20" spans="3:3" x14ac:dyDescent="0.25">
      <c r="C20" s="28" t="s">
        <v>2103</v>
      </c>
    </row>
    <row r="21" spans="3:3" ht="15" customHeight="1" x14ac:dyDescent="0.25">
      <c r="C21" s="28" t="s">
        <v>2104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DC3C7"/>
  </sheetPr>
  <dimension ref="A1:C29"/>
  <sheetViews>
    <sheetView zoomScaleNormal="100" workbookViewId="0">
      <selection activeCell="B21" sqref="B21"/>
    </sheetView>
  </sheetViews>
  <sheetFormatPr defaultColWidth="8.7109375" defaultRowHeight="15" x14ac:dyDescent="0.25"/>
  <cols>
    <col min="1" max="1" width="20" customWidth="1"/>
    <col min="2" max="2" width="55" customWidth="1"/>
  </cols>
  <sheetData>
    <row r="1" spans="1:3" ht="21.75" customHeight="1" x14ac:dyDescent="0.35">
      <c r="A1" s="199" t="s">
        <v>2105</v>
      </c>
      <c r="B1" s="199"/>
      <c r="C1" s="199"/>
    </row>
    <row r="4" spans="1:3" ht="15" customHeight="1" x14ac:dyDescent="0.25">
      <c r="A4" s="1" t="s">
        <v>2106</v>
      </c>
    </row>
    <row r="5" spans="1:3" ht="15" customHeight="1" x14ac:dyDescent="0.25">
      <c r="A5" s="29" t="s">
        <v>2107</v>
      </c>
      <c r="B5" t="s">
        <v>2108</v>
      </c>
    </row>
    <row r="6" spans="1:3" ht="15" customHeight="1" x14ac:dyDescent="0.25">
      <c r="A6" s="29" t="s">
        <v>2109</v>
      </c>
      <c r="B6" t="s">
        <v>2110</v>
      </c>
    </row>
    <row r="7" spans="1:3" ht="15" customHeight="1" x14ac:dyDescent="0.25">
      <c r="A7" s="29" t="s">
        <v>2111</v>
      </c>
      <c r="B7" t="s">
        <v>2112</v>
      </c>
    </row>
    <row r="8" spans="1:3" ht="15" customHeight="1" x14ac:dyDescent="0.25">
      <c r="A8" s="29" t="s">
        <v>2113</v>
      </c>
      <c r="B8" t="s">
        <v>2114</v>
      </c>
    </row>
    <row r="9" spans="1:3" ht="15" customHeight="1" x14ac:dyDescent="0.25">
      <c r="A9" s="29" t="s">
        <v>2115</v>
      </c>
      <c r="B9" t="s">
        <v>2116</v>
      </c>
    </row>
    <row r="10" spans="1:3" ht="15" customHeight="1" x14ac:dyDescent="0.25">
      <c r="A10" s="29" t="s">
        <v>2117</v>
      </c>
      <c r="B10" t="s">
        <v>2118</v>
      </c>
    </row>
    <row r="12" spans="1:3" ht="15" customHeight="1" x14ac:dyDescent="0.25">
      <c r="A12" s="1" t="s">
        <v>2119</v>
      </c>
    </row>
    <row r="13" spans="1:3" ht="15" customHeight="1" x14ac:dyDescent="0.25">
      <c r="A13" t="s">
        <v>23</v>
      </c>
      <c r="B13" t="s">
        <v>2120</v>
      </c>
    </row>
    <row r="14" spans="1:3" ht="15" customHeight="1" x14ac:dyDescent="0.25">
      <c r="A14" t="s">
        <v>24</v>
      </c>
      <c r="B14" t="s">
        <v>2121</v>
      </c>
    </row>
    <row r="15" spans="1:3" ht="15" customHeight="1" x14ac:dyDescent="0.25">
      <c r="A15" t="s">
        <v>25</v>
      </c>
      <c r="B15" t="s">
        <v>2122</v>
      </c>
    </row>
    <row r="16" spans="1:3" ht="15" customHeight="1" x14ac:dyDescent="0.25">
      <c r="A16" t="s">
        <v>26</v>
      </c>
      <c r="B16" t="s">
        <v>2123</v>
      </c>
    </row>
    <row r="18" spans="1:2" ht="15" customHeight="1" x14ac:dyDescent="0.25">
      <c r="A18" s="1" t="s">
        <v>2124</v>
      </c>
    </row>
    <row r="19" spans="1:2" ht="15" customHeight="1" x14ac:dyDescent="0.25">
      <c r="A19" t="s">
        <v>2125</v>
      </c>
      <c r="B19" t="s">
        <v>2126</v>
      </c>
    </row>
    <row r="20" spans="1:2" ht="15" customHeight="1" x14ac:dyDescent="0.25">
      <c r="A20" t="s">
        <v>2127</v>
      </c>
      <c r="B20" t="s">
        <v>2128</v>
      </c>
    </row>
    <row r="21" spans="1:2" ht="15" customHeight="1" x14ac:dyDescent="0.25">
      <c r="A21" t="s">
        <v>2129</v>
      </c>
      <c r="B21" t="s">
        <v>2130</v>
      </c>
    </row>
    <row r="23" spans="1:2" ht="15" customHeight="1" x14ac:dyDescent="0.25">
      <c r="A23" s="1" t="s">
        <v>2131</v>
      </c>
    </row>
    <row r="24" spans="1:2" ht="15" customHeight="1" x14ac:dyDescent="0.25">
      <c r="A24" t="s">
        <v>2132</v>
      </c>
    </row>
    <row r="25" spans="1:2" ht="15" customHeight="1" x14ac:dyDescent="0.25">
      <c r="A25" t="s">
        <v>2133</v>
      </c>
    </row>
    <row r="26" spans="1:2" ht="15" customHeight="1" x14ac:dyDescent="0.25">
      <c r="A26" t="s">
        <v>2134</v>
      </c>
    </row>
    <row r="27" spans="1:2" ht="15" customHeight="1" x14ac:dyDescent="0.25">
      <c r="A27" t="s">
        <v>2135</v>
      </c>
    </row>
    <row r="28" spans="1:2" ht="15" customHeight="1" x14ac:dyDescent="0.25">
      <c r="A28" t="s">
        <v>2136</v>
      </c>
    </row>
    <row r="29" spans="1:2" ht="15" customHeight="1" x14ac:dyDescent="0.25">
      <c r="A29" t="s">
        <v>2137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4F1EC0-A16E-4E13-8A6D-20A696B8A1D3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Executive Summary</vt:lpstr>
      <vt:lpstr>Asset Detail</vt:lpstr>
      <vt:lpstr>IT Allocation Import</vt:lpstr>
      <vt:lpstr>PBI Import</vt:lpstr>
      <vt:lpstr>Scan Audit</vt:lpstr>
      <vt:lpstr>Lost Report</vt:lpstr>
      <vt:lpstr>RMA Report</vt:lpstr>
      <vt:lpstr>YOY Comparison</vt:lpstr>
      <vt:lpstr>MOM Comparison</vt:lpstr>
      <vt:lpstr>Dropdown Lists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Stephen Talley (DHL Supply Chain)</cp:lastModifiedBy>
  <cp:revision>0</cp:revision>
  <dcterms:created xsi:type="dcterms:W3CDTF">2025-12-04T21:12:35Z</dcterms:created>
  <dcterms:modified xsi:type="dcterms:W3CDTF">2026-02-07T02:57:47Z</dcterms:modified>
  <cp:category/>
  <cp:contentStatus/>
</cp:coreProperties>
</file>